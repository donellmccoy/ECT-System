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customXml/itemProps4.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6"/>
  <workbookPr codeName="ThisWorkbook" defaultThemeVersion="124226"/>
  <bookViews>
    <workbookView xWindow="0" yWindow="0" windowWidth="15360" windowHeight="7755" tabRatio="870" firstSheet="1" activeTab="1"/>
  </bookViews>
  <sheets>
    <sheet name="DELETE Comments " sheetId="55" state="hidden" r:id="rId1"/>
    <sheet name="Index" sheetId="67" r:id="rId2"/>
    <sheet name="CVT Master List" sheetId="42" state="hidden" r:id="rId3"/>
    <sheet name="TEMP" sheetId="60" state="hidden" r:id="rId4"/>
    <sheet name="Priority" sheetId="45" state="hidden" r:id="rId5"/>
    <sheet name="I3 -CVT Master" sheetId="89" r:id="rId6"/>
    <sheet name="(BT44) WWD MEMOS" sheetId="101" r:id="rId7"/>
    <sheet name="(BT44) IRILO MEMOS" sheetId="102" r:id="rId8"/>
    <sheet name="(BT44) MEB MEMOS" sheetId="103" r:id="rId9"/>
    <sheet name="(BT44) BMT WF" sheetId="104" r:id="rId10"/>
    <sheet name="Informal LOD" sheetId="106" r:id="rId11"/>
    <sheet name="(BT44) Participation Waiver WF" sheetId="107" r:id="rId12"/>
    <sheet name="(BT44) MEDICAL HOLDS WF" sheetId="110" r:id="rId13"/>
    <sheet name="(BT44) Deployment Waiver WF" sheetId="111" r:id="rId14"/>
    <sheet name="(BT44) Non Emergent Surgery" sheetId="112" r:id="rId15"/>
    <sheet name="(BT44) Modification WF" sheetId="113" r:id="rId16"/>
    <sheet name="(BT44) BCMR WF" sheetId="114" r:id="rId17"/>
    <sheet name="(BT44) Congressionals WF" sheetId="115" r:id="rId18"/>
    <sheet name="(BT44) PEPP WF" sheetId="116" r:id="rId19"/>
    <sheet name="Full Search" sheetId="117" r:id="rId20"/>
    <sheet name="Common Tools" sheetId="88" r:id="rId21"/>
  </sheets>
  <externalReferences>
    <externalReference r:id="rId22"/>
    <externalReference r:id="rId23"/>
    <externalReference r:id="rId24"/>
    <externalReference r:id="rId25"/>
    <externalReference r:id="rId26"/>
  </externalReferences>
  <definedNames>
    <definedName name="_xlnm._FilterDatabase" localSheetId="0" hidden="1">'DELETE Comments '!$B$1:$Q$159</definedName>
    <definedName name="_xlnm._FilterDatabase" localSheetId="4" hidden="1">Priority!$C$2:$CF$80</definedName>
    <definedName name="_xlnm._FilterDatabase" localSheetId="3" hidden="1">TEMP!$A$1:$V$85</definedName>
    <definedName name="Action" localSheetId="16">'[1]Data Call Management'!$A$3:$A$12</definedName>
    <definedName name="Action" localSheetId="9">'[1]Data Call Management'!$A$3:$A$12</definedName>
    <definedName name="Action" localSheetId="17">'[1]Data Call Management'!$A$3:$A$12</definedName>
    <definedName name="Action" localSheetId="13">'[1]Data Call Management'!$A$3:$A$12</definedName>
    <definedName name="Action" localSheetId="7">'[1]Data Call Management'!$A$3:$A$12</definedName>
    <definedName name="Action" localSheetId="8">'[1]Data Call Management'!$A$3:$A$12</definedName>
    <definedName name="Action" localSheetId="12">'[1]Data Call Management'!$A$3:$A$12</definedName>
    <definedName name="Action" localSheetId="15">'[1]Data Call Management'!$A$3:$A$12</definedName>
    <definedName name="Action" localSheetId="14">'[1]Data Call Management'!$A$3:$A$12</definedName>
    <definedName name="Action" localSheetId="11">'[1]Data Call Management'!$A$3:$A$12</definedName>
    <definedName name="Action" localSheetId="18">'[1]Data Call Management'!$A$3:$A$12</definedName>
    <definedName name="Action" localSheetId="6">'[1]Data Call Management'!$A$3:$A$12</definedName>
    <definedName name="Action" localSheetId="20">'[1]Data Call Management'!$A$3:$A$12</definedName>
    <definedName name="Action" localSheetId="0">[2]Reference!$A$3:$A$12</definedName>
    <definedName name="Action" localSheetId="19">'[1]Data Call Management'!$A$3:$A$12</definedName>
    <definedName name="Action" localSheetId="1">[3]Reference!$A$3:$A$12</definedName>
    <definedName name="Action" localSheetId="10">'[1]Data Call Management'!$A$3:$A$12</definedName>
    <definedName name="Action">[2]Reference!$A$3:$A$12</definedName>
    <definedName name="Crit">[4]Reference!$D$3:$D$18</definedName>
    <definedName name="Critical" localSheetId="16">'[1]Data Call Management'!$B$3:$B$18</definedName>
    <definedName name="Critical" localSheetId="9">'[1]Data Call Management'!$B$3:$B$18</definedName>
    <definedName name="Critical" localSheetId="17">'[1]Data Call Management'!$B$3:$B$18</definedName>
    <definedName name="Critical" localSheetId="13">'[1]Data Call Management'!$B$3:$B$18</definedName>
    <definedName name="Critical" localSheetId="7">'[1]Data Call Management'!$B$3:$B$18</definedName>
    <definedName name="Critical" localSheetId="8">'[1]Data Call Management'!$B$3:$B$18</definedName>
    <definedName name="Critical" localSheetId="12">'[1]Data Call Management'!$B$3:$B$18</definedName>
    <definedName name="Critical" localSheetId="15">'[1]Data Call Management'!$B$3:$B$18</definedName>
    <definedName name="Critical" localSheetId="14">'[1]Data Call Management'!$B$3:$B$18</definedName>
    <definedName name="Critical" localSheetId="11">'[1]Data Call Management'!$B$3:$B$18</definedName>
    <definedName name="Critical" localSheetId="18">'[1]Data Call Management'!$B$3:$B$18</definedName>
    <definedName name="Critical" localSheetId="6">'[1]Data Call Management'!$B$3:$B$18</definedName>
    <definedName name="Critical" localSheetId="20">'[1]Data Call Management'!$B$3:$B$18</definedName>
    <definedName name="Critical" localSheetId="0">[2]Reference!$B$3:$B$18</definedName>
    <definedName name="Critical" localSheetId="19">'[1]Data Call Management'!$B$3:$B$18</definedName>
    <definedName name="Critical" localSheetId="1">[3]Reference!$B$3:$B$18</definedName>
    <definedName name="Critical" localSheetId="10">'[1]Data Call Management'!$B$3:$B$18</definedName>
    <definedName name="Critical">[2]Reference!$B$3:$B$18</definedName>
    <definedName name="CVTTable" localSheetId="1">#REF!</definedName>
    <definedName name="CVTTable" localSheetId="3">TEMP!$C$3:$W$235</definedName>
    <definedName name="CVTTable">'CVT Master List'!$C$4:$W$248</definedName>
    <definedName name="_xlnm.Print_Area" localSheetId="2">'CVT Master List'!$A$1:$W$123</definedName>
    <definedName name="_xlnm.Print_Area" localSheetId="3">TEMP!$A$1:$W$110</definedName>
    <definedName name="PriorityRange" localSheetId="1">#REF!</definedName>
    <definedName name="PriorityRange" localSheetId="3">TEMP!$S$3:$U$84</definedName>
    <definedName name="PriorityRange">'CVT Master List'!$S$5:$U$97</definedName>
    <definedName name="WSMS_108" localSheetId="16">#REF!</definedName>
    <definedName name="WSMS_108" localSheetId="9">#REF!</definedName>
    <definedName name="WSMS_108" localSheetId="17">#REF!</definedName>
    <definedName name="WSMS_108" localSheetId="13">#REF!</definedName>
    <definedName name="WSMS_108" localSheetId="7">#REF!</definedName>
    <definedName name="WSMS_108" localSheetId="8">#REF!</definedName>
    <definedName name="WSMS_108" localSheetId="12">#REF!</definedName>
    <definedName name="WSMS_108" localSheetId="15">#REF!</definedName>
    <definedName name="WSMS_108" localSheetId="14">#REF!</definedName>
    <definedName name="WSMS_108" localSheetId="11">#REF!</definedName>
    <definedName name="WSMS_108" localSheetId="18">#REF!</definedName>
    <definedName name="WSMS_108" localSheetId="6">#REF!</definedName>
    <definedName name="WSMS_108" localSheetId="20">#REF!</definedName>
    <definedName name="WSMS_108" localSheetId="19">#REF!</definedName>
    <definedName name="WSMS_108" localSheetId="5">#REF!</definedName>
    <definedName name="WSMS_108" localSheetId="10">#REF!</definedName>
    <definedName name="WSMS_108">#REF!</definedName>
  </definedNames>
  <calcPr calcId="125725"/>
</workbook>
</file>

<file path=xl/calcChain.xml><?xml version="1.0" encoding="utf-8"?>
<calcChain xmlns="http://schemas.openxmlformats.org/spreadsheetml/2006/main">
  <c r="E102" i="89"/>
  <c r="C102"/>
  <c r="B102"/>
  <c r="A102"/>
  <c r="E101"/>
  <c r="C101"/>
  <c r="B101"/>
  <c r="A101"/>
  <c r="J22" i="117"/>
  <c r="I22"/>
  <c r="H22"/>
  <c r="G22"/>
  <c r="J12"/>
  <c r="I12"/>
  <c r="H12"/>
  <c r="G12"/>
  <c r="E99" i="89"/>
  <c r="C99"/>
  <c r="B99"/>
  <c r="A99"/>
  <c r="J12" i="116"/>
  <c r="I12"/>
  <c r="H12"/>
  <c r="G12"/>
  <c r="E97" i="89"/>
  <c r="C97"/>
  <c r="C96"/>
  <c r="B97"/>
  <c r="B96"/>
  <c r="A97"/>
  <c r="A96"/>
  <c r="E96"/>
  <c r="E95"/>
  <c r="C95"/>
  <c r="B95"/>
  <c r="A95"/>
  <c r="J40" i="115"/>
  <c r="I40"/>
  <c r="H40"/>
  <c r="G40"/>
  <c r="J28"/>
  <c r="I28"/>
  <c r="H28"/>
  <c r="G28"/>
  <c r="J12"/>
  <c r="I12"/>
  <c r="H12"/>
  <c r="G12"/>
  <c r="E93" i="89"/>
  <c r="E92"/>
  <c r="C93"/>
  <c r="C92"/>
  <c r="B93"/>
  <c r="B92"/>
  <c r="A93"/>
  <c r="A92"/>
  <c r="E91"/>
  <c r="C91"/>
  <c r="B91"/>
  <c r="A91"/>
  <c r="J40" i="114"/>
  <c r="I40"/>
  <c r="H40"/>
  <c r="G40"/>
  <c r="J28"/>
  <c r="I28"/>
  <c r="H28"/>
  <c r="G28"/>
  <c r="J12"/>
  <c r="I12"/>
  <c r="H12"/>
  <c r="G12"/>
  <c r="E89" i="89"/>
  <c r="E88"/>
  <c r="E87"/>
  <c r="C89"/>
  <c r="C88"/>
  <c r="C87"/>
  <c r="B89"/>
  <c r="B88"/>
  <c r="B87"/>
  <c r="A89"/>
  <c r="A88"/>
  <c r="A87"/>
  <c r="E86"/>
  <c r="C86"/>
  <c r="B86"/>
  <c r="A86"/>
  <c r="J70" i="113"/>
  <c r="I70"/>
  <c r="H70"/>
  <c r="G70"/>
  <c r="J54"/>
  <c r="I54"/>
  <c r="H54"/>
  <c r="G54"/>
  <c r="J40"/>
  <c r="I40"/>
  <c r="H40"/>
  <c r="G40"/>
  <c r="J12"/>
  <c r="I12"/>
  <c r="H12"/>
  <c r="F12" s="1"/>
  <c r="G12"/>
  <c r="E84" i="89"/>
  <c r="E83"/>
  <c r="E82"/>
  <c r="C84"/>
  <c r="C83"/>
  <c r="C82"/>
  <c r="B84"/>
  <c r="B83"/>
  <c r="B82"/>
  <c r="A84"/>
  <c r="A83"/>
  <c r="A82"/>
  <c r="E81"/>
  <c r="C81"/>
  <c r="B81"/>
  <c r="A81"/>
  <c r="J66" i="112"/>
  <c r="I66"/>
  <c r="F66" s="1"/>
  <c r="H66"/>
  <c r="G66"/>
  <c r="J51"/>
  <c r="I51"/>
  <c r="H51"/>
  <c r="G51"/>
  <c r="J38"/>
  <c r="I38"/>
  <c r="H38"/>
  <c r="G38"/>
  <c r="J12"/>
  <c r="I12"/>
  <c r="H12"/>
  <c r="G12"/>
  <c r="E79" i="89"/>
  <c r="E78"/>
  <c r="E77"/>
  <c r="C79"/>
  <c r="C78"/>
  <c r="C77"/>
  <c r="B79"/>
  <c r="B78"/>
  <c r="B77"/>
  <c r="A79"/>
  <c r="A78"/>
  <c r="A77"/>
  <c r="E76"/>
  <c r="C76"/>
  <c r="B76"/>
  <c r="A76"/>
  <c r="J70" i="111"/>
  <c r="I70"/>
  <c r="H70"/>
  <c r="G70"/>
  <c r="J54"/>
  <c r="I54"/>
  <c r="F54" s="1"/>
  <c r="H54"/>
  <c r="G54"/>
  <c r="J41"/>
  <c r="I41"/>
  <c r="H41"/>
  <c r="G41"/>
  <c r="J12"/>
  <c r="I12"/>
  <c r="H12"/>
  <c r="G12"/>
  <c r="C74" i="89"/>
  <c r="C73"/>
  <c r="C72"/>
  <c r="C71"/>
  <c r="C70"/>
  <c r="C69"/>
  <c r="B74"/>
  <c r="B73"/>
  <c r="B72"/>
  <c r="B71"/>
  <c r="B70"/>
  <c r="B69"/>
  <c r="A74"/>
  <c r="A73"/>
  <c r="A72"/>
  <c r="A71"/>
  <c r="A70"/>
  <c r="A69"/>
  <c r="A68"/>
  <c r="E74"/>
  <c r="C68"/>
  <c r="B68"/>
  <c r="J90" i="110"/>
  <c r="I90"/>
  <c r="H90"/>
  <c r="G90"/>
  <c r="J80"/>
  <c r="I80"/>
  <c r="H80"/>
  <c r="G80"/>
  <c r="J69"/>
  <c r="I69"/>
  <c r="H69"/>
  <c r="G69"/>
  <c r="J55"/>
  <c r="I55"/>
  <c r="H55"/>
  <c r="G55"/>
  <c r="J44"/>
  <c r="I44"/>
  <c r="H44"/>
  <c r="F44" s="1"/>
  <c r="G44"/>
  <c r="J30"/>
  <c r="I30"/>
  <c r="H30"/>
  <c r="G30"/>
  <c r="J12"/>
  <c r="I12"/>
  <c r="H12"/>
  <c r="G12"/>
  <c r="E66" i="89"/>
  <c r="E65"/>
  <c r="E64"/>
  <c r="C66"/>
  <c r="C65"/>
  <c r="C64"/>
  <c r="B66"/>
  <c r="B65"/>
  <c r="B64"/>
  <c r="A66"/>
  <c r="A65"/>
  <c r="A64"/>
  <c r="E63"/>
  <c r="C63"/>
  <c r="B63"/>
  <c r="A63"/>
  <c r="J64" i="107"/>
  <c r="I64"/>
  <c r="H64"/>
  <c r="G64"/>
  <c r="J47"/>
  <c r="I47"/>
  <c r="H47"/>
  <c r="G47"/>
  <c r="J34"/>
  <c r="I34"/>
  <c r="H34"/>
  <c r="G34"/>
  <c r="J12"/>
  <c r="I12"/>
  <c r="F12" s="1"/>
  <c r="H12"/>
  <c r="G12"/>
  <c r="E61" i="89"/>
  <c r="E60"/>
  <c r="E59"/>
  <c r="E58"/>
  <c r="E57"/>
  <c r="C61"/>
  <c r="C60"/>
  <c r="C59"/>
  <c r="C58"/>
  <c r="C57"/>
  <c r="B61"/>
  <c r="B60"/>
  <c r="B59"/>
  <c r="B58"/>
  <c r="B57"/>
  <c r="A61"/>
  <c r="A60"/>
  <c r="A59"/>
  <c r="A58"/>
  <c r="A57"/>
  <c r="E56"/>
  <c r="C56"/>
  <c r="B56"/>
  <c r="A56"/>
  <c r="J118" i="106"/>
  <c r="I118"/>
  <c r="H118"/>
  <c r="G118"/>
  <c r="J100"/>
  <c r="I100"/>
  <c r="H100"/>
  <c r="G100"/>
  <c r="F100"/>
  <c r="J81"/>
  <c r="I81"/>
  <c r="H81"/>
  <c r="G81"/>
  <c r="J57"/>
  <c r="I57"/>
  <c r="H57"/>
  <c r="G57"/>
  <c r="J39"/>
  <c r="I39"/>
  <c r="H39"/>
  <c r="G39"/>
  <c r="J12"/>
  <c r="I12"/>
  <c r="H12"/>
  <c r="G12"/>
  <c r="F12" i="117" l="1"/>
  <c r="F22"/>
  <c r="F28" i="115"/>
  <c r="F28" i="114"/>
  <c r="F54" i="113"/>
  <c r="F38" i="112"/>
  <c r="F12" i="111"/>
  <c r="F80" i="110"/>
  <c r="F55"/>
  <c r="F12"/>
  <c r="F47" i="107"/>
  <c r="F12" i="106"/>
  <c r="F12" i="115"/>
  <c r="F40"/>
  <c r="F12" i="114"/>
  <c r="F40"/>
  <c r="F40" i="113"/>
  <c r="F12" i="112"/>
  <c r="F51"/>
  <c r="F90" i="110"/>
  <c r="F30"/>
  <c r="F69"/>
  <c r="F34" i="107"/>
  <c r="F64"/>
  <c r="F81" i="106"/>
  <c r="F57"/>
  <c r="F118"/>
  <c r="F39"/>
  <c r="F12" i="116"/>
  <c r="F70" i="113"/>
  <c r="F41" i="111"/>
  <c r="F70"/>
  <c r="E69" i="89" l="1"/>
  <c r="E70"/>
  <c r="E71"/>
  <c r="E72"/>
  <c r="E73"/>
  <c r="E68"/>
  <c r="C54"/>
  <c r="C53"/>
  <c r="E54"/>
  <c r="E53"/>
  <c r="B54"/>
  <c r="B53"/>
  <c r="A54"/>
  <c r="A53"/>
  <c r="E52"/>
  <c r="E50"/>
  <c r="E49"/>
  <c r="E48"/>
  <c r="E47"/>
  <c r="E46"/>
  <c r="E45"/>
  <c r="E44"/>
  <c r="E43"/>
  <c r="E42"/>
  <c r="C52"/>
  <c r="B52"/>
  <c r="A52"/>
  <c r="J47" i="104"/>
  <c r="I47"/>
  <c r="H47"/>
  <c r="G47"/>
  <c r="J32"/>
  <c r="I32"/>
  <c r="H32"/>
  <c r="G32"/>
  <c r="J12"/>
  <c r="I12"/>
  <c r="H12"/>
  <c r="G12"/>
  <c r="C50" i="89"/>
  <c r="C49"/>
  <c r="C48"/>
  <c r="C47"/>
  <c r="C46"/>
  <c r="C45"/>
  <c r="C12"/>
  <c r="C44"/>
  <c r="C43"/>
  <c r="C42"/>
  <c r="B50"/>
  <c r="B49"/>
  <c r="B48"/>
  <c r="B47"/>
  <c r="B46"/>
  <c r="B45"/>
  <c r="B44"/>
  <c r="B43"/>
  <c r="B42"/>
  <c r="A50"/>
  <c r="A49"/>
  <c r="A48"/>
  <c r="A47"/>
  <c r="A46"/>
  <c r="A45"/>
  <c r="A44"/>
  <c r="A43"/>
  <c r="A42"/>
  <c r="E41"/>
  <c r="C41"/>
  <c r="B41"/>
  <c r="A41"/>
  <c r="J190" i="103"/>
  <c r="I190"/>
  <c r="H190"/>
  <c r="G190"/>
  <c r="J177"/>
  <c r="I177"/>
  <c r="H177"/>
  <c r="G177"/>
  <c r="J162"/>
  <c r="I162"/>
  <c r="H162"/>
  <c r="G162"/>
  <c r="J151"/>
  <c r="I151"/>
  <c r="H151"/>
  <c r="G151"/>
  <c r="F151"/>
  <c r="J132"/>
  <c r="I132"/>
  <c r="H132"/>
  <c r="G132"/>
  <c r="J115"/>
  <c r="I115"/>
  <c r="H115"/>
  <c r="G115"/>
  <c r="J87"/>
  <c r="I87"/>
  <c r="H87"/>
  <c r="G87"/>
  <c r="J59"/>
  <c r="I59"/>
  <c r="H59"/>
  <c r="G59"/>
  <c r="J42"/>
  <c r="I42"/>
  <c r="H42"/>
  <c r="G42"/>
  <c r="J12"/>
  <c r="I12"/>
  <c r="H12"/>
  <c r="G12"/>
  <c r="E39" i="89"/>
  <c r="E38"/>
  <c r="E37"/>
  <c r="E36"/>
  <c r="E35"/>
  <c r="E34"/>
  <c r="E33"/>
  <c r="E31"/>
  <c r="E32"/>
  <c r="E30"/>
  <c r="E29"/>
  <c r="E28"/>
  <c r="E27"/>
  <c r="E26"/>
  <c r="E25"/>
  <c r="C39"/>
  <c r="C38"/>
  <c r="C37"/>
  <c r="C36"/>
  <c r="C35"/>
  <c r="C34"/>
  <c r="C32"/>
  <c r="C31"/>
  <c r="C30"/>
  <c r="C29"/>
  <c r="C28"/>
  <c r="C27"/>
  <c r="C26"/>
  <c r="C25"/>
  <c r="B39"/>
  <c r="B38"/>
  <c r="B37"/>
  <c r="B36"/>
  <c r="B35"/>
  <c r="B34"/>
  <c r="B33"/>
  <c r="B32"/>
  <c r="B31"/>
  <c r="B30"/>
  <c r="B29"/>
  <c r="B28"/>
  <c r="B27"/>
  <c r="B26"/>
  <c r="B25"/>
  <c r="A39"/>
  <c r="A38"/>
  <c r="A37"/>
  <c r="A36"/>
  <c r="A35"/>
  <c r="A34"/>
  <c r="A33"/>
  <c r="A32"/>
  <c r="A31"/>
  <c r="A30"/>
  <c r="A29"/>
  <c r="A28"/>
  <c r="A27"/>
  <c r="A26"/>
  <c r="A25"/>
  <c r="C33"/>
  <c r="E24"/>
  <c r="C24"/>
  <c r="B24"/>
  <c r="A24"/>
  <c r="E22"/>
  <c r="E21"/>
  <c r="F59" i="103" l="1"/>
  <c r="F32" i="104"/>
  <c r="F115" i="103"/>
  <c r="F12"/>
  <c r="F177"/>
  <c r="F47" i="104"/>
  <c r="F12"/>
  <c r="F42" i="103"/>
  <c r="F132"/>
  <c r="F190"/>
  <c r="F87"/>
  <c r="F162"/>
  <c r="E20" i="89"/>
  <c r="E19"/>
  <c r="E18"/>
  <c r="E17"/>
  <c r="E16"/>
  <c r="E15"/>
  <c r="E14"/>
  <c r="E13"/>
  <c r="E12"/>
  <c r="E11"/>
  <c r="E10"/>
  <c r="E9"/>
  <c r="E8"/>
  <c r="E7"/>
  <c r="E6"/>
  <c r="E5"/>
  <c r="J209" i="102"/>
  <c r="I209"/>
  <c r="H209"/>
  <c r="G209"/>
  <c r="J193"/>
  <c r="I193"/>
  <c r="H193"/>
  <c r="G193"/>
  <c r="J188"/>
  <c r="I188"/>
  <c r="H188"/>
  <c r="G188"/>
  <c r="J182"/>
  <c r="I182"/>
  <c r="H182"/>
  <c r="F182" s="1"/>
  <c r="G182"/>
  <c r="J174"/>
  <c r="I174"/>
  <c r="H174"/>
  <c r="G174"/>
  <c r="J158"/>
  <c r="I158"/>
  <c r="H158"/>
  <c r="G158"/>
  <c r="J153"/>
  <c r="I153"/>
  <c r="H153"/>
  <c r="G153"/>
  <c r="J146"/>
  <c r="I146"/>
  <c r="F146" s="1"/>
  <c r="H146"/>
  <c r="G146"/>
  <c r="J128"/>
  <c r="I128"/>
  <c r="H128"/>
  <c r="G128"/>
  <c r="J112"/>
  <c r="I112"/>
  <c r="F112" s="1"/>
  <c r="H112"/>
  <c r="G112"/>
  <c r="J107"/>
  <c r="I107"/>
  <c r="H107"/>
  <c r="G107"/>
  <c r="J100"/>
  <c r="I100"/>
  <c r="H100"/>
  <c r="G100"/>
  <c r="J79"/>
  <c r="I79"/>
  <c r="H79"/>
  <c r="G79"/>
  <c r="J58"/>
  <c r="I58"/>
  <c r="H58"/>
  <c r="G58"/>
  <c r="J46"/>
  <c r="I46"/>
  <c r="H46"/>
  <c r="G46"/>
  <c r="J12"/>
  <c r="I12"/>
  <c r="F12" s="1"/>
  <c r="H12"/>
  <c r="G12"/>
  <c r="A22" i="89"/>
  <c r="A21"/>
  <c r="A20"/>
  <c r="A19"/>
  <c r="A18"/>
  <c r="A17"/>
  <c r="A16"/>
  <c r="A15"/>
  <c r="A14"/>
  <c r="A13"/>
  <c r="A12"/>
  <c r="A11"/>
  <c r="A10"/>
  <c r="A9"/>
  <c r="A8"/>
  <c r="A7"/>
  <c r="A6"/>
  <c r="A5"/>
  <c r="C22"/>
  <c r="C21"/>
  <c r="C20"/>
  <c r="C19"/>
  <c r="C18"/>
  <c r="C17"/>
  <c r="C16"/>
  <c r="C15"/>
  <c r="C14"/>
  <c r="C13"/>
  <c r="C11"/>
  <c r="C10"/>
  <c r="C9"/>
  <c r="C8"/>
  <c r="C7"/>
  <c r="C6"/>
  <c r="C5"/>
  <c r="B22"/>
  <c r="B21"/>
  <c r="B20"/>
  <c r="B19"/>
  <c r="B18"/>
  <c r="B17"/>
  <c r="B16"/>
  <c r="B15"/>
  <c r="B14"/>
  <c r="B13"/>
  <c r="B12"/>
  <c r="B11"/>
  <c r="B10"/>
  <c r="B9"/>
  <c r="B8"/>
  <c r="B7"/>
  <c r="B6"/>
  <c r="B5"/>
  <c r="E4"/>
  <c r="D4"/>
  <c r="C4"/>
  <c r="B4"/>
  <c r="A4"/>
  <c r="J264" i="101"/>
  <c r="I264"/>
  <c r="H264"/>
  <c r="G264"/>
  <c r="J248"/>
  <c r="I248"/>
  <c r="H248"/>
  <c r="G248"/>
  <c r="J243"/>
  <c r="I243"/>
  <c r="H243"/>
  <c r="G243"/>
  <c r="J237"/>
  <c r="I237"/>
  <c r="H237"/>
  <c r="G237"/>
  <c r="J219"/>
  <c r="I219"/>
  <c r="H219"/>
  <c r="G219"/>
  <c r="J206"/>
  <c r="I206"/>
  <c r="H206"/>
  <c r="G206"/>
  <c r="J191"/>
  <c r="I191"/>
  <c r="H191"/>
  <c r="G191"/>
  <c r="J178"/>
  <c r="I178"/>
  <c r="H178"/>
  <c r="F178" s="1"/>
  <c r="G178"/>
  <c r="J161"/>
  <c r="I161"/>
  <c r="H161"/>
  <c r="G161"/>
  <c r="J156"/>
  <c r="I156"/>
  <c r="H156"/>
  <c r="G156"/>
  <c r="J149"/>
  <c r="I149"/>
  <c r="H149"/>
  <c r="G149"/>
  <c r="J131"/>
  <c r="I131"/>
  <c r="H131"/>
  <c r="G131"/>
  <c r="J113"/>
  <c r="I113"/>
  <c r="H113"/>
  <c r="G113"/>
  <c r="J108"/>
  <c r="I108"/>
  <c r="H108"/>
  <c r="G108"/>
  <c r="J101"/>
  <c r="I101"/>
  <c r="H101"/>
  <c r="G101"/>
  <c r="J84"/>
  <c r="I84"/>
  <c r="H84"/>
  <c r="G84"/>
  <c r="J66"/>
  <c r="I66"/>
  <c r="H66"/>
  <c r="G66"/>
  <c r="J54"/>
  <c r="I54"/>
  <c r="H54"/>
  <c r="G54"/>
  <c r="J12"/>
  <c r="I12"/>
  <c r="H12"/>
  <c r="G12"/>
  <c r="E106" i="89"/>
  <c r="E105"/>
  <c r="D106"/>
  <c r="D105"/>
  <c r="C106"/>
  <c r="C105"/>
  <c r="B106"/>
  <c r="B105"/>
  <c r="A106"/>
  <c r="A105"/>
  <c r="N105"/>
  <c r="N106"/>
  <c r="M105"/>
  <c r="M106"/>
  <c r="L105"/>
  <c r="L106"/>
  <c r="F100" i="102" l="1"/>
  <c r="F193"/>
  <c r="F158"/>
  <c r="F79"/>
  <c r="F58"/>
  <c r="F131" i="101"/>
  <c r="F156"/>
  <c r="F84"/>
  <c r="F248"/>
  <c r="F237"/>
  <c r="F161"/>
  <c r="F206"/>
  <c r="F108"/>
  <c r="F66"/>
  <c r="F128" i="102"/>
  <c r="F46"/>
  <c r="F107"/>
  <c r="F153"/>
  <c r="F188"/>
  <c r="F174"/>
  <c r="F209"/>
  <c r="F101" i="101"/>
  <c r="F149"/>
  <c r="F191"/>
  <c r="F243"/>
  <c r="F54"/>
  <c r="F113"/>
  <c r="F219"/>
  <c r="F264"/>
  <c r="F12"/>
  <c r="J27" i="88" l="1"/>
  <c r="I27"/>
  <c r="H27"/>
  <c r="G27"/>
  <c r="J22"/>
  <c r="I22"/>
  <c r="H22"/>
  <c r="G22"/>
  <c r="J9"/>
  <c r="N104" i="89" s="1"/>
  <c r="I9" i="88"/>
  <c r="M104" i="89" s="1"/>
  <c r="H9" i="88"/>
  <c r="L104" i="89" s="1"/>
  <c r="G9" i="88"/>
  <c r="E104" i="89"/>
  <c r="D104"/>
  <c r="C104"/>
  <c r="B104"/>
  <c r="A104"/>
  <c r="G2" i="45"/>
  <c r="H2"/>
  <c r="I2"/>
  <c r="J2"/>
  <c r="K2"/>
  <c r="M2"/>
  <c r="N2"/>
  <c r="O2"/>
  <c r="P2"/>
  <c r="Q2"/>
  <c r="S2"/>
  <c r="T2"/>
  <c r="U2"/>
  <c r="V2"/>
  <c r="W2"/>
  <c r="X2"/>
  <c r="Z2"/>
  <c r="AA2"/>
  <c r="AB2"/>
  <c r="AC2"/>
  <c r="AD2"/>
  <c r="AE2"/>
  <c r="AF2"/>
  <c r="AG2"/>
  <c r="AK2"/>
  <c r="AL2"/>
  <c r="AM2"/>
  <c r="AN2"/>
  <c r="AO2"/>
  <c r="AP2"/>
  <c r="AQ2"/>
  <c r="AR2"/>
  <c r="AS2"/>
  <c r="AT2"/>
  <c r="AV2"/>
  <c r="AW2"/>
  <c r="AX2"/>
  <c r="AY2"/>
  <c r="AZ2"/>
  <c r="BA2"/>
  <c r="BB2"/>
  <c r="BD2"/>
  <c r="BE2"/>
  <c r="BF2"/>
  <c r="BG2"/>
  <c r="BH2"/>
  <c r="BI2"/>
  <c r="BJ2"/>
  <c r="BK2"/>
  <c r="BL2"/>
  <c r="BN2"/>
  <c r="BO2"/>
  <c r="BP2"/>
  <c r="BQ2"/>
  <c r="BR2"/>
  <c r="BS2"/>
  <c r="BT2"/>
  <c r="BV2"/>
  <c r="BW2"/>
  <c r="BX2"/>
  <c r="BY2"/>
  <c r="BZ2"/>
  <c r="CA2"/>
  <c r="CC2"/>
  <c r="CD2"/>
  <c r="CE2"/>
  <c r="CF2"/>
  <c r="A4"/>
  <c r="A5"/>
  <c r="B5"/>
  <c r="C5"/>
  <c r="G5"/>
  <c r="H5"/>
  <c r="I5"/>
  <c r="J5"/>
  <c r="K5"/>
  <c r="M5"/>
  <c r="N5"/>
  <c r="O5"/>
  <c r="P5"/>
  <c r="Q5"/>
  <c r="S5"/>
  <c r="T5"/>
  <c r="U5"/>
  <c r="V5"/>
  <c r="W5"/>
  <c r="X5"/>
  <c r="Z5"/>
  <c r="AA5"/>
  <c r="AB5"/>
  <c r="AC5"/>
  <c r="AD5"/>
  <c r="AE5"/>
  <c r="AF5"/>
  <c r="AG5"/>
  <c r="AH5"/>
  <c r="AI5"/>
  <c r="AK5"/>
  <c r="AL5"/>
  <c r="AM5"/>
  <c r="AN5"/>
  <c r="AO5"/>
  <c r="AP5"/>
  <c r="AQ5"/>
  <c r="AR5"/>
  <c r="AS5"/>
  <c r="AT5"/>
  <c r="AV5"/>
  <c r="AW5"/>
  <c r="AX5"/>
  <c r="AY5"/>
  <c r="AZ5"/>
  <c r="BA5"/>
  <c r="BB5"/>
  <c r="BD5"/>
  <c r="BE5"/>
  <c r="BF5"/>
  <c r="BG5"/>
  <c r="BH5"/>
  <c r="BI5"/>
  <c r="BJ5"/>
  <c r="BK5"/>
  <c r="BL5"/>
  <c r="BN5"/>
  <c r="BO5"/>
  <c r="BP5"/>
  <c r="BQ5"/>
  <c r="BR5"/>
  <c r="BS5"/>
  <c r="BT5"/>
  <c r="BV5"/>
  <c r="BW5"/>
  <c r="BX5"/>
  <c r="BY5"/>
  <c r="BZ5"/>
  <c r="CA5"/>
  <c r="CC5"/>
  <c r="CD5"/>
  <c r="CE5"/>
  <c r="CF5"/>
  <c r="A6"/>
  <c r="B6"/>
  <c r="C6"/>
  <c r="G6"/>
  <c r="H6"/>
  <c r="I6"/>
  <c r="J6"/>
  <c r="K6"/>
  <c r="M6"/>
  <c r="N6"/>
  <c r="O6"/>
  <c r="P6"/>
  <c r="Q6"/>
  <c r="S6"/>
  <c r="T6"/>
  <c r="U6"/>
  <c r="V6"/>
  <c r="W6"/>
  <c r="X6"/>
  <c r="Z6"/>
  <c r="AA6"/>
  <c r="AB6"/>
  <c r="AC6"/>
  <c r="AD6"/>
  <c r="AE6"/>
  <c r="AF6"/>
  <c r="AG6"/>
  <c r="AH6"/>
  <c r="AI6"/>
  <c r="AK6"/>
  <c r="AL6"/>
  <c r="AM6"/>
  <c r="AN6"/>
  <c r="AO6"/>
  <c r="AP6"/>
  <c r="AQ6"/>
  <c r="AR6"/>
  <c r="AS6"/>
  <c r="AT6"/>
  <c r="AV6"/>
  <c r="AW6"/>
  <c r="AX6"/>
  <c r="AY6"/>
  <c r="AZ6"/>
  <c r="BA6"/>
  <c r="BB6"/>
  <c r="BD6"/>
  <c r="BE6"/>
  <c r="BF6"/>
  <c r="BG6"/>
  <c r="BH6"/>
  <c r="BI6"/>
  <c r="BJ6"/>
  <c r="BK6"/>
  <c r="BL6"/>
  <c r="BN6"/>
  <c r="BO6"/>
  <c r="BP6"/>
  <c r="BQ6"/>
  <c r="BR6"/>
  <c r="BS6"/>
  <c r="BT6"/>
  <c r="BV6"/>
  <c r="BW6"/>
  <c r="BX6"/>
  <c r="BY6"/>
  <c r="BZ6"/>
  <c r="CA6"/>
  <c r="CC6"/>
  <c r="CD6"/>
  <c r="CE6"/>
  <c r="CF6"/>
  <c r="A7"/>
  <c r="B7"/>
  <c r="C7"/>
  <c r="G7"/>
  <c r="H7"/>
  <c r="I7"/>
  <c r="J7"/>
  <c r="K7"/>
  <c r="M7"/>
  <c r="N7"/>
  <c r="O7"/>
  <c r="P7"/>
  <c r="Q7"/>
  <c r="S7"/>
  <c r="T7"/>
  <c r="U7"/>
  <c r="V7"/>
  <c r="W7"/>
  <c r="X7"/>
  <c r="Z7"/>
  <c r="AA7"/>
  <c r="AB7"/>
  <c r="AC7"/>
  <c r="AD7"/>
  <c r="AE7"/>
  <c r="AF7"/>
  <c r="AG7"/>
  <c r="AH7"/>
  <c r="AI7"/>
  <c r="AK7"/>
  <c r="AL7"/>
  <c r="AM7"/>
  <c r="AN7"/>
  <c r="AO7"/>
  <c r="AP7"/>
  <c r="AQ7"/>
  <c r="AR7"/>
  <c r="AS7"/>
  <c r="AT7"/>
  <c r="AV7"/>
  <c r="AW7"/>
  <c r="AX7"/>
  <c r="AY7"/>
  <c r="AZ7"/>
  <c r="BA7"/>
  <c r="BB7"/>
  <c r="BD7"/>
  <c r="BE7"/>
  <c r="BF7"/>
  <c r="BG7"/>
  <c r="BH7"/>
  <c r="BI7"/>
  <c r="BJ7"/>
  <c r="BK7"/>
  <c r="BL7"/>
  <c r="BN7"/>
  <c r="BO7"/>
  <c r="BP7"/>
  <c r="BQ7"/>
  <c r="BR7"/>
  <c r="BS7"/>
  <c r="BT7"/>
  <c r="BV7"/>
  <c r="BW7"/>
  <c r="BX7"/>
  <c r="BY7"/>
  <c r="BZ7"/>
  <c r="CA7"/>
  <c r="CC7"/>
  <c r="CD7"/>
  <c r="CE7"/>
  <c r="CF7"/>
  <c r="A8"/>
  <c r="A9"/>
  <c r="B9"/>
  <c r="C9"/>
  <c r="G9"/>
  <c r="H9"/>
  <c r="I9"/>
  <c r="J9"/>
  <c r="K9"/>
  <c r="M9"/>
  <c r="N9"/>
  <c r="O9"/>
  <c r="P9"/>
  <c r="Q9"/>
  <c r="S9"/>
  <c r="T9"/>
  <c r="U9"/>
  <c r="V9"/>
  <c r="W9"/>
  <c r="X9"/>
  <c r="Z9"/>
  <c r="AA9"/>
  <c r="AB9"/>
  <c r="AC9"/>
  <c r="AD9"/>
  <c r="AE9"/>
  <c r="AF9"/>
  <c r="AG9"/>
  <c r="AH9"/>
  <c r="AI9"/>
  <c r="AK9"/>
  <c r="AL9"/>
  <c r="AM9"/>
  <c r="AN9"/>
  <c r="AO9"/>
  <c r="AP9"/>
  <c r="AQ9"/>
  <c r="AR9"/>
  <c r="AS9"/>
  <c r="AT9"/>
  <c r="AV9"/>
  <c r="AW9"/>
  <c r="AX9"/>
  <c r="AY9"/>
  <c r="AZ9"/>
  <c r="BA9"/>
  <c r="BB9"/>
  <c r="BD9"/>
  <c r="BE9"/>
  <c r="BF9"/>
  <c r="BG9"/>
  <c r="BH9"/>
  <c r="BI9"/>
  <c r="BJ9"/>
  <c r="BK9"/>
  <c r="BL9"/>
  <c r="BN9"/>
  <c r="BO9"/>
  <c r="BP9"/>
  <c r="BQ9"/>
  <c r="BR9"/>
  <c r="BS9"/>
  <c r="BT9"/>
  <c r="BV9"/>
  <c r="BW9"/>
  <c r="BX9"/>
  <c r="BY9"/>
  <c r="BZ9"/>
  <c r="CA9"/>
  <c r="CC9"/>
  <c r="CD9"/>
  <c r="CE9"/>
  <c r="CF9"/>
  <c r="A10"/>
  <c r="B10"/>
  <c r="C10"/>
  <c r="G10"/>
  <c r="H10"/>
  <c r="I10"/>
  <c r="J10"/>
  <c r="K10"/>
  <c r="M10"/>
  <c r="N10"/>
  <c r="O10"/>
  <c r="P10"/>
  <c r="Q10"/>
  <c r="S10"/>
  <c r="T10"/>
  <c r="U10"/>
  <c r="V10"/>
  <c r="W10"/>
  <c r="X10"/>
  <c r="Z10"/>
  <c r="AA10"/>
  <c r="AB10"/>
  <c r="AC10"/>
  <c r="AD10"/>
  <c r="AE10"/>
  <c r="AF10"/>
  <c r="AG10"/>
  <c r="AH10"/>
  <c r="AI10"/>
  <c r="AK10"/>
  <c r="AL10"/>
  <c r="AM10"/>
  <c r="AN10"/>
  <c r="AO10"/>
  <c r="AP10"/>
  <c r="AQ10"/>
  <c r="AR10"/>
  <c r="AS10"/>
  <c r="AT10"/>
  <c r="AV10"/>
  <c r="AW10"/>
  <c r="AX10"/>
  <c r="AY10"/>
  <c r="AZ10"/>
  <c r="BA10"/>
  <c r="BB10"/>
  <c r="BD10"/>
  <c r="BE10"/>
  <c r="BF10"/>
  <c r="BG10"/>
  <c r="BH10"/>
  <c r="BI10"/>
  <c r="BJ10"/>
  <c r="BK10"/>
  <c r="BL10"/>
  <c r="BN10"/>
  <c r="BO10"/>
  <c r="BP10"/>
  <c r="BQ10"/>
  <c r="BR10"/>
  <c r="BS10"/>
  <c r="BT10"/>
  <c r="BV10"/>
  <c r="BW10"/>
  <c r="BX10"/>
  <c r="BY10"/>
  <c r="BZ10"/>
  <c r="CA10"/>
  <c r="CC10"/>
  <c r="CD10"/>
  <c r="CE10"/>
  <c r="CF10"/>
  <c r="A11"/>
  <c r="B11"/>
  <c r="C11"/>
  <c r="G11"/>
  <c r="H11"/>
  <c r="I11"/>
  <c r="J11"/>
  <c r="K11"/>
  <c r="M11"/>
  <c r="N11"/>
  <c r="O11"/>
  <c r="P11"/>
  <c r="Q11"/>
  <c r="S11"/>
  <c r="T11"/>
  <c r="U11"/>
  <c r="V11"/>
  <c r="W11"/>
  <c r="X11"/>
  <c r="Z11"/>
  <c r="AA11"/>
  <c r="AB11"/>
  <c r="AC11"/>
  <c r="AD11"/>
  <c r="AE11"/>
  <c r="AF11"/>
  <c r="AG11"/>
  <c r="AH11"/>
  <c r="AI11"/>
  <c r="AK11"/>
  <c r="AL11"/>
  <c r="AM11"/>
  <c r="AN11"/>
  <c r="AO11"/>
  <c r="AP11"/>
  <c r="AQ11"/>
  <c r="AR11"/>
  <c r="AS11"/>
  <c r="AT11"/>
  <c r="AV11"/>
  <c r="AW11"/>
  <c r="AX11"/>
  <c r="AY11"/>
  <c r="AZ11"/>
  <c r="BA11"/>
  <c r="BB11"/>
  <c r="BD11"/>
  <c r="BE11"/>
  <c r="BF11"/>
  <c r="BG11"/>
  <c r="BH11"/>
  <c r="BI11"/>
  <c r="BJ11"/>
  <c r="BK11"/>
  <c r="BL11"/>
  <c r="BN11"/>
  <c r="BO11"/>
  <c r="BP11"/>
  <c r="BQ11"/>
  <c r="BR11"/>
  <c r="BS11"/>
  <c r="BT11"/>
  <c r="BV11"/>
  <c r="BW11"/>
  <c r="BX11"/>
  <c r="BY11"/>
  <c r="BZ11"/>
  <c r="CA11"/>
  <c r="CC11"/>
  <c r="CD11"/>
  <c r="CE11"/>
  <c r="CF11"/>
  <c r="A12"/>
  <c r="B12"/>
  <c r="C12"/>
  <c r="G12"/>
  <c r="H12"/>
  <c r="I12"/>
  <c r="J12"/>
  <c r="K12"/>
  <c r="M12"/>
  <c r="N12"/>
  <c r="O12"/>
  <c r="P12"/>
  <c r="Q12"/>
  <c r="S12"/>
  <c r="T12"/>
  <c r="U12"/>
  <c r="V12"/>
  <c r="W12"/>
  <c r="X12"/>
  <c r="Z12"/>
  <c r="AA12"/>
  <c r="AB12"/>
  <c r="AC12"/>
  <c r="AD12"/>
  <c r="AE12"/>
  <c r="AF12"/>
  <c r="AG12"/>
  <c r="AH12"/>
  <c r="AI12"/>
  <c r="A13"/>
  <c r="A14"/>
  <c r="B14"/>
  <c r="C14"/>
  <c r="G14"/>
  <c r="H14"/>
  <c r="I14"/>
  <c r="J14"/>
  <c r="K14"/>
  <c r="M14"/>
  <c r="N14"/>
  <c r="O14"/>
  <c r="P14"/>
  <c r="Q14"/>
  <c r="S14"/>
  <c r="T14"/>
  <c r="U14"/>
  <c r="V14"/>
  <c r="W14"/>
  <c r="X14"/>
  <c r="Z14"/>
  <c r="AA14"/>
  <c r="AB14"/>
  <c r="AC14"/>
  <c r="AD14"/>
  <c r="AE14"/>
  <c r="AF14"/>
  <c r="AG14"/>
  <c r="AH14"/>
  <c r="AI14"/>
  <c r="AK14"/>
  <c r="AL14"/>
  <c r="AM14"/>
  <c r="AN14"/>
  <c r="AO14"/>
  <c r="AP14"/>
  <c r="AQ14"/>
  <c r="AR14"/>
  <c r="AS14"/>
  <c r="AT14"/>
  <c r="AV14"/>
  <c r="AW14"/>
  <c r="AX14"/>
  <c r="AY14"/>
  <c r="AZ14"/>
  <c r="BA14"/>
  <c r="BB14"/>
  <c r="BD14"/>
  <c r="BE14"/>
  <c r="BF14"/>
  <c r="BG14"/>
  <c r="BH14"/>
  <c r="BI14"/>
  <c r="BJ14"/>
  <c r="BK14"/>
  <c r="BL14"/>
  <c r="BN14"/>
  <c r="BO14"/>
  <c r="BP14"/>
  <c r="BQ14"/>
  <c r="BR14"/>
  <c r="BS14"/>
  <c r="BT14"/>
  <c r="BV14"/>
  <c r="BW14"/>
  <c r="BX14"/>
  <c r="BY14"/>
  <c r="BZ14"/>
  <c r="CA14"/>
  <c r="CC14"/>
  <c r="CD14"/>
  <c r="CE14"/>
  <c r="CF14"/>
  <c r="A15"/>
  <c r="B15"/>
  <c r="C15"/>
  <c r="G15"/>
  <c r="H15"/>
  <c r="I15"/>
  <c r="J15"/>
  <c r="K15"/>
  <c r="M15"/>
  <c r="N15"/>
  <c r="O15"/>
  <c r="P15"/>
  <c r="Q15"/>
  <c r="S15"/>
  <c r="T15"/>
  <c r="U15"/>
  <c r="V15"/>
  <c r="W15"/>
  <c r="X15"/>
  <c r="Z15"/>
  <c r="AA15"/>
  <c r="AB15"/>
  <c r="AC15"/>
  <c r="AD15"/>
  <c r="AE15"/>
  <c r="AF15"/>
  <c r="AG15"/>
  <c r="AH15"/>
  <c r="AI15"/>
  <c r="AK15"/>
  <c r="AL15"/>
  <c r="AM15"/>
  <c r="AN15"/>
  <c r="AO15"/>
  <c r="AP15"/>
  <c r="AQ15"/>
  <c r="AR15"/>
  <c r="AS15"/>
  <c r="AT15"/>
  <c r="AV15"/>
  <c r="AW15"/>
  <c r="AX15"/>
  <c r="AY15"/>
  <c r="AZ15"/>
  <c r="BA15"/>
  <c r="BB15"/>
  <c r="BD15"/>
  <c r="BE15"/>
  <c r="BF15"/>
  <c r="BG15"/>
  <c r="BH15"/>
  <c r="BI15"/>
  <c r="BJ15"/>
  <c r="BK15"/>
  <c r="BL15"/>
  <c r="BN15"/>
  <c r="BO15"/>
  <c r="BP15"/>
  <c r="BQ15"/>
  <c r="BR15"/>
  <c r="BS15"/>
  <c r="BT15"/>
  <c r="BV15"/>
  <c r="BW15"/>
  <c r="BX15"/>
  <c r="BY15"/>
  <c r="BZ15"/>
  <c r="CA15"/>
  <c r="CC15"/>
  <c r="CD15"/>
  <c r="CE15"/>
  <c r="CF15"/>
  <c r="A16"/>
  <c r="B16"/>
  <c r="C16"/>
  <c r="G16"/>
  <c r="H16"/>
  <c r="I16"/>
  <c r="J16"/>
  <c r="K16"/>
  <c r="M16"/>
  <c r="N16"/>
  <c r="O16"/>
  <c r="P16"/>
  <c r="Q16"/>
  <c r="S16"/>
  <c r="T16"/>
  <c r="U16"/>
  <c r="V16"/>
  <c r="W16"/>
  <c r="X16"/>
  <c r="Z16"/>
  <c r="AA16"/>
  <c r="AB16"/>
  <c r="AC16"/>
  <c r="AD16"/>
  <c r="AE16"/>
  <c r="AF16"/>
  <c r="AG16"/>
  <c r="AH16"/>
  <c r="AI16"/>
  <c r="AK16"/>
  <c r="AL16"/>
  <c r="AM16"/>
  <c r="AN16"/>
  <c r="AO16"/>
  <c r="AP16"/>
  <c r="AQ16"/>
  <c r="AR16"/>
  <c r="AS16"/>
  <c r="AT16"/>
  <c r="AV16"/>
  <c r="AW16"/>
  <c r="AX16"/>
  <c r="AY16"/>
  <c r="AZ16"/>
  <c r="BA16"/>
  <c r="BB16"/>
  <c r="BD16"/>
  <c r="BE16"/>
  <c r="BF16"/>
  <c r="BG16"/>
  <c r="BH16"/>
  <c r="BI16"/>
  <c r="BJ16"/>
  <c r="BK16"/>
  <c r="BL16"/>
  <c r="BN16"/>
  <c r="BO16"/>
  <c r="BP16"/>
  <c r="BQ16"/>
  <c r="BR16"/>
  <c r="BS16"/>
  <c r="BT16"/>
  <c r="BV16"/>
  <c r="BW16"/>
  <c r="BX16"/>
  <c r="BY16"/>
  <c r="BZ16"/>
  <c r="CA16"/>
  <c r="CC16"/>
  <c r="CD16"/>
  <c r="CE16"/>
  <c r="CF16"/>
  <c r="A17"/>
  <c r="B17"/>
  <c r="C17"/>
  <c r="G17"/>
  <c r="H17"/>
  <c r="I17"/>
  <c r="J17"/>
  <c r="K17"/>
  <c r="M17"/>
  <c r="N17"/>
  <c r="O17"/>
  <c r="P17"/>
  <c r="Q17"/>
  <c r="S17"/>
  <c r="T17"/>
  <c r="U17"/>
  <c r="V17"/>
  <c r="W17"/>
  <c r="X17"/>
  <c r="Z17"/>
  <c r="AA17"/>
  <c r="AB17"/>
  <c r="AC17"/>
  <c r="AD17"/>
  <c r="AE17"/>
  <c r="AF17"/>
  <c r="AG17"/>
  <c r="AH17"/>
  <c r="AI17"/>
  <c r="AK17"/>
  <c r="AL17"/>
  <c r="AM17"/>
  <c r="AN17"/>
  <c r="AO17"/>
  <c r="AP17"/>
  <c r="AQ17"/>
  <c r="AR17"/>
  <c r="AS17"/>
  <c r="AT17"/>
  <c r="AV17"/>
  <c r="AW17"/>
  <c r="AX17"/>
  <c r="AY17"/>
  <c r="AZ17"/>
  <c r="BA17"/>
  <c r="BB17"/>
  <c r="BD17"/>
  <c r="BE17"/>
  <c r="BF17"/>
  <c r="BG17"/>
  <c r="BH17"/>
  <c r="BI17"/>
  <c r="BJ17"/>
  <c r="BK17"/>
  <c r="BL17"/>
  <c r="BN17"/>
  <c r="BO17"/>
  <c r="BP17"/>
  <c r="BQ17"/>
  <c r="BR17"/>
  <c r="BS17"/>
  <c r="BT17"/>
  <c r="BV17"/>
  <c r="BW17"/>
  <c r="BX17"/>
  <c r="BY17"/>
  <c r="BZ17"/>
  <c r="CA17"/>
  <c r="CC17"/>
  <c r="CD17"/>
  <c r="CE17"/>
  <c r="CF17"/>
  <c r="A18"/>
  <c r="B18"/>
  <c r="C18"/>
  <c r="G18"/>
  <c r="H18"/>
  <c r="I18"/>
  <c r="J18"/>
  <c r="K18"/>
  <c r="M18"/>
  <c r="N18"/>
  <c r="O18"/>
  <c r="P18"/>
  <c r="Q18"/>
  <c r="S18"/>
  <c r="T18"/>
  <c r="U18"/>
  <c r="V18"/>
  <c r="W18"/>
  <c r="X18"/>
  <c r="Z18"/>
  <c r="AA18"/>
  <c r="AB18"/>
  <c r="AC18"/>
  <c r="AD18"/>
  <c r="AE18"/>
  <c r="AF18"/>
  <c r="AG18"/>
  <c r="AH18"/>
  <c r="AI18"/>
  <c r="AK18"/>
  <c r="AL18"/>
  <c r="AM18"/>
  <c r="AN18"/>
  <c r="AO18"/>
  <c r="AP18"/>
  <c r="AQ18"/>
  <c r="AR18"/>
  <c r="AS18"/>
  <c r="AT18"/>
  <c r="AV18"/>
  <c r="AW18"/>
  <c r="AX18"/>
  <c r="AY18"/>
  <c r="AZ18"/>
  <c r="BA18"/>
  <c r="BB18"/>
  <c r="BD18"/>
  <c r="BE18"/>
  <c r="BF18"/>
  <c r="BG18"/>
  <c r="BH18"/>
  <c r="BI18"/>
  <c r="BJ18"/>
  <c r="BK18"/>
  <c r="BL18"/>
  <c r="BN18"/>
  <c r="BO18"/>
  <c r="BP18"/>
  <c r="BQ18"/>
  <c r="BR18"/>
  <c r="BS18"/>
  <c r="BT18"/>
  <c r="BV18"/>
  <c r="BW18"/>
  <c r="BX18"/>
  <c r="BY18"/>
  <c r="BZ18"/>
  <c r="CA18"/>
  <c r="CC18"/>
  <c r="CD18"/>
  <c r="CE18"/>
  <c r="CF18"/>
  <c r="A19"/>
  <c r="B19"/>
  <c r="C19"/>
  <c r="G19"/>
  <c r="H19"/>
  <c r="I19"/>
  <c r="J19"/>
  <c r="K19"/>
  <c r="M19"/>
  <c r="N19"/>
  <c r="O19"/>
  <c r="P19"/>
  <c r="Q19"/>
  <c r="S19"/>
  <c r="T19"/>
  <c r="U19"/>
  <c r="V19"/>
  <c r="W19"/>
  <c r="X19"/>
  <c r="Z19"/>
  <c r="AA19"/>
  <c r="AB19"/>
  <c r="AC19"/>
  <c r="AD19"/>
  <c r="AE19"/>
  <c r="AF19"/>
  <c r="AG19"/>
  <c r="AH19"/>
  <c r="AI19"/>
  <c r="AK19"/>
  <c r="AL19"/>
  <c r="AM19"/>
  <c r="AN19"/>
  <c r="AO19"/>
  <c r="AP19"/>
  <c r="AQ19"/>
  <c r="AR19"/>
  <c r="AS19"/>
  <c r="AT19"/>
  <c r="AV19"/>
  <c r="AW19"/>
  <c r="AX19"/>
  <c r="AY19"/>
  <c r="AZ19"/>
  <c r="BA19"/>
  <c r="BB19"/>
  <c r="BD19"/>
  <c r="BE19"/>
  <c r="BF19"/>
  <c r="BG19"/>
  <c r="BH19"/>
  <c r="BI19"/>
  <c r="BJ19"/>
  <c r="BK19"/>
  <c r="BL19"/>
  <c r="BN19"/>
  <c r="BO19"/>
  <c r="BP19"/>
  <c r="BQ19"/>
  <c r="BR19"/>
  <c r="BS19"/>
  <c r="BT19"/>
  <c r="BV19"/>
  <c r="BW19"/>
  <c r="BX19"/>
  <c r="BY19"/>
  <c r="BZ19"/>
  <c r="CA19"/>
  <c r="CC19"/>
  <c r="CD19"/>
  <c r="CE19"/>
  <c r="CF19"/>
  <c r="A20"/>
  <c r="A21"/>
  <c r="B21"/>
  <c r="C21"/>
  <c r="G21"/>
  <c r="H21"/>
  <c r="I21"/>
  <c r="J21"/>
  <c r="K21"/>
  <c r="M21"/>
  <c r="N21"/>
  <c r="O21"/>
  <c r="P21"/>
  <c r="Q21"/>
  <c r="S21"/>
  <c r="T21"/>
  <c r="U21"/>
  <c r="V21"/>
  <c r="W21"/>
  <c r="X21"/>
  <c r="Z21"/>
  <c r="AA21"/>
  <c r="AB21"/>
  <c r="AC21"/>
  <c r="AD21"/>
  <c r="AE21"/>
  <c r="AF21"/>
  <c r="AG21"/>
  <c r="AH21"/>
  <c r="AI21"/>
  <c r="AK21"/>
  <c r="AL21"/>
  <c r="AM21"/>
  <c r="AN21"/>
  <c r="AO21"/>
  <c r="AP21"/>
  <c r="AQ21"/>
  <c r="AR21"/>
  <c r="AS21"/>
  <c r="AT21"/>
  <c r="AV21"/>
  <c r="AW21"/>
  <c r="AX21"/>
  <c r="AY21"/>
  <c r="AZ21"/>
  <c r="BA21"/>
  <c r="BB21"/>
  <c r="BD21"/>
  <c r="BE21"/>
  <c r="BF21"/>
  <c r="BG21"/>
  <c r="BH21"/>
  <c r="BI21"/>
  <c r="BJ21"/>
  <c r="BK21"/>
  <c r="BL21"/>
  <c r="BN21"/>
  <c r="BO21"/>
  <c r="BP21"/>
  <c r="BQ21"/>
  <c r="BR21"/>
  <c r="BS21"/>
  <c r="BT21"/>
  <c r="BV21"/>
  <c r="BW21"/>
  <c r="BX21"/>
  <c r="BY21"/>
  <c r="BZ21"/>
  <c r="CA21"/>
  <c r="CC21"/>
  <c r="CD21"/>
  <c r="CE21"/>
  <c r="CF21"/>
  <c r="A22"/>
  <c r="B22"/>
  <c r="C22"/>
  <c r="G22"/>
  <c r="H22"/>
  <c r="I22"/>
  <c r="J22"/>
  <c r="K22"/>
  <c r="M22"/>
  <c r="N22"/>
  <c r="O22"/>
  <c r="P22"/>
  <c r="Q22"/>
  <c r="S22"/>
  <c r="T22"/>
  <c r="U22"/>
  <c r="V22"/>
  <c r="W22"/>
  <c r="X22"/>
  <c r="Z22"/>
  <c r="AA22"/>
  <c r="AB22"/>
  <c r="AC22"/>
  <c r="AD22"/>
  <c r="AE22"/>
  <c r="AF22"/>
  <c r="AG22"/>
  <c r="AH22"/>
  <c r="AI22"/>
  <c r="AK22"/>
  <c r="AL22"/>
  <c r="AM22"/>
  <c r="AN22"/>
  <c r="AO22"/>
  <c r="AP22"/>
  <c r="AQ22"/>
  <c r="AR22"/>
  <c r="AS22"/>
  <c r="AT22"/>
  <c r="AV22"/>
  <c r="AW22"/>
  <c r="AX22"/>
  <c r="AY22"/>
  <c r="AZ22"/>
  <c r="BA22"/>
  <c r="BB22"/>
  <c r="BD22"/>
  <c r="BE22"/>
  <c r="BF22"/>
  <c r="BG22"/>
  <c r="BH22"/>
  <c r="BI22"/>
  <c r="BJ22"/>
  <c r="BK22"/>
  <c r="BL22"/>
  <c r="BN22"/>
  <c r="BO22"/>
  <c r="BP22"/>
  <c r="BQ22"/>
  <c r="BR22"/>
  <c r="BS22"/>
  <c r="BT22"/>
  <c r="BV22"/>
  <c r="BW22"/>
  <c r="BX22"/>
  <c r="BY22"/>
  <c r="BZ22"/>
  <c r="CA22"/>
  <c r="CC22"/>
  <c r="CD22"/>
  <c r="CE22"/>
  <c r="CF22"/>
  <c r="A23"/>
  <c r="B23"/>
  <c r="C23"/>
  <c r="G23"/>
  <c r="H23"/>
  <c r="I23"/>
  <c r="J23"/>
  <c r="K23"/>
  <c r="M23"/>
  <c r="N23"/>
  <c r="O23"/>
  <c r="P23"/>
  <c r="Q23"/>
  <c r="S23"/>
  <c r="T23"/>
  <c r="U23"/>
  <c r="V23"/>
  <c r="W23"/>
  <c r="X23"/>
  <c r="Z23"/>
  <c r="AA23"/>
  <c r="AB23"/>
  <c r="AC23"/>
  <c r="AD23"/>
  <c r="AE23"/>
  <c r="AF23"/>
  <c r="AG23"/>
  <c r="AH23"/>
  <c r="AI23"/>
  <c r="AK23"/>
  <c r="AL23"/>
  <c r="AM23"/>
  <c r="AN23"/>
  <c r="AO23"/>
  <c r="AP23"/>
  <c r="AQ23"/>
  <c r="AR23"/>
  <c r="AS23"/>
  <c r="AT23"/>
  <c r="AV23"/>
  <c r="AW23"/>
  <c r="AX23"/>
  <c r="AY23"/>
  <c r="AZ23"/>
  <c r="BA23"/>
  <c r="BB23"/>
  <c r="BD23"/>
  <c r="BE23"/>
  <c r="BF23"/>
  <c r="BG23"/>
  <c r="BH23"/>
  <c r="BI23"/>
  <c r="BJ23"/>
  <c r="BK23"/>
  <c r="BL23"/>
  <c r="BN23"/>
  <c r="BO23"/>
  <c r="BP23"/>
  <c r="BQ23"/>
  <c r="BR23"/>
  <c r="BS23"/>
  <c r="BT23"/>
  <c r="BV23"/>
  <c r="BW23"/>
  <c r="BX23"/>
  <c r="BY23"/>
  <c r="BZ23"/>
  <c r="CA23"/>
  <c r="CC23"/>
  <c r="CD23"/>
  <c r="CE23"/>
  <c r="CF23"/>
  <c r="A24"/>
  <c r="B24"/>
  <c r="C24"/>
  <c r="G24"/>
  <c r="H24"/>
  <c r="I24"/>
  <c r="J24"/>
  <c r="K24"/>
  <c r="M24"/>
  <c r="N24"/>
  <c r="O24"/>
  <c r="P24"/>
  <c r="Q24"/>
  <c r="S24"/>
  <c r="T24"/>
  <c r="U24"/>
  <c r="V24"/>
  <c r="W24"/>
  <c r="X24"/>
  <c r="Z24"/>
  <c r="AA24"/>
  <c r="AB24"/>
  <c r="AC24"/>
  <c r="AD24"/>
  <c r="AE24"/>
  <c r="AF24"/>
  <c r="AG24"/>
  <c r="AH24"/>
  <c r="AI24"/>
  <c r="AK24"/>
  <c r="AL24"/>
  <c r="AM24"/>
  <c r="AN24"/>
  <c r="AO24"/>
  <c r="AP24"/>
  <c r="AQ24"/>
  <c r="AR24"/>
  <c r="AS24"/>
  <c r="AT24"/>
  <c r="AV24"/>
  <c r="AW24"/>
  <c r="AX24"/>
  <c r="AY24"/>
  <c r="AZ24"/>
  <c r="BA24"/>
  <c r="BB24"/>
  <c r="BD24"/>
  <c r="BE24"/>
  <c r="BF24"/>
  <c r="BG24"/>
  <c r="BH24"/>
  <c r="BI24"/>
  <c r="BJ24"/>
  <c r="BK24"/>
  <c r="BL24"/>
  <c r="BN24"/>
  <c r="BO24"/>
  <c r="BP24"/>
  <c r="BQ24"/>
  <c r="BR24"/>
  <c r="BS24"/>
  <c r="BT24"/>
  <c r="BV24"/>
  <c r="BW24"/>
  <c r="BX24"/>
  <c r="BY24"/>
  <c r="BZ24"/>
  <c r="CA24"/>
  <c r="CC24"/>
  <c r="CD24"/>
  <c r="CE24"/>
  <c r="CF24"/>
  <c r="A25"/>
  <c r="B25"/>
  <c r="C25"/>
  <c r="G25"/>
  <c r="H25"/>
  <c r="I25"/>
  <c r="J25"/>
  <c r="K25"/>
  <c r="M25"/>
  <c r="N25"/>
  <c r="O25"/>
  <c r="P25"/>
  <c r="Q25"/>
  <c r="S25"/>
  <c r="T25"/>
  <c r="U25"/>
  <c r="V25"/>
  <c r="W25"/>
  <c r="X25"/>
  <c r="Z25"/>
  <c r="AA25"/>
  <c r="AB25"/>
  <c r="AC25"/>
  <c r="AD25"/>
  <c r="AE25"/>
  <c r="AF25"/>
  <c r="AG25"/>
  <c r="AH25"/>
  <c r="AI25"/>
  <c r="AK25"/>
  <c r="AL25"/>
  <c r="AM25"/>
  <c r="AN25"/>
  <c r="AO25"/>
  <c r="AP25"/>
  <c r="AQ25"/>
  <c r="AR25"/>
  <c r="AS25"/>
  <c r="AT25"/>
  <c r="AV25"/>
  <c r="AW25"/>
  <c r="AX25"/>
  <c r="AY25"/>
  <c r="AZ25"/>
  <c r="BA25"/>
  <c r="BB25"/>
  <c r="BD25"/>
  <c r="BE25"/>
  <c r="BF25"/>
  <c r="BG25"/>
  <c r="BH25"/>
  <c r="BI25"/>
  <c r="BJ25"/>
  <c r="BK25"/>
  <c r="BL25"/>
  <c r="BN25"/>
  <c r="BO25"/>
  <c r="BP25"/>
  <c r="BQ25"/>
  <c r="BR25"/>
  <c r="BS25"/>
  <c r="BT25"/>
  <c r="BV25"/>
  <c r="BW25"/>
  <c r="BX25"/>
  <c r="BY25"/>
  <c r="BZ25"/>
  <c r="CA25"/>
  <c r="CC25"/>
  <c r="CD25"/>
  <c r="CE25"/>
  <c r="CF25"/>
  <c r="A26"/>
  <c r="B26"/>
  <c r="C26"/>
  <c r="G26"/>
  <c r="H26"/>
  <c r="I26"/>
  <c r="J26"/>
  <c r="K26"/>
  <c r="M26"/>
  <c r="N26"/>
  <c r="O26"/>
  <c r="P26"/>
  <c r="Q26"/>
  <c r="S26"/>
  <c r="T26"/>
  <c r="U26"/>
  <c r="V26"/>
  <c r="W26"/>
  <c r="X26"/>
  <c r="Z26"/>
  <c r="AA26"/>
  <c r="AB26"/>
  <c r="AC26"/>
  <c r="AD26"/>
  <c r="AE26"/>
  <c r="AF26"/>
  <c r="AG26"/>
  <c r="AH26"/>
  <c r="AI26"/>
  <c r="AK26"/>
  <c r="AL26"/>
  <c r="AM26"/>
  <c r="AN26"/>
  <c r="AO26"/>
  <c r="AP26"/>
  <c r="AQ26"/>
  <c r="AR26"/>
  <c r="AS26"/>
  <c r="AT26"/>
  <c r="AV26"/>
  <c r="AW26"/>
  <c r="AX26"/>
  <c r="AY26"/>
  <c r="AZ26"/>
  <c r="BA26"/>
  <c r="BB26"/>
  <c r="BD26"/>
  <c r="BE26"/>
  <c r="BF26"/>
  <c r="BG26"/>
  <c r="BH26"/>
  <c r="BI26"/>
  <c r="BJ26"/>
  <c r="BK26"/>
  <c r="BL26"/>
  <c r="BN26"/>
  <c r="BO26"/>
  <c r="BP26"/>
  <c r="BQ26"/>
  <c r="BR26"/>
  <c r="BS26"/>
  <c r="BT26"/>
  <c r="BV26"/>
  <c r="BW26"/>
  <c r="BX26"/>
  <c r="BY26"/>
  <c r="BZ26"/>
  <c r="CA26"/>
  <c r="CC26"/>
  <c r="CD26"/>
  <c r="CE26"/>
  <c r="CF26"/>
  <c r="A27"/>
  <c r="B27"/>
  <c r="C27"/>
  <c r="G27"/>
  <c r="H27"/>
  <c r="I27"/>
  <c r="J27"/>
  <c r="K27"/>
  <c r="M27"/>
  <c r="N27"/>
  <c r="O27"/>
  <c r="P27"/>
  <c r="Q27"/>
  <c r="S27"/>
  <c r="T27"/>
  <c r="U27"/>
  <c r="V27"/>
  <c r="W27"/>
  <c r="X27"/>
  <c r="Z27"/>
  <c r="AA27"/>
  <c r="AB27"/>
  <c r="AC27"/>
  <c r="AD27"/>
  <c r="AE27"/>
  <c r="AF27"/>
  <c r="AG27"/>
  <c r="AH27"/>
  <c r="AI27"/>
  <c r="AK27"/>
  <c r="AL27"/>
  <c r="AM27"/>
  <c r="AN27"/>
  <c r="AO27"/>
  <c r="AP27"/>
  <c r="AQ27"/>
  <c r="AR27"/>
  <c r="AS27"/>
  <c r="AT27"/>
  <c r="AV27"/>
  <c r="AW27"/>
  <c r="AX27"/>
  <c r="AY27"/>
  <c r="AZ27"/>
  <c r="BA27"/>
  <c r="BB27"/>
  <c r="BD27"/>
  <c r="BE27"/>
  <c r="BF27"/>
  <c r="BG27"/>
  <c r="BH27"/>
  <c r="BI27"/>
  <c r="BJ27"/>
  <c r="BK27"/>
  <c r="BL27"/>
  <c r="BN27"/>
  <c r="BO27"/>
  <c r="BP27"/>
  <c r="BQ27"/>
  <c r="BR27"/>
  <c r="BS27"/>
  <c r="BT27"/>
  <c r="BV27"/>
  <c r="BW27"/>
  <c r="BX27"/>
  <c r="BY27"/>
  <c r="BZ27"/>
  <c r="CA27"/>
  <c r="CC27"/>
  <c r="CD27"/>
  <c r="CE27"/>
  <c r="CF27"/>
  <c r="A28"/>
  <c r="B28"/>
  <c r="C28"/>
  <c r="G28"/>
  <c r="H28"/>
  <c r="I28"/>
  <c r="J28"/>
  <c r="K28"/>
  <c r="M28"/>
  <c r="N28"/>
  <c r="O28"/>
  <c r="P28"/>
  <c r="Q28"/>
  <c r="S28"/>
  <c r="T28"/>
  <c r="U28"/>
  <c r="V28"/>
  <c r="W28"/>
  <c r="X28"/>
  <c r="Z28"/>
  <c r="AA28"/>
  <c r="AB28"/>
  <c r="AC28"/>
  <c r="AD28"/>
  <c r="AE28"/>
  <c r="AF28"/>
  <c r="AG28"/>
  <c r="AH28"/>
  <c r="AI28"/>
  <c r="AK28"/>
  <c r="AL28"/>
  <c r="AM28"/>
  <c r="AN28"/>
  <c r="AO28"/>
  <c r="AP28"/>
  <c r="AQ28"/>
  <c r="AR28"/>
  <c r="AS28"/>
  <c r="AT28"/>
  <c r="AV28"/>
  <c r="AW28"/>
  <c r="AX28"/>
  <c r="AY28"/>
  <c r="AZ28"/>
  <c r="BA28"/>
  <c r="BB28"/>
  <c r="BD28"/>
  <c r="BE28"/>
  <c r="BF28"/>
  <c r="BG28"/>
  <c r="BH28"/>
  <c r="BI28"/>
  <c r="BJ28"/>
  <c r="BK28"/>
  <c r="BL28"/>
  <c r="BN28"/>
  <c r="BO28"/>
  <c r="BP28"/>
  <c r="BQ28"/>
  <c r="BR28"/>
  <c r="BS28"/>
  <c r="BT28"/>
  <c r="BV28"/>
  <c r="BW28"/>
  <c r="BX28"/>
  <c r="BY28"/>
  <c r="BZ28"/>
  <c r="CA28"/>
  <c r="CC28"/>
  <c r="CD28"/>
  <c r="CE28"/>
  <c r="CF28"/>
  <c r="A29"/>
  <c r="B29"/>
  <c r="C29"/>
  <c r="G29"/>
  <c r="H29"/>
  <c r="I29"/>
  <c r="J29"/>
  <c r="K29"/>
  <c r="M29"/>
  <c r="N29"/>
  <c r="O29"/>
  <c r="P29"/>
  <c r="Q29"/>
  <c r="S29"/>
  <c r="T29"/>
  <c r="U29"/>
  <c r="V29"/>
  <c r="W29"/>
  <c r="X29"/>
  <c r="Z29"/>
  <c r="AA29"/>
  <c r="AB29"/>
  <c r="AC29"/>
  <c r="AD29"/>
  <c r="AE29"/>
  <c r="AF29"/>
  <c r="AG29"/>
  <c r="AH29"/>
  <c r="AI29"/>
  <c r="AK29"/>
  <c r="AL29"/>
  <c r="AM29"/>
  <c r="AN29"/>
  <c r="AO29"/>
  <c r="AP29"/>
  <c r="AQ29"/>
  <c r="AR29"/>
  <c r="AS29"/>
  <c r="AT29"/>
  <c r="AV29"/>
  <c r="AW29"/>
  <c r="AX29"/>
  <c r="AY29"/>
  <c r="AZ29"/>
  <c r="BA29"/>
  <c r="BB29"/>
  <c r="BD29"/>
  <c r="BE29"/>
  <c r="BF29"/>
  <c r="BG29"/>
  <c r="BH29"/>
  <c r="BI29"/>
  <c r="BJ29"/>
  <c r="BK29"/>
  <c r="BL29"/>
  <c r="BN29"/>
  <c r="BO29"/>
  <c r="BP29"/>
  <c r="BQ29"/>
  <c r="BR29"/>
  <c r="BS29"/>
  <c r="BT29"/>
  <c r="BV29"/>
  <c r="BW29"/>
  <c r="BX29"/>
  <c r="BY29"/>
  <c r="BZ29"/>
  <c r="CA29"/>
  <c r="CC29"/>
  <c r="CD29"/>
  <c r="CE29"/>
  <c r="CF29"/>
  <c r="A30"/>
  <c r="B30"/>
  <c r="C30"/>
  <c r="G30"/>
  <c r="H30"/>
  <c r="I30"/>
  <c r="J30"/>
  <c r="K30"/>
  <c r="M30"/>
  <c r="N30"/>
  <c r="O30"/>
  <c r="P30"/>
  <c r="Q30"/>
  <c r="S30"/>
  <c r="T30"/>
  <c r="U30"/>
  <c r="V30"/>
  <c r="W30"/>
  <c r="X30"/>
  <c r="Z30"/>
  <c r="AA30"/>
  <c r="AB30"/>
  <c r="AC30"/>
  <c r="AD30"/>
  <c r="AE30"/>
  <c r="AF30"/>
  <c r="AG30"/>
  <c r="AH30"/>
  <c r="AI30"/>
  <c r="AK30"/>
  <c r="AL30"/>
  <c r="AM30"/>
  <c r="AN30"/>
  <c r="AO30"/>
  <c r="AP30"/>
  <c r="AQ30"/>
  <c r="AR30"/>
  <c r="AS30"/>
  <c r="AT30"/>
  <c r="AV30"/>
  <c r="AW30"/>
  <c r="AX30"/>
  <c r="AY30"/>
  <c r="AZ30"/>
  <c r="BA30"/>
  <c r="BB30"/>
  <c r="BD30"/>
  <c r="BE30"/>
  <c r="BF30"/>
  <c r="BG30"/>
  <c r="BH30"/>
  <c r="BI30"/>
  <c r="BJ30"/>
  <c r="BK30"/>
  <c r="BL30"/>
  <c r="BN30"/>
  <c r="BO30"/>
  <c r="BP30"/>
  <c r="BQ30"/>
  <c r="BR30"/>
  <c r="BS30"/>
  <c r="BT30"/>
  <c r="BV30"/>
  <c r="BW30"/>
  <c r="BX30"/>
  <c r="BY30"/>
  <c r="BZ30"/>
  <c r="CA30"/>
  <c r="CC30"/>
  <c r="CD30"/>
  <c r="CE30"/>
  <c r="CF30"/>
  <c r="A31"/>
  <c r="B31"/>
  <c r="C31"/>
  <c r="G31"/>
  <c r="H31"/>
  <c r="I31"/>
  <c r="J31"/>
  <c r="K31"/>
  <c r="M31"/>
  <c r="N31"/>
  <c r="O31"/>
  <c r="P31"/>
  <c r="Q31"/>
  <c r="S31"/>
  <c r="T31"/>
  <c r="U31"/>
  <c r="V31"/>
  <c r="W31"/>
  <c r="X31"/>
  <c r="Z31"/>
  <c r="AA31"/>
  <c r="AB31"/>
  <c r="AC31"/>
  <c r="AD31"/>
  <c r="AE31"/>
  <c r="AF31"/>
  <c r="AG31"/>
  <c r="AH31"/>
  <c r="AI31"/>
  <c r="AK31"/>
  <c r="AL31"/>
  <c r="AM31"/>
  <c r="AN31"/>
  <c r="AO31"/>
  <c r="AP31"/>
  <c r="AQ31"/>
  <c r="AR31"/>
  <c r="AS31"/>
  <c r="AT31"/>
  <c r="AV31"/>
  <c r="AW31"/>
  <c r="AX31"/>
  <c r="AY31"/>
  <c r="AZ31"/>
  <c r="BA31"/>
  <c r="BB31"/>
  <c r="BD31"/>
  <c r="BE31"/>
  <c r="BF31"/>
  <c r="BG31"/>
  <c r="BH31"/>
  <c r="BI31"/>
  <c r="BJ31"/>
  <c r="BK31"/>
  <c r="BL31"/>
  <c r="BN31"/>
  <c r="BO31"/>
  <c r="BP31"/>
  <c r="BQ31"/>
  <c r="BR31"/>
  <c r="BS31"/>
  <c r="BT31"/>
  <c r="BV31"/>
  <c r="BW31"/>
  <c r="BX31"/>
  <c r="BY31"/>
  <c r="BZ31"/>
  <c r="CA31"/>
  <c r="CC31"/>
  <c r="CD31"/>
  <c r="CE31"/>
  <c r="CF31"/>
  <c r="A32"/>
  <c r="B32"/>
  <c r="C32"/>
  <c r="G32"/>
  <c r="H32"/>
  <c r="I32"/>
  <c r="J32"/>
  <c r="K32"/>
  <c r="M32"/>
  <c r="N32"/>
  <c r="O32"/>
  <c r="P32"/>
  <c r="Q32"/>
  <c r="S32"/>
  <c r="T32"/>
  <c r="U32"/>
  <c r="V32"/>
  <c r="W32"/>
  <c r="X32"/>
  <c r="Z32"/>
  <c r="AA32"/>
  <c r="AB32"/>
  <c r="AC32"/>
  <c r="AD32"/>
  <c r="AE32"/>
  <c r="AF32"/>
  <c r="AG32"/>
  <c r="AH32"/>
  <c r="AI32"/>
  <c r="AK32"/>
  <c r="AL32"/>
  <c r="AM32"/>
  <c r="AN32"/>
  <c r="AO32"/>
  <c r="AP32"/>
  <c r="AQ32"/>
  <c r="AR32"/>
  <c r="AS32"/>
  <c r="AT32"/>
  <c r="AV32"/>
  <c r="AW32"/>
  <c r="AX32"/>
  <c r="AY32"/>
  <c r="AZ32"/>
  <c r="BA32"/>
  <c r="BB32"/>
  <c r="BD32"/>
  <c r="BE32"/>
  <c r="BF32"/>
  <c r="BG32"/>
  <c r="BH32"/>
  <c r="BI32"/>
  <c r="BJ32"/>
  <c r="BK32"/>
  <c r="BL32"/>
  <c r="BN32"/>
  <c r="BO32"/>
  <c r="BP32"/>
  <c r="BQ32"/>
  <c r="BR32"/>
  <c r="BS32"/>
  <c r="BT32"/>
  <c r="BV32"/>
  <c r="BW32"/>
  <c r="BX32"/>
  <c r="BY32"/>
  <c r="BZ32"/>
  <c r="CA32"/>
  <c r="CC32"/>
  <c r="CD32"/>
  <c r="CE32"/>
  <c r="CF32"/>
  <c r="A33"/>
  <c r="B33"/>
  <c r="C33"/>
  <c r="G33"/>
  <c r="H33"/>
  <c r="I33"/>
  <c r="J33"/>
  <c r="K33"/>
  <c r="M33"/>
  <c r="N33"/>
  <c r="O33"/>
  <c r="P33"/>
  <c r="Q33"/>
  <c r="S33"/>
  <c r="T33"/>
  <c r="U33"/>
  <c r="V33"/>
  <c r="W33"/>
  <c r="X33"/>
  <c r="Z33"/>
  <c r="AA33"/>
  <c r="AB33"/>
  <c r="AC33"/>
  <c r="AD33"/>
  <c r="AE33"/>
  <c r="AF33"/>
  <c r="AG33"/>
  <c r="AH33"/>
  <c r="AI33"/>
  <c r="AK33"/>
  <c r="AL33"/>
  <c r="AM33"/>
  <c r="AN33"/>
  <c r="AO33"/>
  <c r="AP33"/>
  <c r="AQ33"/>
  <c r="AR33"/>
  <c r="AS33"/>
  <c r="AT33"/>
  <c r="AV33"/>
  <c r="AW33"/>
  <c r="AX33"/>
  <c r="AY33"/>
  <c r="AZ33"/>
  <c r="BA33"/>
  <c r="BB33"/>
  <c r="BD33"/>
  <c r="BE33"/>
  <c r="BF33"/>
  <c r="BG33"/>
  <c r="BH33"/>
  <c r="BI33"/>
  <c r="BJ33"/>
  <c r="BK33"/>
  <c r="BL33"/>
  <c r="BN33"/>
  <c r="BO33"/>
  <c r="BP33"/>
  <c r="BQ33"/>
  <c r="BR33"/>
  <c r="BS33"/>
  <c r="BT33"/>
  <c r="BV33"/>
  <c r="BW33"/>
  <c r="BX33"/>
  <c r="BY33"/>
  <c r="BZ33"/>
  <c r="CA33"/>
  <c r="CC33"/>
  <c r="CD33"/>
  <c r="CE33"/>
  <c r="CF33"/>
  <c r="A34"/>
  <c r="B34"/>
  <c r="C34"/>
  <c r="G34"/>
  <c r="H34"/>
  <c r="I34"/>
  <c r="J34"/>
  <c r="K34"/>
  <c r="M34"/>
  <c r="N34"/>
  <c r="O34"/>
  <c r="P34"/>
  <c r="Q34"/>
  <c r="S34"/>
  <c r="T34"/>
  <c r="U34"/>
  <c r="V34"/>
  <c r="W34"/>
  <c r="X34"/>
  <c r="Z34"/>
  <c r="AA34"/>
  <c r="AB34"/>
  <c r="AC34"/>
  <c r="AD34"/>
  <c r="AE34"/>
  <c r="AF34"/>
  <c r="AG34"/>
  <c r="AH34"/>
  <c r="AI34"/>
  <c r="AK34"/>
  <c r="AL34"/>
  <c r="AM34"/>
  <c r="AN34"/>
  <c r="AO34"/>
  <c r="AP34"/>
  <c r="AQ34"/>
  <c r="AR34"/>
  <c r="AS34"/>
  <c r="AT34"/>
  <c r="AV34"/>
  <c r="AW34"/>
  <c r="AX34"/>
  <c r="AY34"/>
  <c r="AZ34"/>
  <c r="BA34"/>
  <c r="BB34"/>
  <c r="BD34"/>
  <c r="BE34"/>
  <c r="BF34"/>
  <c r="BG34"/>
  <c r="BH34"/>
  <c r="BI34"/>
  <c r="BJ34"/>
  <c r="BK34"/>
  <c r="BL34"/>
  <c r="BN34"/>
  <c r="BO34"/>
  <c r="BP34"/>
  <c r="BQ34"/>
  <c r="BR34"/>
  <c r="BS34"/>
  <c r="BT34"/>
  <c r="BV34"/>
  <c r="BW34"/>
  <c r="BX34"/>
  <c r="BY34"/>
  <c r="BZ34"/>
  <c r="CA34"/>
  <c r="CC34"/>
  <c r="CD34"/>
  <c r="CE34"/>
  <c r="CF34"/>
  <c r="A35"/>
  <c r="B35"/>
  <c r="C35"/>
  <c r="G35"/>
  <c r="H35"/>
  <c r="I35"/>
  <c r="J35"/>
  <c r="K35"/>
  <c r="M35"/>
  <c r="N35"/>
  <c r="O35"/>
  <c r="P35"/>
  <c r="Q35"/>
  <c r="S35"/>
  <c r="T35"/>
  <c r="U35"/>
  <c r="V35"/>
  <c r="W35"/>
  <c r="X35"/>
  <c r="Z35"/>
  <c r="AA35"/>
  <c r="AB35"/>
  <c r="AC35"/>
  <c r="AD35"/>
  <c r="AE35"/>
  <c r="AF35"/>
  <c r="AG35"/>
  <c r="AH35"/>
  <c r="AI35"/>
  <c r="AK35"/>
  <c r="AL35"/>
  <c r="AM35"/>
  <c r="AN35"/>
  <c r="AO35"/>
  <c r="AP35"/>
  <c r="AQ35"/>
  <c r="AR35"/>
  <c r="AS35"/>
  <c r="AT35"/>
  <c r="AV35"/>
  <c r="AW35"/>
  <c r="AX35"/>
  <c r="AY35"/>
  <c r="AZ35"/>
  <c r="BA35"/>
  <c r="BB35"/>
  <c r="BD35"/>
  <c r="BE35"/>
  <c r="BF35"/>
  <c r="BG35"/>
  <c r="BH35"/>
  <c r="BI35"/>
  <c r="BJ35"/>
  <c r="BK35"/>
  <c r="BL35"/>
  <c r="BN35"/>
  <c r="BO35"/>
  <c r="BP35"/>
  <c r="BQ35"/>
  <c r="BR35"/>
  <c r="BS35"/>
  <c r="BT35"/>
  <c r="BV35"/>
  <c r="BW35"/>
  <c r="BX35"/>
  <c r="BY35"/>
  <c r="BZ35"/>
  <c r="CA35"/>
  <c r="CC35"/>
  <c r="CD35"/>
  <c r="CE35"/>
  <c r="CF35"/>
  <c r="A36"/>
  <c r="B36"/>
  <c r="C36"/>
  <c r="G36"/>
  <c r="H36"/>
  <c r="I36"/>
  <c r="J36"/>
  <c r="K36"/>
  <c r="M36"/>
  <c r="N36"/>
  <c r="O36"/>
  <c r="P36"/>
  <c r="Q36"/>
  <c r="S36"/>
  <c r="T36"/>
  <c r="U36"/>
  <c r="V36"/>
  <c r="W36"/>
  <c r="X36"/>
  <c r="Z36"/>
  <c r="AA36"/>
  <c r="AB36"/>
  <c r="AC36"/>
  <c r="AD36"/>
  <c r="AE36"/>
  <c r="AF36"/>
  <c r="AG36"/>
  <c r="AH36"/>
  <c r="AI36"/>
  <c r="AK36"/>
  <c r="AL36"/>
  <c r="AM36"/>
  <c r="AN36"/>
  <c r="AO36"/>
  <c r="AP36"/>
  <c r="AQ36"/>
  <c r="AR36"/>
  <c r="AS36"/>
  <c r="AT36"/>
  <c r="AV36"/>
  <c r="AW36"/>
  <c r="AX36"/>
  <c r="AY36"/>
  <c r="AZ36"/>
  <c r="BA36"/>
  <c r="BB36"/>
  <c r="BD36"/>
  <c r="BE36"/>
  <c r="BF36"/>
  <c r="BG36"/>
  <c r="BH36"/>
  <c r="BI36"/>
  <c r="BJ36"/>
  <c r="BK36"/>
  <c r="BL36"/>
  <c r="BN36"/>
  <c r="BO36"/>
  <c r="BP36"/>
  <c r="BQ36"/>
  <c r="BR36"/>
  <c r="BS36"/>
  <c r="BT36"/>
  <c r="BV36"/>
  <c r="BW36"/>
  <c r="BX36"/>
  <c r="BY36"/>
  <c r="BZ36"/>
  <c r="CA36"/>
  <c r="CC36"/>
  <c r="CD36"/>
  <c r="CE36"/>
  <c r="CF36"/>
  <c r="A37"/>
  <c r="B37"/>
  <c r="C37"/>
  <c r="G37"/>
  <c r="H37"/>
  <c r="I37"/>
  <c r="J37"/>
  <c r="K37"/>
  <c r="M37"/>
  <c r="N37"/>
  <c r="O37"/>
  <c r="P37"/>
  <c r="Q37"/>
  <c r="S37"/>
  <c r="T37"/>
  <c r="U37"/>
  <c r="V37"/>
  <c r="W37"/>
  <c r="X37"/>
  <c r="Z37"/>
  <c r="AA37"/>
  <c r="AB37"/>
  <c r="AC37"/>
  <c r="AD37"/>
  <c r="AE37"/>
  <c r="AF37"/>
  <c r="AG37"/>
  <c r="AH37"/>
  <c r="AI37"/>
  <c r="AK37"/>
  <c r="AL37"/>
  <c r="AM37"/>
  <c r="AN37"/>
  <c r="AO37"/>
  <c r="AP37"/>
  <c r="AQ37"/>
  <c r="AR37"/>
  <c r="AS37"/>
  <c r="AT37"/>
  <c r="AV37"/>
  <c r="AW37"/>
  <c r="AX37"/>
  <c r="AY37"/>
  <c r="AZ37"/>
  <c r="BA37"/>
  <c r="BB37"/>
  <c r="BD37"/>
  <c r="BE37"/>
  <c r="BF37"/>
  <c r="BG37"/>
  <c r="BH37"/>
  <c r="BI37"/>
  <c r="BJ37"/>
  <c r="BK37"/>
  <c r="BL37"/>
  <c r="BN37"/>
  <c r="BO37"/>
  <c r="BP37"/>
  <c r="BQ37"/>
  <c r="BR37"/>
  <c r="BS37"/>
  <c r="BT37"/>
  <c r="BV37"/>
  <c r="BW37"/>
  <c r="BX37"/>
  <c r="BY37"/>
  <c r="BZ37"/>
  <c r="CA37"/>
  <c r="CC37"/>
  <c r="CD37"/>
  <c r="CE37"/>
  <c r="CF37"/>
  <c r="A38"/>
  <c r="B38"/>
  <c r="C38"/>
  <c r="G38"/>
  <c r="H38"/>
  <c r="I38"/>
  <c r="J38"/>
  <c r="K38"/>
  <c r="M38"/>
  <c r="N38"/>
  <c r="O38"/>
  <c r="P38"/>
  <c r="Q38"/>
  <c r="S38"/>
  <c r="T38"/>
  <c r="U38"/>
  <c r="V38"/>
  <c r="W38"/>
  <c r="X38"/>
  <c r="Z38"/>
  <c r="AA38"/>
  <c r="AB38"/>
  <c r="AC38"/>
  <c r="AD38"/>
  <c r="AE38"/>
  <c r="AF38"/>
  <c r="AG38"/>
  <c r="AH38"/>
  <c r="AI38"/>
  <c r="AK38"/>
  <c r="AL38"/>
  <c r="AM38"/>
  <c r="AN38"/>
  <c r="AO38"/>
  <c r="AP38"/>
  <c r="AQ38"/>
  <c r="AR38"/>
  <c r="AS38"/>
  <c r="AT38"/>
  <c r="AV38"/>
  <c r="AW38"/>
  <c r="AX38"/>
  <c r="AY38"/>
  <c r="AZ38"/>
  <c r="BA38"/>
  <c r="BB38"/>
  <c r="BD38"/>
  <c r="BE38"/>
  <c r="BF38"/>
  <c r="BG38"/>
  <c r="BH38"/>
  <c r="BI38"/>
  <c r="BJ38"/>
  <c r="BK38"/>
  <c r="BL38"/>
  <c r="BN38"/>
  <c r="BO38"/>
  <c r="BP38"/>
  <c r="BQ38"/>
  <c r="BR38"/>
  <c r="BS38"/>
  <c r="BT38"/>
  <c r="BV38"/>
  <c r="BW38"/>
  <c r="BX38"/>
  <c r="BY38"/>
  <c r="BZ38"/>
  <c r="CA38"/>
  <c r="CC38"/>
  <c r="CD38"/>
  <c r="CE38"/>
  <c r="CF38"/>
  <c r="A39"/>
  <c r="B39"/>
  <c r="C39"/>
  <c r="G39"/>
  <c r="H39"/>
  <c r="I39"/>
  <c r="J39"/>
  <c r="K39"/>
  <c r="M39"/>
  <c r="N39"/>
  <c r="O39"/>
  <c r="P39"/>
  <c r="Q39"/>
  <c r="S39"/>
  <c r="T39"/>
  <c r="U39"/>
  <c r="V39"/>
  <c r="W39"/>
  <c r="X39"/>
  <c r="Z39"/>
  <c r="AA39"/>
  <c r="AB39"/>
  <c r="AC39"/>
  <c r="AD39"/>
  <c r="AE39"/>
  <c r="AF39"/>
  <c r="AG39"/>
  <c r="AH39"/>
  <c r="AI39"/>
  <c r="AK39"/>
  <c r="AL39"/>
  <c r="AM39"/>
  <c r="AN39"/>
  <c r="AO39"/>
  <c r="AP39"/>
  <c r="AQ39"/>
  <c r="AR39"/>
  <c r="AS39"/>
  <c r="AT39"/>
  <c r="AV39"/>
  <c r="AW39"/>
  <c r="AX39"/>
  <c r="AY39"/>
  <c r="AZ39"/>
  <c r="BA39"/>
  <c r="BB39"/>
  <c r="BD39"/>
  <c r="BE39"/>
  <c r="BF39"/>
  <c r="BG39"/>
  <c r="BH39"/>
  <c r="BI39"/>
  <c r="BJ39"/>
  <c r="BK39"/>
  <c r="BL39"/>
  <c r="BN39"/>
  <c r="BO39"/>
  <c r="BP39"/>
  <c r="BQ39"/>
  <c r="BR39"/>
  <c r="BS39"/>
  <c r="BT39"/>
  <c r="BV39"/>
  <c r="BW39"/>
  <c r="BX39"/>
  <c r="BY39"/>
  <c r="BZ39"/>
  <c r="CA39"/>
  <c r="CC39"/>
  <c r="CD39"/>
  <c r="CE39"/>
  <c r="CF39"/>
  <c r="A40"/>
  <c r="B40"/>
  <c r="C40"/>
  <c r="G40"/>
  <c r="H40"/>
  <c r="I40"/>
  <c r="J40"/>
  <c r="K40"/>
  <c r="M40"/>
  <c r="N40"/>
  <c r="O40"/>
  <c r="P40"/>
  <c r="Q40"/>
  <c r="S40"/>
  <c r="T40"/>
  <c r="U40"/>
  <c r="V40"/>
  <c r="W40"/>
  <c r="X40"/>
  <c r="Z40"/>
  <c r="AA40"/>
  <c r="AB40"/>
  <c r="AC40"/>
  <c r="AD40"/>
  <c r="AE40"/>
  <c r="AF40"/>
  <c r="AG40"/>
  <c r="AH40"/>
  <c r="AI40"/>
  <c r="AK40"/>
  <c r="AL40"/>
  <c r="AM40"/>
  <c r="AN40"/>
  <c r="AO40"/>
  <c r="AP40"/>
  <c r="AQ40"/>
  <c r="AR40"/>
  <c r="AS40"/>
  <c r="AT40"/>
  <c r="AV40"/>
  <c r="AW40"/>
  <c r="AX40"/>
  <c r="AY40"/>
  <c r="AZ40"/>
  <c r="BA40"/>
  <c r="BB40"/>
  <c r="BD40"/>
  <c r="BE40"/>
  <c r="BF40"/>
  <c r="BG40"/>
  <c r="BH40"/>
  <c r="BI40"/>
  <c r="BJ40"/>
  <c r="BK40"/>
  <c r="BL40"/>
  <c r="BN40"/>
  <c r="BO40"/>
  <c r="BP40"/>
  <c r="BQ40"/>
  <c r="BR40"/>
  <c r="BS40"/>
  <c r="BT40"/>
  <c r="BV40"/>
  <c r="BW40"/>
  <c r="BX40"/>
  <c r="BY40"/>
  <c r="BZ40"/>
  <c r="CA40"/>
  <c r="CC40"/>
  <c r="CD40"/>
  <c r="CE40"/>
  <c r="CF40"/>
  <c r="A41"/>
  <c r="B41"/>
  <c r="C41"/>
  <c r="G41"/>
  <c r="H41"/>
  <c r="I41"/>
  <c r="J41"/>
  <c r="K41"/>
  <c r="M41"/>
  <c r="N41"/>
  <c r="O41"/>
  <c r="P41"/>
  <c r="Q41"/>
  <c r="S41"/>
  <c r="T41"/>
  <c r="U41"/>
  <c r="V41"/>
  <c r="W41"/>
  <c r="X41"/>
  <c r="Z41"/>
  <c r="AA41"/>
  <c r="AB41"/>
  <c r="AC41"/>
  <c r="AD41"/>
  <c r="AE41"/>
  <c r="AF41"/>
  <c r="AG41"/>
  <c r="AH41"/>
  <c r="AI41"/>
  <c r="AK41"/>
  <c r="AL41"/>
  <c r="AM41"/>
  <c r="AN41"/>
  <c r="AO41"/>
  <c r="AP41"/>
  <c r="AQ41"/>
  <c r="AR41"/>
  <c r="AS41"/>
  <c r="AT41"/>
  <c r="AV41"/>
  <c r="AW41"/>
  <c r="AX41"/>
  <c r="AY41"/>
  <c r="AZ41"/>
  <c r="BA41"/>
  <c r="BB41"/>
  <c r="BD41"/>
  <c r="BE41"/>
  <c r="BF41"/>
  <c r="BG41"/>
  <c r="BH41"/>
  <c r="BI41"/>
  <c r="BJ41"/>
  <c r="BK41"/>
  <c r="BL41"/>
  <c r="BN41"/>
  <c r="BO41"/>
  <c r="BP41"/>
  <c r="BQ41"/>
  <c r="BR41"/>
  <c r="BS41"/>
  <c r="BT41"/>
  <c r="BV41"/>
  <c r="BW41"/>
  <c r="BX41"/>
  <c r="BY41"/>
  <c r="BZ41"/>
  <c r="CA41"/>
  <c r="CC41"/>
  <c r="CD41"/>
  <c r="CE41"/>
  <c r="CF41"/>
  <c r="A42"/>
  <c r="B42"/>
  <c r="C42"/>
  <c r="G42"/>
  <c r="H42"/>
  <c r="I42"/>
  <c r="J42"/>
  <c r="K42"/>
  <c r="M42"/>
  <c r="N42"/>
  <c r="O42"/>
  <c r="P42"/>
  <c r="Q42"/>
  <c r="S42"/>
  <c r="T42"/>
  <c r="U42"/>
  <c r="V42"/>
  <c r="W42"/>
  <c r="X42"/>
  <c r="Z42"/>
  <c r="AA42"/>
  <c r="AB42"/>
  <c r="AC42"/>
  <c r="AD42"/>
  <c r="AE42"/>
  <c r="AF42"/>
  <c r="AG42"/>
  <c r="AH42"/>
  <c r="AI42"/>
  <c r="AK42"/>
  <c r="AL42"/>
  <c r="AM42"/>
  <c r="AN42"/>
  <c r="AO42"/>
  <c r="AP42"/>
  <c r="AQ42"/>
  <c r="AR42"/>
  <c r="AS42"/>
  <c r="AT42"/>
  <c r="AV42"/>
  <c r="AW42"/>
  <c r="AX42"/>
  <c r="AY42"/>
  <c r="AZ42"/>
  <c r="BA42"/>
  <c r="BB42"/>
  <c r="BD42"/>
  <c r="BE42"/>
  <c r="BF42"/>
  <c r="BG42"/>
  <c r="BH42"/>
  <c r="BI42"/>
  <c r="BJ42"/>
  <c r="BK42"/>
  <c r="BL42"/>
  <c r="BN42"/>
  <c r="BO42"/>
  <c r="BP42"/>
  <c r="BQ42"/>
  <c r="BR42"/>
  <c r="BS42"/>
  <c r="BT42"/>
  <c r="BV42"/>
  <c r="BW42"/>
  <c r="BX42"/>
  <c r="BY42"/>
  <c r="BZ42"/>
  <c r="CA42"/>
  <c r="CC42"/>
  <c r="CD42"/>
  <c r="CE42"/>
  <c r="CF42"/>
  <c r="A43"/>
  <c r="B43"/>
  <c r="C43"/>
  <c r="G43"/>
  <c r="H43"/>
  <c r="I43"/>
  <c r="J43"/>
  <c r="K43"/>
  <c r="M43"/>
  <c r="N43"/>
  <c r="O43"/>
  <c r="P43"/>
  <c r="Q43"/>
  <c r="S43"/>
  <c r="T43"/>
  <c r="U43"/>
  <c r="V43"/>
  <c r="W43"/>
  <c r="X43"/>
  <c r="Z43"/>
  <c r="AA43"/>
  <c r="AB43"/>
  <c r="AC43"/>
  <c r="AD43"/>
  <c r="AE43"/>
  <c r="AF43"/>
  <c r="AG43"/>
  <c r="AH43"/>
  <c r="AI43"/>
  <c r="AK43"/>
  <c r="AL43"/>
  <c r="AM43"/>
  <c r="AN43"/>
  <c r="AO43"/>
  <c r="AP43"/>
  <c r="AQ43"/>
  <c r="AR43"/>
  <c r="AS43"/>
  <c r="AT43"/>
  <c r="AV43"/>
  <c r="AW43"/>
  <c r="AX43"/>
  <c r="AY43"/>
  <c r="AZ43"/>
  <c r="BA43"/>
  <c r="BB43"/>
  <c r="BD43"/>
  <c r="BE43"/>
  <c r="BF43"/>
  <c r="BG43"/>
  <c r="BH43"/>
  <c r="BI43"/>
  <c r="BJ43"/>
  <c r="BK43"/>
  <c r="BL43"/>
  <c r="BN43"/>
  <c r="BO43"/>
  <c r="BP43"/>
  <c r="BQ43"/>
  <c r="BR43"/>
  <c r="BS43"/>
  <c r="BT43"/>
  <c r="BV43"/>
  <c r="BW43"/>
  <c r="BX43"/>
  <c r="BY43"/>
  <c r="BZ43"/>
  <c r="CA43"/>
  <c r="CC43"/>
  <c r="CD43"/>
  <c r="CE43"/>
  <c r="CF43"/>
  <c r="A44"/>
  <c r="B44"/>
  <c r="C44"/>
  <c r="G44"/>
  <c r="H44"/>
  <c r="I44"/>
  <c r="J44"/>
  <c r="K44"/>
  <c r="M44"/>
  <c r="N44"/>
  <c r="O44"/>
  <c r="P44"/>
  <c r="Q44"/>
  <c r="S44"/>
  <c r="T44"/>
  <c r="U44"/>
  <c r="V44"/>
  <c r="W44"/>
  <c r="X44"/>
  <c r="Z44"/>
  <c r="AA44"/>
  <c r="AB44"/>
  <c r="AC44"/>
  <c r="AD44"/>
  <c r="AE44"/>
  <c r="AF44"/>
  <c r="AG44"/>
  <c r="AH44"/>
  <c r="AI44"/>
  <c r="AK44"/>
  <c r="AL44"/>
  <c r="AM44"/>
  <c r="AN44"/>
  <c r="AO44"/>
  <c r="AP44"/>
  <c r="AQ44"/>
  <c r="AR44"/>
  <c r="AS44"/>
  <c r="AT44"/>
  <c r="AV44"/>
  <c r="AW44"/>
  <c r="AX44"/>
  <c r="AY44"/>
  <c r="AZ44"/>
  <c r="BA44"/>
  <c r="BB44"/>
  <c r="BD44"/>
  <c r="BE44"/>
  <c r="BF44"/>
  <c r="BG44"/>
  <c r="BH44"/>
  <c r="BI44"/>
  <c r="BJ44"/>
  <c r="BK44"/>
  <c r="BL44"/>
  <c r="BN44"/>
  <c r="BO44"/>
  <c r="BP44"/>
  <c r="BQ44"/>
  <c r="BR44"/>
  <c r="BS44"/>
  <c r="BT44"/>
  <c r="BV44"/>
  <c r="BW44"/>
  <c r="BX44"/>
  <c r="BY44"/>
  <c r="BZ44"/>
  <c r="CA44"/>
  <c r="CC44"/>
  <c r="CD44"/>
  <c r="CE44"/>
  <c r="CF44"/>
  <c r="A45"/>
  <c r="B45"/>
  <c r="A46"/>
  <c r="B46"/>
  <c r="C46"/>
  <c r="G46"/>
  <c r="H46"/>
  <c r="I46"/>
  <c r="J46"/>
  <c r="K46"/>
  <c r="M46"/>
  <c r="N46"/>
  <c r="O46"/>
  <c r="P46"/>
  <c r="Q46"/>
  <c r="S46"/>
  <c r="T46"/>
  <c r="U46"/>
  <c r="V46"/>
  <c r="W46"/>
  <c r="X46"/>
  <c r="Z46"/>
  <c r="AA46"/>
  <c r="AB46"/>
  <c r="AC46"/>
  <c r="AD46"/>
  <c r="AE46"/>
  <c r="AF46"/>
  <c r="AG46"/>
  <c r="AH46"/>
  <c r="AI46"/>
  <c r="AK46"/>
  <c r="AL46"/>
  <c r="AM46"/>
  <c r="AN46"/>
  <c r="AO46"/>
  <c r="AP46"/>
  <c r="AQ46"/>
  <c r="AR46"/>
  <c r="AS46"/>
  <c r="AT46"/>
  <c r="AV46"/>
  <c r="AW46"/>
  <c r="AX46"/>
  <c r="AY46"/>
  <c r="AZ46"/>
  <c r="BA46"/>
  <c r="BB46"/>
  <c r="BD46"/>
  <c r="BE46"/>
  <c r="BF46"/>
  <c r="BG46"/>
  <c r="BH46"/>
  <c r="BI46"/>
  <c r="BJ46"/>
  <c r="BK46"/>
  <c r="BL46"/>
  <c r="BN46"/>
  <c r="BO46"/>
  <c r="BP46"/>
  <c r="BQ46"/>
  <c r="BR46"/>
  <c r="BS46"/>
  <c r="BT46"/>
  <c r="BV46"/>
  <c r="BW46"/>
  <c r="BX46"/>
  <c r="BY46"/>
  <c r="BZ46"/>
  <c r="CA46"/>
  <c r="CC46"/>
  <c r="CD46"/>
  <c r="CE46"/>
  <c r="CF46"/>
  <c r="A47"/>
  <c r="B47"/>
  <c r="C47"/>
  <c r="G47"/>
  <c r="H47"/>
  <c r="I47"/>
  <c r="J47"/>
  <c r="K47"/>
  <c r="M47"/>
  <c r="N47"/>
  <c r="O47"/>
  <c r="P47"/>
  <c r="Q47"/>
  <c r="S47"/>
  <c r="T47"/>
  <c r="U47"/>
  <c r="V47"/>
  <c r="W47"/>
  <c r="X47"/>
  <c r="Z47"/>
  <c r="AA47"/>
  <c r="AB47"/>
  <c r="AC47"/>
  <c r="AD47"/>
  <c r="AE47"/>
  <c r="AF47"/>
  <c r="AG47"/>
  <c r="AH47"/>
  <c r="AI47"/>
  <c r="AK47"/>
  <c r="AL47"/>
  <c r="AM47"/>
  <c r="AN47"/>
  <c r="AO47"/>
  <c r="AP47"/>
  <c r="AQ47"/>
  <c r="AR47"/>
  <c r="AS47"/>
  <c r="AT47"/>
  <c r="AV47"/>
  <c r="AW47"/>
  <c r="AX47"/>
  <c r="AY47"/>
  <c r="AZ47"/>
  <c r="BA47"/>
  <c r="BB47"/>
  <c r="BD47"/>
  <c r="BE47"/>
  <c r="BF47"/>
  <c r="BG47"/>
  <c r="BH47"/>
  <c r="BI47"/>
  <c r="BJ47"/>
  <c r="BK47"/>
  <c r="BL47"/>
  <c r="BN47"/>
  <c r="BO47"/>
  <c r="BP47"/>
  <c r="BQ47"/>
  <c r="BR47"/>
  <c r="BS47"/>
  <c r="BT47"/>
  <c r="BV47"/>
  <c r="BW47"/>
  <c r="BX47"/>
  <c r="BY47"/>
  <c r="BZ47"/>
  <c r="CA47"/>
  <c r="CC47"/>
  <c r="CD47"/>
  <c r="CE47"/>
  <c r="CF47"/>
  <c r="A48"/>
  <c r="B48"/>
  <c r="C48"/>
  <c r="G48"/>
  <c r="H48"/>
  <c r="I48"/>
  <c r="J48"/>
  <c r="K48"/>
  <c r="M48"/>
  <c r="N48"/>
  <c r="O48"/>
  <c r="P48"/>
  <c r="Q48"/>
  <c r="S48"/>
  <c r="T48"/>
  <c r="U48"/>
  <c r="V48"/>
  <c r="W48"/>
  <c r="X48"/>
  <c r="Z48"/>
  <c r="AA48"/>
  <c r="AB48"/>
  <c r="AC48"/>
  <c r="AD48"/>
  <c r="AE48"/>
  <c r="AF48"/>
  <c r="AG48"/>
  <c r="AH48"/>
  <c r="AI48"/>
  <c r="AK48"/>
  <c r="AL48"/>
  <c r="AM48"/>
  <c r="AN48"/>
  <c r="AO48"/>
  <c r="AP48"/>
  <c r="AQ48"/>
  <c r="AR48"/>
  <c r="AS48"/>
  <c r="AT48"/>
  <c r="AV48"/>
  <c r="AW48"/>
  <c r="AX48"/>
  <c r="AY48"/>
  <c r="AZ48"/>
  <c r="BA48"/>
  <c r="BB48"/>
  <c r="BD48"/>
  <c r="BE48"/>
  <c r="BF48"/>
  <c r="BG48"/>
  <c r="BH48"/>
  <c r="BI48"/>
  <c r="BJ48"/>
  <c r="BK48"/>
  <c r="BL48"/>
  <c r="BN48"/>
  <c r="BO48"/>
  <c r="BP48"/>
  <c r="BQ48"/>
  <c r="BR48"/>
  <c r="BS48"/>
  <c r="BT48"/>
  <c r="BV48"/>
  <c r="BW48"/>
  <c r="BX48"/>
  <c r="BY48"/>
  <c r="BZ48"/>
  <c r="CA48"/>
  <c r="CC48"/>
  <c r="CD48"/>
  <c r="CE48"/>
  <c r="CF48"/>
  <c r="A49"/>
  <c r="B49"/>
  <c r="C49"/>
  <c r="G49"/>
  <c r="H49"/>
  <c r="I49"/>
  <c r="J49"/>
  <c r="K49"/>
  <c r="M49"/>
  <c r="N49"/>
  <c r="O49"/>
  <c r="P49"/>
  <c r="Q49"/>
  <c r="S49"/>
  <c r="T49"/>
  <c r="U49"/>
  <c r="V49"/>
  <c r="W49"/>
  <c r="X49"/>
  <c r="Z49"/>
  <c r="AA49"/>
  <c r="AB49"/>
  <c r="AC49"/>
  <c r="AD49"/>
  <c r="AE49"/>
  <c r="AF49"/>
  <c r="AG49"/>
  <c r="AH49"/>
  <c r="AI49"/>
  <c r="AK49"/>
  <c r="AL49"/>
  <c r="AM49"/>
  <c r="AN49"/>
  <c r="AO49"/>
  <c r="AP49"/>
  <c r="AQ49"/>
  <c r="AR49"/>
  <c r="AS49"/>
  <c r="AT49"/>
  <c r="AV49"/>
  <c r="AW49"/>
  <c r="AX49"/>
  <c r="AY49"/>
  <c r="AZ49"/>
  <c r="BA49"/>
  <c r="BB49"/>
  <c r="BD49"/>
  <c r="BE49"/>
  <c r="BF49"/>
  <c r="BG49"/>
  <c r="BH49"/>
  <c r="BI49"/>
  <c r="BJ49"/>
  <c r="BK49"/>
  <c r="BL49"/>
  <c r="BN49"/>
  <c r="BO49"/>
  <c r="BP49"/>
  <c r="BQ49"/>
  <c r="BR49"/>
  <c r="BS49"/>
  <c r="BT49"/>
  <c r="BV49"/>
  <c r="BW49"/>
  <c r="BX49"/>
  <c r="BY49"/>
  <c r="BZ49"/>
  <c r="CA49"/>
  <c r="CC49"/>
  <c r="CD49"/>
  <c r="CE49"/>
  <c r="CF49"/>
  <c r="A50"/>
  <c r="B50"/>
  <c r="C50"/>
  <c r="G50"/>
  <c r="H50"/>
  <c r="I50"/>
  <c r="J50"/>
  <c r="K50"/>
  <c r="M50"/>
  <c r="N50"/>
  <c r="O50"/>
  <c r="P50"/>
  <c r="Q50"/>
  <c r="S50"/>
  <c r="T50"/>
  <c r="U50"/>
  <c r="V50"/>
  <c r="W50"/>
  <c r="X50"/>
  <c r="Z50"/>
  <c r="AA50"/>
  <c r="AB50"/>
  <c r="AC50"/>
  <c r="AD50"/>
  <c r="AE50"/>
  <c r="AF50"/>
  <c r="AG50"/>
  <c r="AH50"/>
  <c r="AI50"/>
  <c r="AK50"/>
  <c r="AL50"/>
  <c r="AM50"/>
  <c r="AN50"/>
  <c r="AO50"/>
  <c r="AP50"/>
  <c r="AQ50"/>
  <c r="AR50"/>
  <c r="AS50"/>
  <c r="AT50"/>
  <c r="AV50"/>
  <c r="AW50"/>
  <c r="AX50"/>
  <c r="AY50"/>
  <c r="AZ50"/>
  <c r="BA50"/>
  <c r="BB50"/>
  <c r="BD50"/>
  <c r="BE50"/>
  <c r="BF50"/>
  <c r="BG50"/>
  <c r="BH50"/>
  <c r="BI50"/>
  <c r="BJ50"/>
  <c r="BK50"/>
  <c r="BL50"/>
  <c r="BN50"/>
  <c r="BO50"/>
  <c r="BP50"/>
  <c r="BQ50"/>
  <c r="BR50"/>
  <c r="BS50"/>
  <c r="BT50"/>
  <c r="BV50"/>
  <c r="BW50"/>
  <c r="BX50"/>
  <c r="BY50"/>
  <c r="BZ50"/>
  <c r="CA50"/>
  <c r="CC50"/>
  <c r="CD50"/>
  <c r="CE50"/>
  <c r="CF50"/>
  <c r="A51"/>
  <c r="B51"/>
  <c r="C51"/>
  <c r="G51"/>
  <c r="H51"/>
  <c r="I51"/>
  <c r="J51"/>
  <c r="K51"/>
  <c r="M51"/>
  <c r="N51"/>
  <c r="O51"/>
  <c r="P51"/>
  <c r="Q51"/>
  <c r="S51"/>
  <c r="T51"/>
  <c r="U51"/>
  <c r="V51"/>
  <c r="W51"/>
  <c r="X51"/>
  <c r="Z51"/>
  <c r="AA51"/>
  <c r="AB51"/>
  <c r="AC51"/>
  <c r="AD51"/>
  <c r="AE51"/>
  <c r="AF51"/>
  <c r="AG51"/>
  <c r="AH51"/>
  <c r="AI51"/>
  <c r="AK51"/>
  <c r="AL51"/>
  <c r="AM51"/>
  <c r="AN51"/>
  <c r="AO51"/>
  <c r="AP51"/>
  <c r="AQ51"/>
  <c r="AR51"/>
  <c r="AS51"/>
  <c r="AT51"/>
  <c r="AV51"/>
  <c r="AW51"/>
  <c r="AX51"/>
  <c r="AY51"/>
  <c r="AZ51"/>
  <c r="BA51"/>
  <c r="BB51"/>
  <c r="BD51"/>
  <c r="BE51"/>
  <c r="BF51"/>
  <c r="BG51"/>
  <c r="BH51"/>
  <c r="BI51"/>
  <c r="BJ51"/>
  <c r="BK51"/>
  <c r="BL51"/>
  <c r="BN51"/>
  <c r="BO51"/>
  <c r="BP51"/>
  <c r="BQ51"/>
  <c r="BR51"/>
  <c r="BS51"/>
  <c r="BT51"/>
  <c r="BV51"/>
  <c r="BW51"/>
  <c r="BX51"/>
  <c r="BY51"/>
  <c r="BZ51"/>
  <c r="CA51"/>
  <c r="CC51"/>
  <c r="CD51"/>
  <c r="CE51"/>
  <c r="CF51"/>
  <c r="A52"/>
  <c r="B52"/>
  <c r="C52"/>
  <c r="AH52"/>
  <c r="AI52"/>
  <c r="AV52"/>
  <c r="AW52"/>
  <c r="AX52"/>
  <c r="AY52"/>
  <c r="AZ52"/>
  <c r="BA52"/>
  <c r="BB52"/>
  <c r="A53"/>
  <c r="B53"/>
  <c r="C53"/>
  <c r="G53"/>
  <c r="H53"/>
  <c r="I53"/>
  <c r="J53"/>
  <c r="K53"/>
  <c r="M53"/>
  <c r="N53"/>
  <c r="O53"/>
  <c r="P53"/>
  <c r="Q53"/>
  <c r="S53"/>
  <c r="T53"/>
  <c r="U53"/>
  <c r="V53"/>
  <c r="W53"/>
  <c r="X53"/>
  <c r="Z53"/>
  <c r="AA53"/>
  <c r="AB53"/>
  <c r="AC53"/>
  <c r="AD53"/>
  <c r="AE53"/>
  <c r="AF53"/>
  <c r="AG53"/>
  <c r="AH53"/>
  <c r="AI53"/>
  <c r="AK53"/>
  <c r="AL53"/>
  <c r="AM53"/>
  <c r="AN53"/>
  <c r="AO53"/>
  <c r="AP53"/>
  <c r="AQ53"/>
  <c r="AR53"/>
  <c r="AS53"/>
  <c r="AT53"/>
  <c r="AV53"/>
  <c r="AW53"/>
  <c r="AX53"/>
  <c r="AY53"/>
  <c r="AZ53"/>
  <c r="BA53"/>
  <c r="BB53"/>
  <c r="BD53"/>
  <c r="BE53"/>
  <c r="BF53"/>
  <c r="BG53"/>
  <c r="BH53"/>
  <c r="BI53"/>
  <c r="BJ53"/>
  <c r="BK53"/>
  <c r="BL53"/>
  <c r="BN53"/>
  <c r="BO53"/>
  <c r="BP53"/>
  <c r="BQ53"/>
  <c r="BR53"/>
  <c r="BS53"/>
  <c r="BT53"/>
  <c r="BV53"/>
  <c r="BW53"/>
  <c r="BX53"/>
  <c r="BY53"/>
  <c r="BZ53"/>
  <c r="CA53"/>
  <c r="CC53"/>
  <c r="CD53"/>
  <c r="CE53"/>
  <c r="CF53"/>
  <c r="A54"/>
  <c r="B54"/>
  <c r="C54"/>
  <c r="G54"/>
  <c r="H54"/>
  <c r="I54"/>
  <c r="J54"/>
  <c r="K54"/>
  <c r="M54"/>
  <c r="N54"/>
  <c r="O54"/>
  <c r="P54"/>
  <c r="Q54"/>
  <c r="S54"/>
  <c r="T54"/>
  <c r="U54"/>
  <c r="V54"/>
  <c r="W54"/>
  <c r="X54"/>
  <c r="Z54"/>
  <c r="AA54"/>
  <c r="AB54"/>
  <c r="AC54"/>
  <c r="AD54"/>
  <c r="AE54"/>
  <c r="AF54"/>
  <c r="AG54"/>
  <c r="AH54"/>
  <c r="AI54"/>
  <c r="AK54"/>
  <c r="AL54"/>
  <c r="AM54"/>
  <c r="AN54"/>
  <c r="AO54"/>
  <c r="AP54"/>
  <c r="AQ54"/>
  <c r="AR54"/>
  <c r="AS54"/>
  <c r="AT54"/>
  <c r="AV54"/>
  <c r="AW54"/>
  <c r="AX54"/>
  <c r="AY54"/>
  <c r="AZ54"/>
  <c r="BA54"/>
  <c r="BB54"/>
  <c r="BD54"/>
  <c r="BE54"/>
  <c r="BF54"/>
  <c r="BG54"/>
  <c r="BH54"/>
  <c r="BI54"/>
  <c r="BJ54"/>
  <c r="BK54"/>
  <c r="BL54"/>
  <c r="BN54"/>
  <c r="BO54"/>
  <c r="BP54"/>
  <c r="BQ54"/>
  <c r="BR54"/>
  <c r="BS54"/>
  <c r="BT54"/>
  <c r="BV54"/>
  <c r="BW54"/>
  <c r="BX54"/>
  <c r="BY54"/>
  <c r="BZ54"/>
  <c r="CA54"/>
  <c r="CC54"/>
  <c r="CD54"/>
  <c r="CE54"/>
  <c r="CF54"/>
  <c r="A55"/>
  <c r="B55"/>
  <c r="C55"/>
  <c r="G55"/>
  <c r="H55"/>
  <c r="I55"/>
  <c r="J55"/>
  <c r="K55"/>
  <c r="M55"/>
  <c r="N55"/>
  <c r="O55"/>
  <c r="P55"/>
  <c r="Q55"/>
  <c r="S55"/>
  <c r="T55"/>
  <c r="U55"/>
  <c r="V55"/>
  <c r="W55"/>
  <c r="X55"/>
  <c r="Z55"/>
  <c r="AA55"/>
  <c r="AB55"/>
  <c r="AC55"/>
  <c r="AD55"/>
  <c r="AE55"/>
  <c r="AF55"/>
  <c r="AG55"/>
  <c r="AH55"/>
  <c r="AI55"/>
  <c r="AK55"/>
  <c r="AL55"/>
  <c r="AM55"/>
  <c r="AN55"/>
  <c r="AO55"/>
  <c r="AP55"/>
  <c r="AQ55"/>
  <c r="AR55"/>
  <c r="AS55"/>
  <c r="AT55"/>
  <c r="AV55"/>
  <c r="AW55"/>
  <c r="AX55"/>
  <c r="AY55"/>
  <c r="AZ55"/>
  <c r="BA55"/>
  <c r="BB55"/>
  <c r="BD55"/>
  <c r="BE55"/>
  <c r="BF55"/>
  <c r="BG55"/>
  <c r="BH55"/>
  <c r="BI55"/>
  <c r="BJ55"/>
  <c r="BK55"/>
  <c r="BL55"/>
  <c r="BN55"/>
  <c r="BO55"/>
  <c r="BP55"/>
  <c r="BQ55"/>
  <c r="BR55"/>
  <c r="BS55"/>
  <c r="BT55"/>
  <c r="BV55"/>
  <c r="BW55"/>
  <c r="BX55"/>
  <c r="BY55"/>
  <c r="BZ55"/>
  <c r="CA55"/>
  <c r="CC55"/>
  <c r="CD55"/>
  <c r="CE55"/>
  <c r="CF55"/>
  <c r="A56"/>
  <c r="B56"/>
  <c r="C56"/>
  <c r="G56"/>
  <c r="H56"/>
  <c r="I56"/>
  <c r="J56"/>
  <c r="K56"/>
  <c r="M56"/>
  <c r="N56"/>
  <c r="O56"/>
  <c r="P56"/>
  <c r="Q56"/>
  <c r="S56"/>
  <c r="T56"/>
  <c r="U56"/>
  <c r="V56"/>
  <c r="W56"/>
  <c r="X56"/>
  <c r="Z56"/>
  <c r="AA56"/>
  <c r="AB56"/>
  <c r="AC56"/>
  <c r="AD56"/>
  <c r="AE56"/>
  <c r="AF56"/>
  <c r="AG56"/>
  <c r="AH56"/>
  <c r="AI56"/>
  <c r="AK56"/>
  <c r="AL56"/>
  <c r="AM56"/>
  <c r="AN56"/>
  <c r="AO56"/>
  <c r="AP56"/>
  <c r="AQ56"/>
  <c r="AR56"/>
  <c r="AS56"/>
  <c r="AT56"/>
  <c r="AV56"/>
  <c r="AW56"/>
  <c r="AX56"/>
  <c r="AY56"/>
  <c r="AZ56"/>
  <c r="BA56"/>
  <c r="BB56"/>
  <c r="BD56"/>
  <c r="BE56"/>
  <c r="BF56"/>
  <c r="BG56"/>
  <c r="BH56"/>
  <c r="BI56"/>
  <c r="BJ56"/>
  <c r="BK56"/>
  <c r="BL56"/>
  <c r="BN56"/>
  <c r="BO56"/>
  <c r="BP56"/>
  <c r="BQ56"/>
  <c r="BR56"/>
  <c r="BS56"/>
  <c r="BT56"/>
  <c r="BV56"/>
  <c r="BW56"/>
  <c r="BX56"/>
  <c r="BY56"/>
  <c r="BZ56"/>
  <c r="CA56"/>
  <c r="CC56"/>
  <c r="CD56"/>
  <c r="CE56"/>
  <c r="CF56"/>
  <c r="A57"/>
  <c r="B57"/>
  <c r="C57"/>
  <c r="G57"/>
  <c r="H57"/>
  <c r="I57"/>
  <c r="J57"/>
  <c r="K57"/>
  <c r="M57"/>
  <c r="N57"/>
  <c r="O57"/>
  <c r="P57"/>
  <c r="Q57"/>
  <c r="S57"/>
  <c r="T57"/>
  <c r="U57"/>
  <c r="V57"/>
  <c r="W57"/>
  <c r="X57"/>
  <c r="Z57"/>
  <c r="AA57"/>
  <c r="AB57"/>
  <c r="AC57"/>
  <c r="AD57"/>
  <c r="AE57"/>
  <c r="AF57"/>
  <c r="AG57"/>
  <c r="AH57"/>
  <c r="AI57"/>
  <c r="AK57"/>
  <c r="AL57"/>
  <c r="AM57"/>
  <c r="AN57"/>
  <c r="AO57"/>
  <c r="AP57"/>
  <c r="AQ57"/>
  <c r="AR57"/>
  <c r="AS57"/>
  <c r="AT57"/>
  <c r="AV57"/>
  <c r="AW57"/>
  <c r="AX57"/>
  <c r="AY57"/>
  <c r="AZ57"/>
  <c r="BA57"/>
  <c r="BB57"/>
  <c r="BD57"/>
  <c r="BE57"/>
  <c r="BF57"/>
  <c r="BG57"/>
  <c r="BH57"/>
  <c r="BI57"/>
  <c r="BJ57"/>
  <c r="BK57"/>
  <c r="BL57"/>
  <c r="BN57"/>
  <c r="BO57"/>
  <c r="BP57"/>
  <c r="BQ57"/>
  <c r="BR57"/>
  <c r="BS57"/>
  <c r="BT57"/>
  <c r="BV57"/>
  <c r="BW57"/>
  <c r="BX57"/>
  <c r="BY57"/>
  <c r="BZ57"/>
  <c r="CA57"/>
  <c r="CC57"/>
  <c r="CD57"/>
  <c r="CE57"/>
  <c r="CF57"/>
  <c r="A58"/>
  <c r="B58"/>
  <c r="A59"/>
  <c r="B59"/>
  <c r="C59"/>
  <c r="G59"/>
  <c r="H59"/>
  <c r="I59"/>
  <c r="J59"/>
  <c r="K59"/>
  <c r="M59"/>
  <c r="N59"/>
  <c r="O59"/>
  <c r="P59"/>
  <c r="Q59"/>
  <c r="S59"/>
  <c r="T59"/>
  <c r="U59"/>
  <c r="V59"/>
  <c r="W59"/>
  <c r="X59"/>
  <c r="Z59"/>
  <c r="AA59"/>
  <c r="AB59"/>
  <c r="AC59"/>
  <c r="AD59"/>
  <c r="AE59"/>
  <c r="AF59"/>
  <c r="AG59"/>
  <c r="AH59"/>
  <c r="AI59"/>
  <c r="AK59"/>
  <c r="AL59"/>
  <c r="AM59"/>
  <c r="AN59"/>
  <c r="AO59"/>
  <c r="AP59"/>
  <c r="AQ59"/>
  <c r="AR59"/>
  <c r="AS59"/>
  <c r="AT59"/>
  <c r="AV59"/>
  <c r="AW59"/>
  <c r="AX59"/>
  <c r="AY59"/>
  <c r="AZ59"/>
  <c r="BA59"/>
  <c r="BB59"/>
  <c r="BD59"/>
  <c r="BE59"/>
  <c r="BF59"/>
  <c r="BG59"/>
  <c r="BH59"/>
  <c r="BI59"/>
  <c r="BJ59"/>
  <c r="BK59"/>
  <c r="BL59"/>
  <c r="BN59"/>
  <c r="BO59"/>
  <c r="BP59"/>
  <c r="BQ59"/>
  <c r="BR59"/>
  <c r="BS59"/>
  <c r="BT59"/>
  <c r="BV59"/>
  <c r="BW59"/>
  <c r="BX59"/>
  <c r="BY59"/>
  <c r="BZ59"/>
  <c r="CA59"/>
  <c r="CC59"/>
  <c r="CD59"/>
  <c r="CE59"/>
  <c r="CF59"/>
  <c r="A60"/>
  <c r="B60"/>
  <c r="C60"/>
  <c r="G60"/>
  <c r="H60"/>
  <c r="I60"/>
  <c r="J60"/>
  <c r="K60"/>
  <c r="M60"/>
  <c r="N60"/>
  <c r="O60"/>
  <c r="P60"/>
  <c r="Q60"/>
  <c r="S60"/>
  <c r="T60"/>
  <c r="U60"/>
  <c r="V60"/>
  <c r="W60"/>
  <c r="X60"/>
  <c r="Z60"/>
  <c r="AA60"/>
  <c r="AB60"/>
  <c r="AC60"/>
  <c r="AD60"/>
  <c r="AE60"/>
  <c r="AF60"/>
  <c r="AG60"/>
  <c r="AH60"/>
  <c r="AI60"/>
  <c r="AK60"/>
  <c r="AL60"/>
  <c r="AM60"/>
  <c r="AN60"/>
  <c r="AO60"/>
  <c r="AP60"/>
  <c r="AQ60"/>
  <c r="AR60"/>
  <c r="AS60"/>
  <c r="AT60"/>
  <c r="AV60"/>
  <c r="AW60"/>
  <c r="AX60"/>
  <c r="AY60"/>
  <c r="AZ60"/>
  <c r="BA60"/>
  <c r="BB60"/>
  <c r="BD60"/>
  <c r="BE60"/>
  <c r="BF60"/>
  <c r="BG60"/>
  <c r="BH60"/>
  <c r="BI60"/>
  <c r="BJ60"/>
  <c r="BK60"/>
  <c r="BL60"/>
  <c r="BN60"/>
  <c r="BO60"/>
  <c r="BP60"/>
  <c r="BQ60"/>
  <c r="BR60"/>
  <c r="BS60"/>
  <c r="BT60"/>
  <c r="BV60"/>
  <c r="BW60"/>
  <c r="BX60"/>
  <c r="BY60"/>
  <c r="BZ60"/>
  <c r="CA60"/>
  <c r="CC60"/>
  <c r="CD60"/>
  <c r="CE60"/>
  <c r="CF60"/>
  <c r="A61"/>
  <c r="B61"/>
  <c r="C61"/>
  <c r="G61"/>
  <c r="H61"/>
  <c r="I61"/>
  <c r="J61"/>
  <c r="K61"/>
  <c r="M61"/>
  <c r="N61"/>
  <c r="O61"/>
  <c r="P61"/>
  <c r="Q61"/>
  <c r="S61"/>
  <c r="T61"/>
  <c r="U61"/>
  <c r="V61"/>
  <c r="W61"/>
  <c r="X61"/>
  <c r="Z61"/>
  <c r="AA61"/>
  <c r="AB61"/>
  <c r="AC61"/>
  <c r="AD61"/>
  <c r="AE61"/>
  <c r="AF61"/>
  <c r="AG61"/>
  <c r="AH61"/>
  <c r="AI61"/>
  <c r="AK61"/>
  <c r="AL61"/>
  <c r="AM61"/>
  <c r="AN61"/>
  <c r="AO61"/>
  <c r="AP61"/>
  <c r="AQ61"/>
  <c r="AR61"/>
  <c r="AS61"/>
  <c r="AT61"/>
  <c r="AV61"/>
  <c r="AW61"/>
  <c r="AX61"/>
  <c r="AY61"/>
  <c r="AZ61"/>
  <c r="BA61"/>
  <c r="BB61"/>
  <c r="BD61"/>
  <c r="BE61"/>
  <c r="BF61"/>
  <c r="BG61"/>
  <c r="BH61"/>
  <c r="BI61"/>
  <c r="BJ61"/>
  <c r="BK61"/>
  <c r="BL61"/>
  <c r="BN61"/>
  <c r="BO61"/>
  <c r="BP61"/>
  <c r="BQ61"/>
  <c r="BR61"/>
  <c r="BS61"/>
  <c r="BT61"/>
  <c r="BV61"/>
  <c r="BW61"/>
  <c r="BX61"/>
  <c r="BY61"/>
  <c r="BZ61"/>
  <c r="CA61"/>
  <c r="CC61"/>
  <c r="CD61"/>
  <c r="CE61"/>
  <c r="CF61"/>
  <c r="A62"/>
  <c r="B62"/>
  <c r="C62"/>
  <c r="G62"/>
  <c r="H62"/>
  <c r="I62"/>
  <c r="J62"/>
  <c r="K62"/>
  <c r="M62"/>
  <c r="N62"/>
  <c r="O62"/>
  <c r="P62"/>
  <c r="Q62"/>
  <c r="S62"/>
  <c r="T62"/>
  <c r="U62"/>
  <c r="V62"/>
  <c r="W62"/>
  <c r="X62"/>
  <c r="Z62"/>
  <c r="AA62"/>
  <c r="AB62"/>
  <c r="AC62"/>
  <c r="AD62"/>
  <c r="AE62"/>
  <c r="AF62"/>
  <c r="AG62"/>
  <c r="AH62"/>
  <c r="AI62"/>
  <c r="AK62"/>
  <c r="AL62"/>
  <c r="AM62"/>
  <c r="AN62"/>
  <c r="AO62"/>
  <c r="AP62"/>
  <c r="AQ62"/>
  <c r="AR62"/>
  <c r="AS62"/>
  <c r="AT62"/>
  <c r="AV62"/>
  <c r="AW62"/>
  <c r="AX62"/>
  <c r="AY62"/>
  <c r="AZ62"/>
  <c r="BA62"/>
  <c r="BB62"/>
  <c r="BD62"/>
  <c r="BE62"/>
  <c r="BF62"/>
  <c r="BG62"/>
  <c r="BH62"/>
  <c r="BI62"/>
  <c r="BJ62"/>
  <c r="BK62"/>
  <c r="BL62"/>
  <c r="BN62"/>
  <c r="BO62"/>
  <c r="BP62"/>
  <c r="BQ62"/>
  <c r="BR62"/>
  <c r="BS62"/>
  <c r="BT62"/>
  <c r="BV62"/>
  <c r="BW62"/>
  <c r="BX62"/>
  <c r="BY62"/>
  <c r="BZ62"/>
  <c r="CA62"/>
  <c r="CC62"/>
  <c r="CD62"/>
  <c r="CE62"/>
  <c r="CF62"/>
  <c r="A63"/>
  <c r="B63"/>
  <c r="C63"/>
  <c r="G63"/>
  <c r="H63"/>
  <c r="I63"/>
  <c r="J63"/>
  <c r="K63"/>
  <c r="M63"/>
  <c r="N63"/>
  <c r="O63"/>
  <c r="P63"/>
  <c r="Q63"/>
  <c r="S63"/>
  <c r="T63"/>
  <c r="U63"/>
  <c r="V63"/>
  <c r="W63"/>
  <c r="X63"/>
  <c r="Z63"/>
  <c r="AA63"/>
  <c r="AB63"/>
  <c r="AC63"/>
  <c r="AD63"/>
  <c r="AE63"/>
  <c r="AF63"/>
  <c r="AG63"/>
  <c r="AH63"/>
  <c r="AI63"/>
  <c r="AK63"/>
  <c r="AL63"/>
  <c r="AM63"/>
  <c r="AN63"/>
  <c r="AO63"/>
  <c r="AP63"/>
  <c r="AQ63"/>
  <c r="AR63"/>
  <c r="AS63"/>
  <c r="AT63"/>
  <c r="AV63"/>
  <c r="AW63"/>
  <c r="AX63"/>
  <c r="AY63"/>
  <c r="AZ63"/>
  <c r="BA63"/>
  <c r="BB63"/>
  <c r="BD63"/>
  <c r="BE63"/>
  <c r="BF63"/>
  <c r="BG63"/>
  <c r="BH63"/>
  <c r="BI63"/>
  <c r="BJ63"/>
  <c r="BK63"/>
  <c r="BL63"/>
  <c r="BN63"/>
  <c r="BO63"/>
  <c r="BP63"/>
  <c r="BQ63"/>
  <c r="BR63"/>
  <c r="BS63"/>
  <c r="BT63"/>
  <c r="BV63"/>
  <c r="BW63"/>
  <c r="BX63"/>
  <c r="BY63"/>
  <c r="BZ63"/>
  <c r="CA63"/>
  <c r="CC63"/>
  <c r="CD63"/>
  <c r="CE63"/>
  <c r="CF63"/>
  <c r="A64"/>
  <c r="B64"/>
  <c r="C64"/>
  <c r="G64"/>
  <c r="H64"/>
  <c r="I64"/>
  <c r="J64"/>
  <c r="K64"/>
  <c r="M64"/>
  <c r="N64"/>
  <c r="O64"/>
  <c r="P64"/>
  <c r="Q64"/>
  <c r="S64"/>
  <c r="T64"/>
  <c r="U64"/>
  <c r="V64"/>
  <c r="W64"/>
  <c r="X64"/>
  <c r="Z64"/>
  <c r="AA64"/>
  <c r="AB64"/>
  <c r="AC64"/>
  <c r="AD64"/>
  <c r="AE64"/>
  <c r="AF64"/>
  <c r="AG64"/>
  <c r="AH64"/>
  <c r="AI64"/>
  <c r="AK64"/>
  <c r="AL64"/>
  <c r="AM64"/>
  <c r="AN64"/>
  <c r="AO64"/>
  <c r="AP64"/>
  <c r="AQ64"/>
  <c r="AR64"/>
  <c r="AS64"/>
  <c r="AT64"/>
  <c r="AV64"/>
  <c r="AW64"/>
  <c r="AX64"/>
  <c r="AY64"/>
  <c r="AZ64"/>
  <c r="BA64"/>
  <c r="BB64"/>
  <c r="BD64"/>
  <c r="BE64"/>
  <c r="BF64"/>
  <c r="BG64"/>
  <c r="BH64"/>
  <c r="BI64"/>
  <c r="BJ64"/>
  <c r="BK64"/>
  <c r="BL64"/>
  <c r="BN64"/>
  <c r="BO64"/>
  <c r="BP64"/>
  <c r="BQ64"/>
  <c r="BR64"/>
  <c r="BS64"/>
  <c r="BT64"/>
  <c r="BV64"/>
  <c r="BW64"/>
  <c r="BX64"/>
  <c r="BY64"/>
  <c r="BZ64"/>
  <c r="CA64"/>
  <c r="CC64"/>
  <c r="CD64"/>
  <c r="CE64"/>
  <c r="CF64"/>
  <c r="A65"/>
  <c r="B65"/>
  <c r="C65"/>
  <c r="AH65"/>
  <c r="AI65"/>
  <c r="A66"/>
  <c r="B66"/>
  <c r="C66"/>
  <c r="AH66"/>
  <c r="AI66"/>
  <c r="BL66"/>
  <c r="A67"/>
  <c r="B67"/>
  <c r="C67"/>
  <c r="G67"/>
  <c r="H67"/>
  <c r="I67"/>
  <c r="J67"/>
  <c r="K67"/>
  <c r="M67"/>
  <c r="N67"/>
  <c r="O67"/>
  <c r="P67"/>
  <c r="Q67"/>
  <c r="S67"/>
  <c r="T67"/>
  <c r="U67"/>
  <c r="V67"/>
  <c r="W67"/>
  <c r="X67"/>
  <c r="Z67"/>
  <c r="AA67"/>
  <c r="AB67"/>
  <c r="AC67"/>
  <c r="AD67"/>
  <c r="AE67"/>
  <c r="AF67"/>
  <c r="AG67"/>
  <c r="AH67"/>
  <c r="AI67"/>
  <c r="AK67"/>
  <c r="AL67"/>
  <c r="AM67"/>
  <c r="AN67"/>
  <c r="AO67"/>
  <c r="AP67"/>
  <c r="AQ67"/>
  <c r="AR67"/>
  <c r="AS67"/>
  <c r="AT67"/>
  <c r="AV67"/>
  <c r="AW67"/>
  <c r="AX67"/>
  <c r="AY67"/>
  <c r="AZ67"/>
  <c r="BA67"/>
  <c r="BB67"/>
  <c r="BD67"/>
  <c r="BE67"/>
  <c r="BF67"/>
  <c r="BG67"/>
  <c r="BH67"/>
  <c r="BI67"/>
  <c r="BJ67"/>
  <c r="BK67"/>
  <c r="BL67"/>
  <c r="BN67"/>
  <c r="BO67"/>
  <c r="BP67"/>
  <c r="BQ67"/>
  <c r="BR67"/>
  <c r="BS67"/>
  <c r="BT67"/>
  <c r="BV67"/>
  <c r="BW67"/>
  <c r="BX67"/>
  <c r="BY67"/>
  <c r="BZ67"/>
  <c r="CA67"/>
  <c r="CC67"/>
  <c r="CD67"/>
  <c r="CE67"/>
  <c r="CF67"/>
  <c r="A68"/>
  <c r="B68"/>
  <c r="C68"/>
  <c r="G68"/>
  <c r="H68"/>
  <c r="I68"/>
  <c r="J68"/>
  <c r="K68"/>
  <c r="M68"/>
  <c r="N68"/>
  <c r="O68"/>
  <c r="P68"/>
  <c r="Q68"/>
  <c r="S68"/>
  <c r="T68"/>
  <c r="U68"/>
  <c r="V68"/>
  <c r="W68"/>
  <c r="X68"/>
  <c r="Z68"/>
  <c r="AA68"/>
  <c r="AB68"/>
  <c r="AC68"/>
  <c r="AD68"/>
  <c r="AE68"/>
  <c r="AF68"/>
  <c r="AG68"/>
  <c r="AH68"/>
  <c r="AI68"/>
  <c r="AK68"/>
  <c r="AL68"/>
  <c r="AM68"/>
  <c r="AN68"/>
  <c r="AO68"/>
  <c r="AP68"/>
  <c r="AQ68"/>
  <c r="AR68"/>
  <c r="AS68"/>
  <c r="AT68"/>
  <c r="AV68"/>
  <c r="AW68"/>
  <c r="AX68"/>
  <c r="AY68"/>
  <c r="AZ68"/>
  <c r="BA68"/>
  <c r="BB68"/>
  <c r="BD68"/>
  <c r="BE68"/>
  <c r="BF68"/>
  <c r="BG68"/>
  <c r="BH68"/>
  <c r="BI68"/>
  <c r="BJ68"/>
  <c r="BK68"/>
  <c r="BL68"/>
  <c r="BN68"/>
  <c r="BO68"/>
  <c r="BP68"/>
  <c r="BQ68"/>
  <c r="BR68"/>
  <c r="BS68"/>
  <c r="BT68"/>
  <c r="BV68"/>
  <c r="BW68"/>
  <c r="BX68"/>
  <c r="BY68"/>
  <c r="BZ68"/>
  <c r="CA68"/>
  <c r="CC68"/>
  <c r="CD68"/>
  <c r="CE68"/>
  <c r="CF68"/>
  <c r="A69"/>
  <c r="B69"/>
  <c r="C69"/>
  <c r="G69"/>
  <c r="H69"/>
  <c r="I69"/>
  <c r="J69"/>
  <c r="K69"/>
  <c r="M69"/>
  <c r="N69"/>
  <c r="O69"/>
  <c r="P69"/>
  <c r="Q69"/>
  <c r="S69"/>
  <c r="T69"/>
  <c r="U69"/>
  <c r="V69"/>
  <c r="W69"/>
  <c r="X69"/>
  <c r="Z69"/>
  <c r="AA69"/>
  <c r="AB69"/>
  <c r="AC69"/>
  <c r="AD69"/>
  <c r="AE69"/>
  <c r="AF69"/>
  <c r="AG69"/>
  <c r="AH69"/>
  <c r="AI69"/>
  <c r="AK69"/>
  <c r="AL69"/>
  <c r="AM69"/>
  <c r="AN69"/>
  <c r="AO69"/>
  <c r="AP69"/>
  <c r="AQ69"/>
  <c r="AR69"/>
  <c r="AS69"/>
  <c r="AT69"/>
  <c r="AV69"/>
  <c r="AW69"/>
  <c r="AX69"/>
  <c r="AY69"/>
  <c r="AZ69"/>
  <c r="BA69"/>
  <c r="BB69"/>
  <c r="BD69"/>
  <c r="BE69"/>
  <c r="BF69"/>
  <c r="BG69"/>
  <c r="BH69"/>
  <c r="BI69"/>
  <c r="BJ69"/>
  <c r="BK69"/>
  <c r="BL69"/>
  <c r="BN69"/>
  <c r="BO69"/>
  <c r="BP69"/>
  <c r="BQ69"/>
  <c r="BR69"/>
  <c r="BS69"/>
  <c r="BT69"/>
  <c r="BV69"/>
  <c r="BW69"/>
  <c r="BX69"/>
  <c r="BY69"/>
  <c r="BZ69"/>
  <c r="CA69"/>
  <c r="CC69"/>
  <c r="CD69"/>
  <c r="CE69"/>
  <c r="CF69"/>
  <c r="A70"/>
  <c r="B70"/>
  <c r="C70"/>
  <c r="G70"/>
  <c r="H70"/>
  <c r="I70"/>
  <c r="J70"/>
  <c r="K70"/>
  <c r="M70"/>
  <c r="N70"/>
  <c r="O70"/>
  <c r="P70"/>
  <c r="Q70"/>
  <c r="S70"/>
  <c r="T70"/>
  <c r="U70"/>
  <c r="V70"/>
  <c r="W70"/>
  <c r="X70"/>
  <c r="Z70"/>
  <c r="AA70"/>
  <c r="AB70"/>
  <c r="AC70"/>
  <c r="AD70"/>
  <c r="AE70"/>
  <c r="AF70"/>
  <c r="AG70"/>
  <c r="AH70"/>
  <c r="AI70"/>
  <c r="AK70"/>
  <c r="AL70"/>
  <c r="AM70"/>
  <c r="AN70"/>
  <c r="AO70"/>
  <c r="AP70"/>
  <c r="AQ70"/>
  <c r="AR70"/>
  <c r="AS70"/>
  <c r="AT70"/>
  <c r="AV70"/>
  <c r="AW70"/>
  <c r="AX70"/>
  <c r="AY70"/>
  <c r="AZ70"/>
  <c r="BA70"/>
  <c r="BB70"/>
  <c r="BD70"/>
  <c r="BE70"/>
  <c r="BF70"/>
  <c r="BG70"/>
  <c r="BH70"/>
  <c r="BI70"/>
  <c r="BJ70"/>
  <c r="BK70"/>
  <c r="BL70"/>
  <c r="BN70"/>
  <c r="BO70"/>
  <c r="BP70"/>
  <c r="BQ70"/>
  <c r="BR70"/>
  <c r="BS70"/>
  <c r="BT70"/>
  <c r="BV70"/>
  <c r="BW70"/>
  <c r="BX70"/>
  <c r="BY70"/>
  <c r="BZ70"/>
  <c r="CA70"/>
  <c r="CC70"/>
  <c r="CD70"/>
  <c r="CE70"/>
  <c r="CF70"/>
  <c r="A71"/>
  <c r="B71"/>
  <c r="C71"/>
  <c r="G71"/>
  <c r="H71"/>
  <c r="I71"/>
  <c r="J71"/>
  <c r="K71"/>
  <c r="M71"/>
  <c r="N71"/>
  <c r="O71"/>
  <c r="P71"/>
  <c r="Q71"/>
  <c r="S71"/>
  <c r="T71"/>
  <c r="U71"/>
  <c r="V71"/>
  <c r="W71"/>
  <c r="X71"/>
  <c r="Z71"/>
  <c r="AA71"/>
  <c r="AB71"/>
  <c r="AC71"/>
  <c r="AD71"/>
  <c r="AE71"/>
  <c r="AF71"/>
  <c r="AG71"/>
  <c r="AH71"/>
  <c r="AI71"/>
  <c r="AK71"/>
  <c r="AL71"/>
  <c r="AM71"/>
  <c r="AN71"/>
  <c r="AO71"/>
  <c r="AP71"/>
  <c r="AQ71"/>
  <c r="AR71"/>
  <c r="AS71"/>
  <c r="AT71"/>
  <c r="AV71"/>
  <c r="AW71"/>
  <c r="AX71"/>
  <c r="AY71"/>
  <c r="AZ71"/>
  <c r="BA71"/>
  <c r="BB71"/>
  <c r="BD71"/>
  <c r="BE71"/>
  <c r="BF71"/>
  <c r="BG71"/>
  <c r="BH71"/>
  <c r="BI71"/>
  <c r="BJ71"/>
  <c r="BK71"/>
  <c r="BL71"/>
  <c r="BN71"/>
  <c r="BO71"/>
  <c r="BP71"/>
  <c r="BQ71"/>
  <c r="BR71"/>
  <c r="BS71"/>
  <c r="BT71"/>
  <c r="BV71"/>
  <c r="BW71"/>
  <c r="BX71"/>
  <c r="BY71"/>
  <c r="BZ71"/>
  <c r="CA71"/>
  <c r="CC71"/>
  <c r="CD71"/>
  <c r="CE71"/>
  <c r="CF71"/>
  <c r="A72"/>
  <c r="B72"/>
  <c r="A73"/>
  <c r="B73"/>
  <c r="C73"/>
  <c r="G73"/>
  <c r="H73"/>
  <c r="I73"/>
  <c r="J73"/>
  <c r="K73"/>
  <c r="M73"/>
  <c r="N73"/>
  <c r="O73"/>
  <c r="P73"/>
  <c r="Q73"/>
  <c r="S73"/>
  <c r="T73"/>
  <c r="U73"/>
  <c r="V73"/>
  <c r="W73"/>
  <c r="X73"/>
  <c r="Z73"/>
  <c r="AA73"/>
  <c r="AB73"/>
  <c r="AC73"/>
  <c r="AD73"/>
  <c r="AE73"/>
  <c r="AF73"/>
  <c r="AG73"/>
  <c r="AH73"/>
  <c r="AI73"/>
  <c r="AK73"/>
  <c r="AL73"/>
  <c r="AM73"/>
  <c r="AN73"/>
  <c r="AO73"/>
  <c r="AP73"/>
  <c r="AQ73"/>
  <c r="AR73"/>
  <c r="AS73"/>
  <c r="AT73"/>
  <c r="AV73"/>
  <c r="AW73"/>
  <c r="AX73"/>
  <c r="AY73"/>
  <c r="AZ73"/>
  <c r="BA73"/>
  <c r="BB73"/>
  <c r="BD73"/>
  <c r="BE73"/>
  <c r="BF73"/>
  <c r="BG73"/>
  <c r="BH73"/>
  <c r="BI73"/>
  <c r="BJ73"/>
  <c r="BK73"/>
  <c r="BL73"/>
  <c r="BN73"/>
  <c r="BO73"/>
  <c r="BP73"/>
  <c r="BQ73"/>
  <c r="BR73"/>
  <c r="BS73"/>
  <c r="BT73"/>
  <c r="BV73"/>
  <c r="BW73"/>
  <c r="BX73"/>
  <c r="BY73"/>
  <c r="BZ73"/>
  <c r="CA73"/>
  <c r="CC73"/>
  <c r="CD73"/>
  <c r="CE73"/>
  <c r="CF73"/>
  <c r="A74"/>
  <c r="B74"/>
  <c r="C74"/>
  <c r="G74"/>
  <c r="H74"/>
  <c r="I74"/>
  <c r="J74"/>
  <c r="K74"/>
  <c r="M74"/>
  <c r="N74"/>
  <c r="O74"/>
  <c r="P74"/>
  <c r="Q74"/>
  <c r="S74"/>
  <c r="T74"/>
  <c r="U74"/>
  <c r="V74"/>
  <c r="W74"/>
  <c r="X74"/>
  <c r="Z74"/>
  <c r="AA74"/>
  <c r="AB74"/>
  <c r="AC74"/>
  <c r="AD74"/>
  <c r="AE74"/>
  <c r="AF74"/>
  <c r="AG74"/>
  <c r="AH74"/>
  <c r="AI74"/>
  <c r="AK74"/>
  <c r="AL74"/>
  <c r="AM74"/>
  <c r="AN74"/>
  <c r="AO74"/>
  <c r="AP74"/>
  <c r="AQ74"/>
  <c r="AR74"/>
  <c r="AS74"/>
  <c r="AT74"/>
  <c r="AV74"/>
  <c r="AW74"/>
  <c r="AX74"/>
  <c r="AY74"/>
  <c r="AZ74"/>
  <c r="BA74"/>
  <c r="BB74"/>
  <c r="BD74"/>
  <c r="BE74"/>
  <c r="BF74"/>
  <c r="BG74"/>
  <c r="BH74"/>
  <c r="BI74"/>
  <c r="BJ74"/>
  <c r="BK74"/>
  <c r="BL74"/>
  <c r="BN74"/>
  <c r="BO74"/>
  <c r="BP74"/>
  <c r="BQ74"/>
  <c r="BR74"/>
  <c r="BS74"/>
  <c r="BT74"/>
  <c r="BV74"/>
  <c r="BW74"/>
  <c r="BX74"/>
  <c r="BY74"/>
  <c r="BZ74"/>
  <c r="CA74"/>
  <c r="CC74"/>
  <c r="CD74"/>
  <c r="CE74"/>
  <c r="CF74"/>
  <c r="A75"/>
  <c r="B75"/>
  <c r="C75"/>
  <c r="G75"/>
  <c r="H75"/>
  <c r="I75"/>
  <c r="J75"/>
  <c r="K75"/>
  <c r="M75"/>
  <c r="N75"/>
  <c r="O75"/>
  <c r="P75"/>
  <c r="Q75"/>
  <c r="S75"/>
  <c r="T75"/>
  <c r="U75"/>
  <c r="V75"/>
  <c r="W75"/>
  <c r="X75"/>
  <c r="Z75"/>
  <c r="AA75"/>
  <c r="AB75"/>
  <c r="AC75"/>
  <c r="AD75"/>
  <c r="AE75"/>
  <c r="AF75"/>
  <c r="AG75"/>
  <c r="AH75"/>
  <c r="AI75"/>
  <c r="AK75"/>
  <c r="AL75"/>
  <c r="AM75"/>
  <c r="AN75"/>
  <c r="AO75"/>
  <c r="AP75"/>
  <c r="AQ75"/>
  <c r="AR75"/>
  <c r="AS75"/>
  <c r="AT75"/>
  <c r="AV75"/>
  <c r="AW75"/>
  <c r="AX75"/>
  <c r="AY75"/>
  <c r="AZ75"/>
  <c r="BA75"/>
  <c r="BB75"/>
  <c r="BD75"/>
  <c r="BE75"/>
  <c r="BF75"/>
  <c r="BG75"/>
  <c r="BH75"/>
  <c r="BI75"/>
  <c r="BJ75"/>
  <c r="BK75"/>
  <c r="BL75"/>
  <c r="BN75"/>
  <c r="BO75"/>
  <c r="BP75"/>
  <c r="BQ75"/>
  <c r="BR75"/>
  <c r="BS75"/>
  <c r="BT75"/>
  <c r="BV75"/>
  <c r="BW75"/>
  <c r="BX75"/>
  <c r="BY75"/>
  <c r="BZ75"/>
  <c r="CA75"/>
  <c r="CC75"/>
  <c r="CD75"/>
  <c r="CE75"/>
  <c r="CF75"/>
  <c r="A76"/>
  <c r="B76"/>
  <c r="C76"/>
  <c r="G76"/>
  <c r="H76"/>
  <c r="I76"/>
  <c r="J76"/>
  <c r="K76"/>
  <c r="M76"/>
  <c r="N76"/>
  <c r="O76"/>
  <c r="P76"/>
  <c r="Q76"/>
  <c r="S76"/>
  <c r="T76"/>
  <c r="U76"/>
  <c r="V76"/>
  <c r="W76"/>
  <c r="X76"/>
  <c r="Z76"/>
  <c r="AA76"/>
  <c r="AB76"/>
  <c r="AC76"/>
  <c r="AD76"/>
  <c r="AE76"/>
  <c r="AF76"/>
  <c r="AG76"/>
  <c r="AH76"/>
  <c r="AI76"/>
  <c r="AK76"/>
  <c r="AL76"/>
  <c r="AM76"/>
  <c r="AN76"/>
  <c r="AO76"/>
  <c r="AP76"/>
  <c r="AQ76"/>
  <c r="AR76"/>
  <c r="AS76"/>
  <c r="AT76"/>
  <c r="AV76"/>
  <c r="AW76"/>
  <c r="AX76"/>
  <c r="AY76"/>
  <c r="AZ76"/>
  <c r="BA76"/>
  <c r="BB76"/>
  <c r="BD76"/>
  <c r="BE76"/>
  <c r="BF76"/>
  <c r="BG76"/>
  <c r="BH76"/>
  <c r="BI76"/>
  <c r="BJ76"/>
  <c r="BK76"/>
  <c r="BL76"/>
  <c r="BN76"/>
  <c r="BO76"/>
  <c r="BP76"/>
  <c r="BQ76"/>
  <c r="BR76"/>
  <c r="BS76"/>
  <c r="BT76"/>
  <c r="BV76"/>
  <c r="BW76"/>
  <c r="BX76"/>
  <c r="BY76"/>
  <c r="BZ76"/>
  <c r="CA76"/>
  <c r="CC76"/>
  <c r="CD76"/>
  <c r="CE76"/>
  <c r="CF76"/>
  <c r="A77"/>
  <c r="B77"/>
  <c r="C77"/>
  <c r="G77"/>
  <c r="H77"/>
  <c r="I77"/>
  <c r="J77"/>
  <c r="K77"/>
  <c r="M77"/>
  <c r="N77"/>
  <c r="O77"/>
  <c r="P77"/>
  <c r="Q77"/>
  <c r="S77"/>
  <c r="T77"/>
  <c r="U77"/>
  <c r="V77"/>
  <c r="W77"/>
  <c r="X77"/>
  <c r="Z77"/>
  <c r="AA77"/>
  <c r="AB77"/>
  <c r="AC77"/>
  <c r="AD77"/>
  <c r="AE77"/>
  <c r="AF77"/>
  <c r="AG77"/>
  <c r="AH77"/>
  <c r="AI77"/>
  <c r="AK77"/>
  <c r="AL77"/>
  <c r="AM77"/>
  <c r="AN77"/>
  <c r="AO77"/>
  <c r="AP77"/>
  <c r="AQ77"/>
  <c r="AR77"/>
  <c r="AS77"/>
  <c r="AT77"/>
  <c r="AV77"/>
  <c r="AW77"/>
  <c r="AX77"/>
  <c r="AY77"/>
  <c r="AZ77"/>
  <c r="BA77"/>
  <c r="BB77"/>
  <c r="BD77"/>
  <c r="BE77"/>
  <c r="BF77"/>
  <c r="BG77"/>
  <c r="BH77"/>
  <c r="BI77"/>
  <c r="BJ77"/>
  <c r="BK77"/>
  <c r="BL77"/>
  <c r="BN77"/>
  <c r="BO77"/>
  <c r="BP77"/>
  <c r="BQ77"/>
  <c r="BR77"/>
  <c r="BS77"/>
  <c r="BT77"/>
  <c r="BV77"/>
  <c r="BW77"/>
  <c r="BX77"/>
  <c r="BY77"/>
  <c r="BZ77"/>
  <c r="CA77"/>
  <c r="CC77"/>
  <c r="CD77"/>
  <c r="CE77"/>
  <c r="CF77"/>
  <c r="A78"/>
  <c r="B78"/>
  <c r="C78"/>
  <c r="G78"/>
  <c r="H78"/>
  <c r="I78"/>
  <c r="J78"/>
  <c r="K78"/>
  <c r="M78"/>
  <c r="N78"/>
  <c r="O78"/>
  <c r="P78"/>
  <c r="Q78"/>
  <c r="S78"/>
  <c r="T78"/>
  <c r="U78"/>
  <c r="V78"/>
  <c r="W78"/>
  <c r="X78"/>
  <c r="Z78"/>
  <c r="AA78"/>
  <c r="AB78"/>
  <c r="AC78"/>
  <c r="AD78"/>
  <c r="AE78"/>
  <c r="AF78"/>
  <c r="AG78"/>
  <c r="AH78"/>
  <c r="AI78"/>
  <c r="AK78"/>
  <c r="AL78"/>
  <c r="AM78"/>
  <c r="AN78"/>
  <c r="AO78"/>
  <c r="AP78"/>
  <c r="AQ78"/>
  <c r="AR78"/>
  <c r="AS78"/>
  <c r="AT78"/>
  <c r="AV78"/>
  <c r="AW78"/>
  <c r="AX78"/>
  <c r="AY78"/>
  <c r="AZ78"/>
  <c r="BA78"/>
  <c r="BB78"/>
  <c r="BD78"/>
  <c r="BE78"/>
  <c r="BF78"/>
  <c r="BG78"/>
  <c r="BH78"/>
  <c r="BI78"/>
  <c r="BJ78"/>
  <c r="BK78"/>
  <c r="BL78"/>
  <c r="BN78"/>
  <c r="BO78"/>
  <c r="BP78"/>
  <c r="BQ78"/>
  <c r="BR78"/>
  <c r="BS78"/>
  <c r="BT78"/>
  <c r="BV78"/>
  <c r="BW78"/>
  <c r="BX78"/>
  <c r="BY78"/>
  <c r="BZ78"/>
  <c r="CA78"/>
  <c r="CC78"/>
  <c r="CD78"/>
  <c r="CE78"/>
  <c r="CF78"/>
  <c r="A79"/>
  <c r="B79"/>
  <c r="C79"/>
  <c r="G79"/>
  <c r="H79"/>
  <c r="I79"/>
  <c r="J79"/>
  <c r="K79"/>
  <c r="M79"/>
  <c r="N79"/>
  <c r="O79"/>
  <c r="P79"/>
  <c r="Q79"/>
  <c r="S79"/>
  <c r="T79"/>
  <c r="U79"/>
  <c r="V79"/>
  <c r="W79"/>
  <c r="X79"/>
  <c r="Z79"/>
  <c r="AA79"/>
  <c r="AB79"/>
  <c r="AC79"/>
  <c r="AD79"/>
  <c r="AE79"/>
  <c r="AF79"/>
  <c r="AG79"/>
  <c r="AH79"/>
  <c r="AI79"/>
  <c r="AK79"/>
  <c r="AL79"/>
  <c r="AM79"/>
  <c r="AN79"/>
  <c r="AO79"/>
  <c r="AP79"/>
  <c r="AQ79"/>
  <c r="AR79"/>
  <c r="AS79"/>
  <c r="AT79"/>
  <c r="AV79"/>
  <c r="AW79"/>
  <c r="AX79"/>
  <c r="AY79"/>
  <c r="AZ79"/>
  <c r="BA79"/>
  <c r="BB79"/>
  <c r="BD79"/>
  <c r="BE79"/>
  <c r="BF79"/>
  <c r="BG79"/>
  <c r="BH79"/>
  <c r="BI79"/>
  <c r="BJ79"/>
  <c r="BK79"/>
  <c r="BL79"/>
  <c r="BN79"/>
  <c r="BO79"/>
  <c r="BP79"/>
  <c r="BQ79"/>
  <c r="BR79"/>
  <c r="BS79"/>
  <c r="BT79"/>
  <c r="BV79"/>
  <c r="BW79"/>
  <c r="BX79"/>
  <c r="BY79"/>
  <c r="BZ79"/>
  <c r="CA79"/>
  <c r="CC79"/>
  <c r="CD79"/>
  <c r="CE79"/>
  <c r="CF79"/>
  <c r="A80"/>
  <c r="B80"/>
  <c r="C80"/>
  <c r="G80"/>
  <c r="H80"/>
  <c r="I80"/>
  <c r="J80"/>
  <c r="K80"/>
  <c r="M80"/>
  <c r="N80"/>
  <c r="O80"/>
  <c r="P80"/>
  <c r="Q80"/>
  <c r="S80"/>
  <c r="T80"/>
  <c r="U80"/>
  <c r="V80"/>
  <c r="W80"/>
  <c r="X80"/>
  <c r="Z80"/>
  <c r="AA80"/>
  <c r="AB80"/>
  <c r="AC80"/>
  <c r="AD80"/>
  <c r="AE80"/>
  <c r="AF80"/>
  <c r="AG80"/>
  <c r="AH80"/>
  <c r="AI80"/>
  <c r="AK80"/>
  <c r="AL80"/>
  <c r="AM80"/>
  <c r="AN80"/>
  <c r="AO80"/>
  <c r="AP80"/>
  <c r="AQ80"/>
  <c r="AR80"/>
  <c r="AS80"/>
  <c r="AT80"/>
  <c r="AV80"/>
  <c r="AW80"/>
  <c r="AX80"/>
  <c r="AY80"/>
  <c r="AZ80"/>
  <c r="BA80"/>
  <c r="BB80"/>
  <c r="BD80"/>
  <c r="BE80"/>
  <c r="BF80"/>
  <c r="BG80"/>
  <c r="BH80"/>
  <c r="BI80"/>
  <c r="BJ80"/>
  <c r="BK80"/>
  <c r="BL80"/>
  <c r="BN80"/>
  <c r="BO80"/>
  <c r="BP80"/>
  <c r="BQ80"/>
  <c r="BR80"/>
  <c r="BS80"/>
  <c r="BT80"/>
  <c r="BV80"/>
  <c r="BW80"/>
  <c r="BX80"/>
  <c r="BY80"/>
  <c r="BZ80"/>
  <c r="CA80"/>
  <c r="CC80"/>
  <c r="CD80"/>
  <c r="CE80"/>
  <c r="CF80"/>
  <c r="J3" i="60"/>
  <c r="K3"/>
  <c r="L3"/>
  <c r="S3"/>
  <c r="T3"/>
  <c r="U3"/>
  <c r="J4"/>
  <c r="K4"/>
  <c r="L4"/>
  <c r="S4"/>
  <c r="T4"/>
  <c r="U4"/>
  <c r="J5"/>
  <c r="K5"/>
  <c r="L5"/>
  <c r="S5"/>
  <c r="T5"/>
  <c r="U5"/>
  <c r="J6"/>
  <c r="K6"/>
  <c r="L6"/>
  <c r="S6"/>
  <c r="T6"/>
  <c r="U6"/>
  <c r="J7"/>
  <c r="K7"/>
  <c r="L7"/>
  <c r="S7"/>
  <c r="T7"/>
  <c r="U7"/>
  <c r="J8"/>
  <c r="K8"/>
  <c r="L8"/>
  <c r="S8"/>
  <c r="T8"/>
  <c r="U8"/>
  <c r="J9"/>
  <c r="K9"/>
  <c r="L9"/>
  <c r="S9"/>
  <c r="T9"/>
  <c r="U9"/>
  <c r="J10"/>
  <c r="K10"/>
  <c r="L10"/>
  <c r="S10"/>
  <c r="T10"/>
  <c r="U10"/>
  <c r="J11"/>
  <c r="K11"/>
  <c r="L11"/>
  <c r="S11"/>
  <c r="T11"/>
  <c r="U11"/>
  <c r="J12"/>
  <c r="K12"/>
  <c r="L12"/>
  <c r="S12"/>
  <c r="T12"/>
  <c r="U12"/>
  <c r="J13"/>
  <c r="K13"/>
  <c r="L13"/>
  <c r="S13"/>
  <c r="T13"/>
  <c r="U13"/>
  <c r="J14"/>
  <c r="K14"/>
  <c r="L14"/>
  <c r="S14"/>
  <c r="T14"/>
  <c r="U14"/>
  <c r="J15"/>
  <c r="K15"/>
  <c r="L15"/>
  <c r="S15"/>
  <c r="T15"/>
  <c r="U15"/>
  <c r="J16"/>
  <c r="K16"/>
  <c r="L16"/>
  <c r="S16"/>
  <c r="T16"/>
  <c r="U16"/>
  <c r="J17"/>
  <c r="K17"/>
  <c r="L17"/>
  <c r="S17"/>
  <c r="T17"/>
  <c r="U17"/>
  <c r="J18"/>
  <c r="K18"/>
  <c r="L18"/>
  <c r="S18"/>
  <c r="T18"/>
  <c r="U18"/>
  <c r="J19"/>
  <c r="K19"/>
  <c r="L19"/>
  <c r="S19"/>
  <c r="T19"/>
  <c r="U19"/>
  <c r="J20"/>
  <c r="K20"/>
  <c r="L20"/>
  <c r="S20"/>
  <c r="T20"/>
  <c r="U20"/>
  <c r="J21"/>
  <c r="K21"/>
  <c r="L21"/>
  <c r="S21"/>
  <c r="T21"/>
  <c r="U21"/>
  <c r="J22"/>
  <c r="K22"/>
  <c r="L22"/>
  <c r="S22"/>
  <c r="T22"/>
  <c r="U22"/>
  <c r="J23"/>
  <c r="K23"/>
  <c r="L23"/>
  <c r="S23"/>
  <c r="T23"/>
  <c r="U23"/>
  <c r="J24"/>
  <c r="K24"/>
  <c r="L24"/>
  <c r="S24"/>
  <c r="T24"/>
  <c r="U24"/>
  <c r="J25"/>
  <c r="K25"/>
  <c r="L25"/>
  <c r="S25"/>
  <c r="T25"/>
  <c r="U25"/>
  <c r="J26"/>
  <c r="K26"/>
  <c r="L26"/>
  <c r="S26"/>
  <c r="T26"/>
  <c r="U26"/>
  <c r="J27"/>
  <c r="K27"/>
  <c r="L27"/>
  <c r="S27"/>
  <c r="T27"/>
  <c r="U27"/>
  <c r="J28"/>
  <c r="K28"/>
  <c r="L28"/>
  <c r="S28"/>
  <c r="T28"/>
  <c r="U28"/>
  <c r="J29"/>
  <c r="K29"/>
  <c r="L29"/>
  <c r="S29"/>
  <c r="T29"/>
  <c r="U29"/>
  <c r="V29"/>
  <c r="J30"/>
  <c r="K30"/>
  <c r="L30"/>
  <c r="S30"/>
  <c r="T30"/>
  <c r="U30"/>
  <c r="J31"/>
  <c r="K31"/>
  <c r="L31"/>
  <c r="S31"/>
  <c r="T31"/>
  <c r="U31"/>
  <c r="V31"/>
  <c r="J32"/>
  <c r="K32"/>
  <c r="L32"/>
  <c r="S32"/>
  <c r="T32"/>
  <c r="U32"/>
  <c r="V32"/>
  <c r="J33"/>
  <c r="K33"/>
  <c r="L33"/>
  <c r="S33"/>
  <c r="T33"/>
  <c r="U33"/>
  <c r="V33"/>
  <c r="J34"/>
  <c r="K34"/>
  <c r="L34"/>
  <c r="S34"/>
  <c r="T34"/>
  <c r="U34"/>
  <c r="V34"/>
  <c r="J35"/>
  <c r="K35"/>
  <c r="L35"/>
  <c r="S35"/>
  <c r="T35"/>
  <c r="U35"/>
  <c r="V35"/>
  <c r="J36"/>
  <c r="K36"/>
  <c r="L36"/>
  <c r="S36"/>
  <c r="T36"/>
  <c r="U36"/>
  <c r="J37"/>
  <c r="K37"/>
  <c r="L37"/>
  <c r="S37"/>
  <c r="T37"/>
  <c r="U37"/>
  <c r="J38"/>
  <c r="K38"/>
  <c r="L38"/>
  <c r="S38"/>
  <c r="T38"/>
  <c r="U38"/>
  <c r="J39"/>
  <c r="K39"/>
  <c r="L39"/>
  <c r="S39"/>
  <c r="T39"/>
  <c r="U39"/>
  <c r="J40"/>
  <c r="K40"/>
  <c r="L40"/>
  <c r="S40"/>
  <c r="T40"/>
  <c r="U40"/>
  <c r="J41"/>
  <c r="K41"/>
  <c r="L41"/>
  <c r="S41"/>
  <c r="T41"/>
  <c r="U41"/>
  <c r="J42"/>
  <c r="K42"/>
  <c r="L42"/>
  <c r="S42"/>
  <c r="T42"/>
  <c r="U42"/>
  <c r="J43"/>
  <c r="K43"/>
  <c r="L43"/>
  <c r="S43"/>
  <c r="T43"/>
  <c r="U43"/>
  <c r="J44"/>
  <c r="K44"/>
  <c r="L44"/>
  <c r="S44"/>
  <c r="T44"/>
  <c r="U44"/>
  <c r="J45"/>
  <c r="K45"/>
  <c r="L45"/>
  <c r="S45"/>
  <c r="T45"/>
  <c r="U45"/>
  <c r="J46"/>
  <c r="K46"/>
  <c r="L46"/>
  <c r="S46"/>
  <c r="T46"/>
  <c r="U46"/>
  <c r="J47"/>
  <c r="K47"/>
  <c r="L47"/>
  <c r="S47"/>
  <c r="T47"/>
  <c r="U47"/>
  <c r="J48"/>
  <c r="K48"/>
  <c r="L48"/>
  <c r="S48"/>
  <c r="T48"/>
  <c r="U48"/>
  <c r="J49"/>
  <c r="K49"/>
  <c r="L49"/>
  <c r="S49"/>
  <c r="T49"/>
  <c r="U49"/>
  <c r="J50"/>
  <c r="K50"/>
  <c r="L50"/>
  <c r="S50"/>
  <c r="T50"/>
  <c r="U50"/>
  <c r="J51"/>
  <c r="K51"/>
  <c r="L51"/>
  <c r="S51"/>
  <c r="T51"/>
  <c r="U51"/>
  <c r="J52"/>
  <c r="K52"/>
  <c r="L52"/>
  <c r="S52"/>
  <c r="T52"/>
  <c r="U52"/>
  <c r="J53"/>
  <c r="K53"/>
  <c r="L53"/>
  <c r="S53"/>
  <c r="T53"/>
  <c r="U53"/>
  <c r="J54"/>
  <c r="K54"/>
  <c r="L54"/>
  <c r="S54"/>
  <c r="T54"/>
  <c r="U54"/>
  <c r="J55"/>
  <c r="K55"/>
  <c r="L55"/>
  <c r="S55"/>
  <c r="T55"/>
  <c r="U55"/>
  <c r="J56"/>
  <c r="K56"/>
  <c r="L56"/>
  <c r="S56"/>
  <c r="T56"/>
  <c r="U56"/>
  <c r="J57"/>
  <c r="K57"/>
  <c r="L57"/>
  <c r="S57"/>
  <c r="T57"/>
  <c r="U57"/>
  <c r="J58"/>
  <c r="K58"/>
  <c r="L58"/>
  <c r="S58"/>
  <c r="T58"/>
  <c r="U58"/>
  <c r="J59"/>
  <c r="K59"/>
  <c r="L59"/>
  <c r="S59"/>
  <c r="T59"/>
  <c r="U59"/>
  <c r="J60"/>
  <c r="K60"/>
  <c r="L60"/>
  <c r="S60"/>
  <c r="T60"/>
  <c r="U60"/>
  <c r="J61"/>
  <c r="K61"/>
  <c r="L61"/>
  <c r="S61"/>
  <c r="T61"/>
  <c r="U61"/>
  <c r="J62"/>
  <c r="K62"/>
  <c r="L62"/>
  <c r="S62"/>
  <c r="T62"/>
  <c r="U62"/>
  <c r="J63"/>
  <c r="K63"/>
  <c r="L63"/>
  <c r="S63"/>
  <c r="T63"/>
  <c r="U63"/>
  <c r="J64"/>
  <c r="K64"/>
  <c r="L64"/>
  <c r="S64"/>
  <c r="T64"/>
  <c r="U64"/>
  <c r="J65"/>
  <c r="K65"/>
  <c r="L65"/>
  <c r="S65"/>
  <c r="T65"/>
  <c r="U65"/>
  <c r="J66"/>
  <c r="K66"/>
  <c r="L66"/>
  <c r="S66"/>
  <c r="T66"/>
  <c r="U66"/>
  <c r="J67"/>
  <c r="K67"/>
  <c r="L67"/>
  <c r="S67"/>
  <c r="T67"/>
  <c r="U67"/>
  <c r="J68"/>
  <c r="K68"/>
  <c r="L68"/>
  <c r="S68"/>
  <c r="T68"/>
  <c r="U68"/>
  <c r="J69"/>
  <c r="K69"/>
  <c r="L69"/>
  <c r="S69"/>
  <c r="T69"/>
  <c r="U69"/>
  <c r="J70"/>
  <c r="K70"/>
  <c r="L70"/>
  <c r="S70"/>
  <c r="T70"/>
  <c r="U70"/>
  <c r="J71"/>
  <c r="K71"/>
  <c r="L71"/>
  <c r="S71"/>
  <c r="T71"/>
  <c r="U71"/>
  <c r="J72"/>
  <c r="K72"/>
  <c r="L72"/>
  <c r="S72"/>
  <c r="T72"/>
  <c r="U72"/>
  <c r="J73"/>
  <c r="K73"/>
  <c r="L73"/>
  <c r="S73"/>
  <c r="T73"/>
  <c r="U73"/>
  <c r="J74"/>
  <c r="K74"/>
  <c r="L74"/>
  <c r="S74"/>
  <c r="T74"/>
  <c r="U74"/>
  <c r="J75"/>
  <c r="K75"/>
  <c r="L75"/>
  <c r="S75"/>
  <c r="T75"/>
  <c r="U75"/>
  <c r="J76"/>
  <c r="K76"/>
  <c r="L76"/>
  <c r="S76"/>
  <c r="T76"/>
  <c r="U76"/>
  <c r="J77"/>
  <c r="K77"/>
  <c r="L77"/>
  <c r="S77"/>
  <c r="T77"/>
  <c r="U77"/>
  <c r="J78"/>
  <c r="K78"/>
  <c r="L78"/>
  <c r="S78"/>
  <c r="T78"/>
  <c r="U78"/>
  <c r="J79"/>
  <c r="K79"/>
  <c r="L79"/>
  <c r="S79"/>
  <c r="T79"/>
  <c r="U79"/>
  <c r="J80"/>
  <c r="K80"/>
  <c r="L80"/>
  <c r="S80"/>
  <c r="T80"/>
  <c r="U80"/>
  <c r="J81"/>
  <c r="K81"/>
  <c r="L81"/>
  <c r="S81"/>
  <c r="T81"/>
  <c r="U81"/>
  <c r="J82"/>
  <c r="K82"/>
  <c r="L82"/>
  <c r="S82"/>
  <c r="T82"/>
  <c r="U82"/>
  <c r="J83"/>
  <c r="K83"/>
  <c r="L83"/>
  <c r="S83"/>
  <c r="T83"/>
  <c r="U83"/>
  <c r="J84"/>
  <c r="K84"/>
  <c r="L84"/>
  <c r="S84"/>
  <c r="T84"/>
  <c r="U84"/>
  <c r="J85"/>
  <c r="K85"/>
  <c r="L85"/>
  <c r="S85"/>
  <c r="T85"/>
  <c r="U85"/>
  <c r="J5" i="42"/>
  <c r="K5"/>
  <c r="L5"/>
  <c r="S5"/>
  <c r="T5"/>
  <c r="U5"/>
  <c r="J6"/>
  <c r="K6"/>
  <c r="L6"/>
  <c r="S6"/>
  <c r="T6"/>
  <c r="U6"/>
  <c r="J7"/>
  <c r="K7"/>
  <c r="L7"/>
  <c r="S7"/>
  <c r="T7"/>
  <c r="U7"/>
  <c r="J8"/>
  <c r="K8"/>
  <c r="L8"/>
  <c r="S8"/>
  <c r="T8"/>
  <c r="U8"/>
  <c r="J9"/>
  <c r="K9"/>
  <c r="L9"/>
  <c r="S9"/>
  <c r="T9"/>
  <c r="U9"/>
  <c r="J11"/>
  <c r="K11"/>
  <c r="L11"/>
  <c r="S11"/>
  <c r="T11"/>
  <c r="U11"/>
  <c r="J12"/>
  <c r="K12"/>
  <c r="L12"/>
  <c r="S12"/>
  <c r="T12"/>
  <c r="U12"/>
  <c r="J13"/>
  <c r="K13"/>
  <c r="L13"/>
  <c r="S13"/>
  <c r="T13"/>
  <c r="U13"/>
  <c r="J14"/>
  <c r="K14"/>
  <c r="L14"/>
  <c r="S14"/>
  <c r="T14"/>
  <c r="U14"/>
  <c r="J15"/>
  <c r="K15"/>
  <c r="L15"/>
  <c r="S15"/>
  <c r="T15"/>
  <c r="U15"/>
  <c r="J17"/>
  <c r="K17"/>
  <c r="L17"/>
  <c r="S17"/>
  <c r="T17"/>
  <c r="U17"/>
  <c r="J18"/>
  <c r="K18"/>
  <c r="L18"/>
  <c r="S18"/>
  <c r="T18"/>
  <c r="U18"/>
  <c r="J19"/>
  <c r="K19"/>
  <c r="L19"/>
  <c r="S19"/>
  <c r="T19"/>
  <c r="U19"/>
  <c r="J20"/>
  <c r="K20"/>
  <c r="L20"/>
  <c r="S20"/>
  <c r="T20"/>
  <c r="U20"/>
  <c r="J21"/>
  <c r="K21"/>
  <c r="L21"/>
  <c r="S21"/>
  <c r="T21"/>
  <c r="U21"/>
  <c r="J22"/>
  <c r="K22"/>
  <c r="L22"/>
  <c r="S22"/>
  <c r="T22"/>
  <c r="U22"/>
  <c r="J24"/>
  <c r="K24"/>
  <c r="L24"/>
  <c r="S24"/>
  <c r="T24"/>
  <c r="U24"/>
  <c r="J25"/>
  <c r="K25"/>
  <c r="L25"/>
  <c r="S25"/>
  <c r="T25"/>
  <c r="U25"/>
  <c r="J26"/>
  <c r="K26"/>
  <c r="L26"/>
  <c r="S26"/>
  <c r="T26"/>
  <c r="U26"/>
  <c r="J27"/>
  <c r="K27"/>
  <c r="L27"/>
  <c r="S27"/>
  <c r="T27"/>
  <c r="U27"/>
  <c r="J28"/>
  <c r="K28"/>
  <c r="L28"/>
  <c r="S28"/>
  <c r="T28"/>
  <c r="U28"/>
  <c r="J29"/>
  <c r="K29"/>
  <c r="L29"/>
  <c r="S29"/>
  <c r="T29"/>
  <c r="U29"/>
  <c r="J30"/>
  <c r="K30"/>
  <c r="L30"/>
  <c r="S30"/>
  <c r="T30"/>
  <c r="U30"/>
  <c r="J31"/>
  <c r="K31"/>
  <c r="L31"/>
  <c r="S31"/>
  <c r="T31"/>
  <c r="U31"/>
  <c r="J32"/>
  <c r="K32"/>
  <c r="L32"/>
  <c r="S32"/>
  <c r="T32"/>
  <c r="U32"/>
  <c r="J33"/>
  <c r="K33"/>
  <c r="L33"/>
  <c r="S33"/>
  <c r="T33"/>
  <c r="U33"/>
  <c r="J35"/>
  <c r="K35"/>
  <c r="L35"/>
  <c r="S35"/>
  <c r="T35"/>
  <c r="U35"/>
  <c r="V35"/>
  <c r="J36"/>
  <c r="K36"/>
  <c r="L36"/>
  <c r="S36"/>
  <c r="T36"/>
  <c r="U36"/>
  <c r="J37"/>
  <c r="K37"/>
  <c r="L37"/>
  <c r="S37"/>
  <c r="T37"/>
  <c r="U37"/>
  <c r="V37"/>
  <c r="J38"/>
  <c r="K38"/>
  <c r="L38"/>
  <c r="S38"/>
  <c r="T38"/>
  <c r="U38"/>
  <c r="V38"/>
  <c r="J39"/>
  <c r="K39"/>
  <c r="L39"/>
  <c r="S39"/>
  <c r="T39"/>
  <c r="U39"/>
  <c r="V39"/>
  <c r="J40"/>
  <c r="K40"/>
  <c r="L40"/>
  <c r="S40"/>
  <c r="T40"/>
  <c r="U40"/>
  <c r="V40"/>
  <c r="J41"/>
  <c r="K41"/>
  <c r="L41"/>
  <c r="S41"/>
  <c r="T41"/>
  <c r="U41"/>
  <c r="V41"/>
  <c r="J42"/>
  <c r="K42"/>
  <c r="L42"/>
  <c r="S42"/>
  <c r="T42"/>
  <c r="U42"/>
  <c r="J43"/>
  <c r="K43"/>
  <c r="L43"/>
  <c r="S43"/>
  <c r="T43"/>
  <c r="U43"/>
  <c r="J44"/>
  <c r="K44"/>
  <c r="L44"/>
  <c r="S44"/>
  <c r="T44"/>
  <c r="U44"/>
  <c r="J46"/>
  <c r="K46"/>
  <c r="L46"/>
  <c r="S46"/>
  <c r="T46"/>
  <c r="U46"/>
  <c r="J47"/>
  <c r="K47"/>
  <c r="L47"/>
  <c r="S47"/>
  <c r="T47"/>
  <c r="U47"/>
  <c r="J48"/>
  <c r="K48"/>
  <c r="L48"/>
  <c r="S48"/>
  <c r="T48"/>
  <c r="U48"/>
  <c r="J49"/>
  <c r="K49"/>
  <c r="L49"/>
  <c r="S49"/>
  <c r="T49"/>
  <c r="U49"/>
  <c r="J50"/>
  <c r="K50"/>
  <c r="L50"/>
  <c r="S50"/>
  <c r="T50"/>
  <c r="U50"/>
  <c r="J51"/>
  <c r="K51"/>
  <c r="L51"/>
  <c r="S51"/>
  <c r="T51"/>
  <c r="U51"/>
  <c r="J52"/>
  <c r="K52"/>
  <c r="L52"/>
  <c r="S52"/>
  <c r="T52"/>
  <c r="U52"/>
  <c r="J53"/>
  <c r="K53"/>
  <c r="L53"/>
  <c r="S53"/>
  <c r="T53"/>
  <c r="U53"/>
  <c r="J54"/>
  <c r="K54"/>
  <c r="L54"/>
  <c r="S54"/>
  <c r="T54"/>
  <c r="U54"/>
  <c r="J55"/>
  <c r="K55"/>
  <c r="L55"/>
  <c r="S55"/>
  <c r="T55"/>
  <c r="U55"/>
  <c r="J56"/>
  <c r="K56"/>
  <c r="L56"/>
  <c r="S56"/>
  <c r="T56"/>
  <c r="U56"/>
  <c r="J58"/>
  <c r="K58"/>
  <c r="L58"/>
  <c r="S58"/>
  <c r="T58"/>
  <c r="U58"/>
  <c r="J59"/>
  <c r="K59"/>
  <c r="L59"/>
  <c r="S59"/>
  <c r="T59"/>
  <c r="U59"/>
  <c r="J60"/>
  <c r="K60"/>
  <c r="L60"/>
  <c r="S60"/>
  <c r="T60"/>
  <c r="U60"/>
  <c r="J61"/>
  <c r="K61"/>
  <c r="L61"/>
  <c r="S61"/>
  <c r="T61"/>
  <c r="U61"/>
  <c r="J62"/>
  <c r="K62"/>
  <c r="L62"/>
  <c r="S62"/>
  <c r="T62"/>
  <c r="U62"/>
  <c r="J63"/>
  <c r="K63"/>
  <c r="L63"/>
  <c r="S63"/>
  <c r="T63"/>
  <c r="U63"/>
  <c r="J64"/>
  <c r="K64"/>
  <c r="L64"/>
  <c r="S64"/>
  <c r="T64"/>
  <c r="U64"/>
  <c r="J65"/>
  <c r="K65"/>
  <c r="L65"/>
  <c r="S65"/>
  <c r="T65"/>
  <c r="U65"/>
  <c r="J67"/>
  <c r="K67"/>
  <c r="L67"/>
  <c r="S67"/>
  <c r="T67"/>
  <c r="U67"/>
  <c r="J68"/>
  <c r="K68"/>
  <c r="L68"/>
  <c r="S68"/>
  <c r="T68"/>
  <c r="U68"/>
  <c r="J69"/>
  <c r="K69"/>
  <c r="L69"/>
  <c r="S69"/>
  <c r="T69"/>
  <c r="U69"/>
  <c r="J70"/>
  <c r="K70"/>
  <c r="L70"/>
  <c r="S70"/>
  <c r="T70"/>
  <c r="U70"/>
  <c r="J71"/>
  <c r="K71"/>
  <c r="L71"/>
  <c r="S71"/>
  <c r="T71"/>
  <c r="U71"/>
  <c r="J72"/>
  <c r="K72"/>
  <c r="L72"/>
  <c r="S72"/>
  <c r="T72"/>
  <c r="U72"/>
  <c r="J73"/>
  <c r="K73"/>
  <c r="L73"/>
  <c r="S73"/>
  <c r="T73"/>
  <c r="U73"/>
  <c r="J74"/>
  <c r="K74"/>
  <c r="L74"/>
  <c r="S74"/>
  <c r="T74"/>
  <c r="U74"/>
  <c r="J75"/>
  <c r="K75"/>
  <c r="L75"/>
  <c r="S75"/>
  <c r="T75"/>
  <c r="U75"/>
  <c r="J76"/>
  <c r="K76"/>
  <c r="L76"/>
  <c r="S76"/>
  <c r="T76"/>
  <c r="U76"/>
  <c r="J77"/>
  <c r="K77"/>
  <c r="L77"/>
  <c r="S77"/>
  <c r="T77"/>
  <c r="U77"/>
  <c r="J79"/>
  <c r="K79"/>
  <c r="L79"/>
  <c r="S79"/>
  <c r="T79"/>
  <c r="U79"/>
  <c r="J80"/>
  <c r="K80"/>
  <c r="L80"/>
  <c r="S80"/>
  <c r="T80"/>
  <c r="U80"/>
  <c r="J81"/>
  <c r="K81"/>
  <c r="L81"/>
  <c r="S81"/>
  <c r="T81"/>
  <c r="U81"/>
  <c r="J82"/>
  <c r="K82"/>
  <c r="L82"/>
  <c r="S82"/>
  <c r="T82"/>
  <c r="U82"/>
  <c r="J83"/>
  <c r="K83"/>
  <c r="L83"/>
  <c r="S83"/>
  <c r="T83"/>
  <c r="U83"/>
  <c r="J84"/>
  <c r="K84"/>
  <c r="L84"/>
  <c r="S84"/>
  <c r="T84"/>
  <c r="U84"/>
  <c r="J85"/>
  <c r="K85"/>
  <c r="L85"/>
  <c r="S85"/>
  <c r="T85"/>
  <c r="U85"/>
  <c r="J87"/>
  <c r="K87"/>
  <c r="L87"/>
  <c r="S87"/>
  <c r="T87"/>
  <c r="U87"/>
  <c r="J88"/>
  <c r="K88"/>
  <c r="L88"/>
  <c r="S88"/>
  <c r="T88"/>
  <c r="U88"/>
  <c r="J90"/>
  <c r="K90"/>
  <c r="L90"/>
  <c r="S90"/>
  <c r="T90"/>
  <c r="U90"/>
  <c r="J92"/>
  <c r="K92"/>
  <c r="L92"/>
  <c r="S92"/>
  <c r="T92"/>
  <c r="U92"/>
  <c r="J93"/>
  <c r="K93"/>
  <c r="L93"/>
  <c r="S93"/>
  <c r="T93"/>
  <c r="U93"/>
  <c r="J94"/>
  <c r="K94"/>
  <c r="L94"/>
  <c r="S94"/>
  <c r="T94"/>
  <c r="U94"/>
  <c r="J95"/>
  <c r="K95"/>
  <c r="L95"/>
  <c r="S95"/>
  <c r="T95"/>
  <c r="U95"/>
  <c r="J96"/>
  <c r="K96"/>
  <c r="L96"/>
  <c r="S96"/>
  <c r="T96"/>
  <c r="U96"/>
  <c r="J97"/>
  <c r="K97"/>
  <c r="L97"/>
  <c r="S97"/>
  <c r="T97"/>
  <c r="U97"/>
  <c r="J98"/>
  <c r="K98"/>
  <c r="L98"/>
  <c r="S98"/>
  <c r="T98"/>
  <c r="U98"/>
  <c r="K100" l="1"/>
  <c r="K87" i="60"/>
  <c r="F78" i="45"/>
  <c r="E78" s="1"/>
  <c r="F80"/>
  <c r="E80" s="1"/>
  <c r="F11"/>
  <c r="E11" s="1"/>
  <c r="BB3"/>
  <c r="T3"/>
  <c r="CA3"/>
  <c r="AD3"/>
  <c r="AR3"/>
  <c r="W3"/>
  <c r="BW3"/>
  <c r="V3"/>
  <c r="F70"/>
  <c r="E70" s="1"/>
  <c r="BP3"/>
  <c r="I3"/>
  <c r="AP3"/>
  <c r="F5"/>
  <c r="E5" s="1"/>
  <c r="BH3"/>
  <c r="AQ3"/>
  <c r="BO3"/>
  <c r="M3"/>
  <c r="F65"/>
  <c r="E65" s="1"/>
  <c r="F42"/>
  <c r="E42" s="1"/>
  <c r="F17"/>
  <c r="E17" s="1"/>
  <c r="F14"/>
  <c r="E14" s="1"/>
  <c r="F12"/>
  <c r="E12" s="1"/>
  <c r="BR3"/>
  <c r="BI3"/>
  <c r="BE3"/>
  <c r="AV3"/>
  <c r="AH3"/>
  <c r="Z3"/>
  <c r="U3"/>
  <c r="K3"/>
  <c r="G3"/>
  <c r="CC3"/>
  <c r="BX3"/>
  <c r="BF3"/>
  <c r="BA3"/>
  <c r="AN3"/>
  <c r="AI3"/>
  <c r="Q3"/>
  <c r="F71"/>
  <c r="E71" s="1"/>
  <c r="F69"/>
  <c r="E69" s="1"/>
  <c r="F68"/>
  <c r="E68" s="1"/>
  <c r="CF3"/>
  <c r="AZ3"/>
  <c r="AM3"/>
  <c r="F67"/>
  <c r="E67" s="1"/>
  <c r="F76"/>
  <c r="E76" s="1"/>
  <c r="F74"/>
  <c r="E74" s="1"/>
  <c r="F73"/>
  <c r="E73" s="1"/>
  <c r="F66"/>
  <c r="E66" s="1"/>
  <c r="F24"/>
  <c r="E24" s="1"/>
  <c r="F19"/>
  <c r="E19" s="1"/>
  <c r="F15"/>
  <c r="E15" s="1"/>
  <c r="CE3"/>
  <c r="BZ3"/>
  <c r="BV3"/>
  <c r="BQ3"/>
  <c r="BL3"/>
  <c r="BD3"/>
  <c r="AY3"/>
  <c r="AT3"/>
  <c r="AL3"/>
  <c r="AC3"/>
  <c r="X3"/>
  <c r="O3"/>
  <c r="J3"/>
  <c r="F10"/>
  <c r="E10" s="1"/>
  <c r="BS3"/>
  <c r="AW3"/>
  <c r="AE3"/>
  <c r="H3"/>
  <c r="AS3"/>
  <c r="AO3"/>
  <c r="AK3"/>
  <c r="AF3"/>
  <c r="AB3"/>
  <c r="N3"/>
  <c r="CD3"/>
  <c r="BY3"/>
  <c r="BT3"/>
  <c r="BK3"/>
  <c r="BG3"/>
  <c r="AX3"/>
  <c r="F29"/>
  <c r="E29" s="1"/>
  <c r="F25"/>
  <c r="E25" s="1"/>
  <c r="AG3"/>
  <c r="F62"/>
  <c r="E62" s="1"/>
  <c r="F61"/>
  <c r="E61" s="1"/>
  <c r="F60"/>
  <c r="E60" s="1"/>
  <c r="F55"/>
  <c r="E55" s="1"/>
  <c r="F49"/>
  <c r="E49" s="1"/>
  <c r="F43"/>
  <c r="E43" s="1"/>
  <c r="F79"/>
  <c r="E79" s="1"/>
  <c r="F77"/>
  <c r="E77" s="1"/>
  <c r="F75"/>
  <c r="E75" s="1"/>
  <c r="BJ3"/>
  <c r="AA3"/>
  <c r="F63"/>
  <c r="E63" s="1"/>
  <c r="F59"/>
  <c r="E59" s="1"/>
  <c r="F57"/>
  <c r="E57" s="1"/>
  <c r="F56"/>
  <c r="E56" s="1"/>
  <c r="F54"/>
  <c r="E54" s="1"/>
  <c r="F53"/>
  <c r="E53" s="1"/>
  <c r="F52"/>
  <c r="E52" s="1"/>
  <c r="F51"/>
  <c r="E51" s="1"/>
  <c r="F50"/>
  <c r="E50" s="1"/>
  <c r="F48"/>
  <c r="E48" s="1"/>
  <c r="F47"/>
  <c r="E47" s="1"/>
  <c r="F46"/>
  <c r="E46" s="1"/>
  <c r="F41"/>
  <c r="E41" s="1"/>
  <c r="F37"/>
  <c r="E37" s="1"/>
  <c r="F33"/>
  <c r="E33" s="1"/>
  <c r="S3"/>
  <c r="F21"/>
  <c r="E21" s="1"/>
  <c r="F9"/>
  <c r="E9" s="1"/>
  <c r="F64"/>
  <c r="E64" s="1"/>
  <c r="F44"/>
  <c r="E44" s="1"/>
  <c r="F40"/>
  <c r="E40" s="1"/>
  <c r="F39"/>
  <c r="E39" s="1"/>
  <c r="F38"/>
  <c r="E38" s="1"/>
  <c r="F36"/>
  <c r="E36" s="1"/>
  <c r="F35"/>
  <c r="E35" s="1"/>
  <c r="F34"/>
  <c r="E34" s="1"/>
  <c r="F32"/>
  <c r="E32" s="1"/>
  <c r="F31"/>
  <c r="E31" s="1"/>
  <c r="F30"/>
  <c r="E30" s="1"/>
  <c r="F28"/>
  <c r="E28" s="1"/>
  <c r="F27"/>
  <c r="E27" s="1"/>
  <c r="F26"/>
  <c r="E26" s="1"/>
  <c r="F23"/>
  <c r="E23" s="1"/>
  <c r="F22"/>
  <c r="E22" s="1"/>
  <c r="F18"/>
  <c r="E18" s="1"/>
  <c r="F16"/>
  <c r="E16" s="1"/>
  <c r="BN3"/>
  <c r="F7"/>
  <c r="E7" s="1"/>
  <c r="F6"/>
  <c r="E6" s="1"/>
  <c r="P3"/>
  <c r="F22" i="88"/>
  <c r="F9"/>
  <c r="F27"/>
</calcChain>
</file>

<file path=xl/sharedStrings.xml><?xml version="1.0" encoding="utf-8"?>
<sst xmlns="http://schemas.openxmlformats.org/spreadsheetml/2006/main" count="6483" uniqueCount="1496">
  <si>
    <t>Priority</t>
  </si>
  <si>
    <t>Comment</t>
  </si>
  <si>
    <t>Pass</t>
  </si>
  <si>
    <t>DCROLE4</t>
  </si>
  <si>
    <t>DCROLE3</t>
  </si>
  <si>
    <t>Search for User</t>
  </si>
  <si>
    <t>DCROLE2</t>
  </si>
  <si>
    <t xml:space="preserve">Review Roles and Responsibilities by Users </t>
  </si>
  <si>
    <t>DCROLE6</t>
  </si>
  <si>
    <t>Review Roles and Responsibilities by Affiliation</t>
  </si>
  <si>
    <t>Critical</t>
  </si>
  <si>
    <t>RQMT #</t>
  </si>
  <si>
    <t>CVT #</t>
  </si>
  <si>
    <t xml:space="preserve">Audit - Customer Verification Test (CVT) </t>
  </si>
  <si>
    <t>CR #, if applicable</t>
  </si>
  <si>
    <t>CVT Script Title</t>
  </si>
  <si>
    <t>DR #</t>
  </si>
  <si>
    <t>P</t>
  </si>
  <si>
    <t>A</t>
  </si>
  <si>
    <t>F</t>
  </si>
  <si>
    <t>IP-1
Pass Date</t>
  </si>
  <si>
    <t>IP-2
Pass Date</t>
  </si>
  <si>
    <t>IP-3
Pass Date</t>
  </si>
  <si>
    <t>Major</t>
  </si>
  <si>
    <t>FRM 2.3</t>
  </si>
  <si>
    <t>FRM 2.4</t>
  </si>
  <si>
    <t>Minor</t>
  </si>
  <si>
    <t>FRM 3.6</t>
  </si>
  <si>
    <t>FRM 4.1</t>
  </si>
  <si>
    <t>FRM 4.2</t>
  </si>
  <si>
    <t>FRM 4.4</t>
  </si>
  <si>
    <t>FRM 4.11</t>
  </si>
  <si>
    <t>FRM 4.19</t>
  </si>
  <si>
    <t>FRM 5.1</t>
  </si>
  <si>
    <t>FRM 5.6</t>
  </si>
  <si>
    <t>RQMT</t>
  </si>
  <si>
    <t>FRM 7.1</t>
  </si>
  <si>
    <t>FRM 7.4</t>
  </si>
  <si>
    <t>Navigation</t>
  </si>
  <si>
    <t>NAV1</t>
  </si>
  <si>
    <t xml:space="preserve">Select a Data Call </t>
  </si>
  <si>
    <t>N/A</t>
  </si>
  <si>
    <t>NAV2</t>
  </si>
  <si>
    <t>FRM Sections:   (Navigate to Inputs, Data Sheet Views, Reports)</t>
  </si>
  <si>
    <t>NAV3</t>
  </si>
  <si>
    <t>Navigate to "Target Maintenance"</t>
  </si>
  <si>
    <t>NAV4</t>
  </si>
  <si>
    <t>Navigate to "QM Funds Spread"</t>
  </si>
  <si>
    <t>NAV5</t>
  </si>
  <si>
    <t>RQMT ADJUSTMENT:  QM (Quick Maintenance) Requirement:   Access Grid</t>
  </si>
  <si>
    <t>User Mgmt</t>
  </si>
  <si>
    <t xml:space="preserve"> - </t>
  </si>
  <si>
    <t>UM1</t>
  </si>
  <si>
    <t>FRM Basics:   Register for FRM</t>
  </si>
  <si>
    <t>FRM 1.1 - 1.5</t>
  </si>
  <si>
    <t>UM2</t>
  </si>
  <si>
    <t>Activate User (Generic)</t>
  </si>
  <si>
    <t>UM3</t>
  </si>
  <si>
    <t>Confirm Activated User</t>
  </si>
  <si>
    <t>UM4</t>
  </si>
  <si>
    <t>Confirm Filter</t>
  </si>
  <si>
    <t>UM5</t>
  </si>
  <si>
    <t xml:space="preserve">Confirm User Management Roles </t>
  </si>
  <si>
    <t>Data Call Roles</t>
  </si>
  <si>
    <t>DCROLE1</t>
  </si>
  <si>
    <t>Manage Roles and Responsibility</t>
  </si>
  <si>
    <t>DCROLE5</t>
  </si>
  <si>
    <t>Mass Change User Roles - Add Roles</t>
  </si>
  <si>
    <t>Mass Change User Roles - Remove Roles</t>
  </si>
  <si>
    <t>Create Data Call</t>
  </si>
  <si>
    <t>DC1</t>
  </si>
  <si>
    <t>Create Execution Data Call</t>
  </si>
  <si>
    <t>DC2</t>
  </si>
  <si>
    <t>Create FYDP FRM Data Call</t>
  </si>
  <si>
    <t>DC3</t>
  </si>
  <si>
    <t>Review Data Call Options</t>
  </si>
  <si>
    <t>DC4</t>
  </si>
  <si>
    <t>Add Years to Data Call</t>
  </si>
  <si>
    <t>DC5</t>
  </si>
  <si>
    <t>Audit Requirement</t>
  </si>
  <si>
    <t>DC6</t>
  </si>
  <si>
    <t>Audit Target</t>
  </si>
  <si>
    <t>FRM 6.8, FRM 6.9</t>
  </si>
  <si>
    <t>DC7</t>
  </si>
  <si>
    <t>Audit Funds Spread</t>
  </si>
  <si>
    <t>Missing</t>
  </si>
  <si>
    <t>DC8</t>
  </si>
  <si>
    <t>Delete Data Call</t>
  </si>
  <si>
    <t>Prepare Data Call Data</t>
  </si>
  <si>
    <t>MassDC1</t>
  </si>
  <si>
    <t>Overlay DC Funding</t>
  </si>
  <si>
    <t>MassDC2</t>
  </si>
  <si>
    <t xml:space="preserve">Mass Change:  Update Status </t>
  </si>
  <si>
    <t>MassDC3</t>
  </si>
  <si>
    <t>Mass Change:  70% Spread to Target by Priority</t>
  </si>
  <si>
    <t>MassDC4</t>
  </si>
  <si>
    <t>Mass Change:  Fully Fund to Target</t>
  </si>
  <si>
    <t>MassDC5</t>
  </si>
  <si>
    <t>Mass Change:  OP30 Spread; next 70% Spread to Target by Priority</t>
  </si>
  <si>
    <t>MassDC6</t>
  </si>
  <si>
    <t>Mass Change:  Fully Fund</t>
  </si>
  <si>
    <t>MassDC7</t>
  </si>
  <si>
    <t>Mass Change:  Unfund</t>
  </si>
  <si>
    <t>MassDC8</t>
  </si>
  <si>
    <t>Overlay Target</t>
  </si>
  <si>
    <t>MassDC9</t>
  </si>
  <si>
    <t>Copy Target to Target</t>
  </si>
  <si>
    <t>MassDC10</t>
  </si>
  <si>
    <t>Get (Append) Target</t>
  </si>
  <si>
    <t>Targets</t>
  </si>
  <si>
    <t>TGT2</t>
  </si>
  <si>
    <t>DATA MAINTENANCE:  Mass Change: Copy Target to Target</t>
  </si>
  <si>
    <t>TGT3</t>
  </si>
  <si>
    <t>Target Maintenance:  Mass Change: Zero out all Targets</t>
  </si>
  <si>
    <t>TGT4</t>
  </si>
  <si>
    <t>TGT5</t>
  </si>
  <si>
    <t>Target Maintenance:   Balance Target Amounts</t>
  </si>
  <si>
    <t>TGT6</t>
  </si>
  <si>
    <t>DATA MAINTENANCE:  Mass Change:  Update Status</t>
  </si>
  <si>
    <t>TGT7</t>
  </si>
  <si>
    <t>Maintain Target Amounts (Quick Maintenance)</t>
  </si>
  <si>
    <t>Funds Spread</t>
  </si>
  <si>
    <t>FRM 6.1 - 6.13</t>
  </si>
  <si>
    <t>FS3</t>
  </si>
  <si>
    <t>FS4</t>
  </si>
  <si>
    <t>FS5</t>
  </si>
  <si>
    <t>FS6</t>
  </si>
  <si>
    <t>FS7</t>
  </si>
  <si>
    <t>FS8</t>
  </si>
  <si>
    <t>Straight Line Requirement</t>
  </si>
  <si>
    <t>FS9</t>
  </si>
  <si>
    <t>FS10</t>
  </si>
  <si>
    <t>FUNDS SPREADS:  Update Individual Funds Spreads</t>
  </si>
  <si>
    <t>FS11</t>
  </si>
  <si>
    <t>Analysis and Reporting</t>
  </si>
  <si>
    <t>FRM 4.23, 4.25, 6.4, 6.24</t>
  </si>
  <si>
    <t>RPT1</t>
  </si>
  <si>
    <t>RPT2</t>
  </si>
  <si>
    <t>FRM 6.4, 6.24</t>
  </si>
  <si>
    <t>RPT3</t>
  </si>
  <si>
    <t xml:space="preserve">FRM 3.2-3.5 </t>
  </si>
  <si>
    <t>RPT4</t>
  </si>
  <si>
    <t>FRM 4.23, 4.25</t>
  </si>
  <si>
    <t>RPT5</t>
  </si>
  <si>
    <t>RPT6</t>
  </si>
  <si>
    <t>RPT7</t>
  </si>
  <si>
    <t>Common Tools</t>
  </si>
  <si>
    <t>TOOLS1</t>
  </si>
  <si>
    <t xml:space="preserve">Find a PCN </t>
  </si>
  <si>
    <t>TOOLS2</t>
  </si>
  <si>
    <t>Find a Task</t>
  </si>
  <si>
    <t>FRM 2.1, 2.2, 2.5</t>
  </si>
  <si>
    <t>TOOLS3</t>
  </si>
  <si>
    <t>Applied Filter:   Limit Data</t>
  </si>
  <si>
    <t>TOOLS4</t>
  </si>
  <si>
    <t>Sort Grid Data</t>
  </si>
  <si>
    <t>TOOLS 5</t>
  </si>
  <si>
    <t>TOOLS6</t>
  </si>
  <si>
    <t xml:space="preserve">DATA MAINTENANCE:   Edit PCN Attributes </t>
  </si>
  <si>
    <t>Requirements</t>
  </si>
  <si>
    <t>RQMT1</t>
  </si>
  <si>
    <t xml:space="preserve">RQMT ADJUSTMENT:   QM Requirement:   Adjust Reqirements </t>
  </si>
  <si>
    <t>RQMT2</t>
  </si>
  <si>
    <t xml:space="preserve">Mass Change RQMT </t>
  </si>
  <si>
    <t>DIST1</t>
  </si>
  <si>
    <t>Distribution</t>
  </si>
  <si>
    <t>OBL1</t>
  </si>
  <si>
    <t>Obligation</t>
  </si>
  <si>
    <t>Description</t>
  </si>
  <si>
    <t>UM1-UM5</t>
  </si>
  <si>
    <t>TBD</t>
  </si>
  <si>
    <t>TOOLS5</t>
  </si>
  <si>
    <t>Various</t>
  </si>
  <si>
    <t>DC1, DC2</t>
  </si>
  <si>
    <t>DC2. DC3</t>
  </si>
  <si>
    <t>DCROLE1 - 6</t>
  </si>
  <si>
    <t>FRM 4.3. FRM 4.27</t>
  </si>
  <si>
    <t>RQMT1, RQMT2</t>
  </si>
  <si>
    <t>TGT1-TGT7</t>
  </si>
  <si>
    <t>FS3-FS11</t>
  </si>
  <si>
    <t>RPT1, RPT2</t>
  </si>
  <si>
    <t>RPT1, RPT2, RPT5</t>
  </si>
  <si>
    <t>CVT</t>
  </si>
  <si>
    <t>STATUS</t>
  </si>
  <si>
    <t>DC Role</t>
  </si>
  <si>
    <t>DC Mgmt</t>
  </si>
  <si>
    <t>MassDC2, FS11, TGT6</t>
  </si>
  <si>
    <t>DC1, DC2, MASSDC1- MASSDC10</t>
  </si>
  <si>
    <t>Mass chng</t>
  </si>
  <si>
    <t>TGT</t>
  </si>
  <si>
    <t>F S</t>
  </si>
  <si>
    <t>RPT</t>
  </si>
  <si>
    <t>Tools</t>
  </si>
  <si>
    <t>DC9</t>
  </si>
  <si>
    <t>DC10</t>
  </si>
  <si>
    <t>Close Data Call</t>
  </si>
  <si>
    <t>DETAILS</t>
  </si>
  <si>
    <t>NT</t>
  </si>
  <si>
    <t>FRM 4.23, 4.25, 6.4</t>
  </si>
  <si>
    <t>FM 5.1-5.2</t>
  </si>
  <si>
    <t>FRM 6.1-6.2</t>
  </si>
  <si>
    <t>4.8, 4.12</t>
  </si>
  <si>
    <t>4.8, 1.1, 1.2</t>
  </si>
  <si>
    <t>4.4, 4.8</t>
  </si>
  <si>
    <t>4.8,4.4</t>
  </si>
  <si>
    <t>4.4, 5.12, 6.11</t>
  </si>
  <si>
    <t>4.9, 4.10</t>
  </si>
  <si>
    <t>FRM 4.12, 4.15-4.17</t>
  </si>
  <si>
    <t>FRM 7.6, 4.2</t>
  </si>
  <si>
    <t>FRM 4.4, 4.13</t>
  </si>
  <si>
    <t>FRM 4.4, 4.13, 6.3</t>
  </si>
  <si>
    <t>FRM 4.4, 4.13,5.2</t>
  </si>
  <si>
    <t>5.2, 5.13, 4.4</t>
  </si>
  <si>
    <t>Certify Data Call Ready for File Maintenance</t>
  </si>
  <si>
    <t>Test Status</t>
  </si>
  <si>
    <t>Ready</t>
  </si>
  <si>
    <t>Do Not Test</t>
  </si>
  <si>
    <t>f</t>
  </si>
  <si>
    <t>DATASHEET VIEW:   Analysis:  Check Data Positions ( $ Summary Grid:)</t>
  </si>
  <si>
    <t xml:space="preserve">DATASHEET VIEW:   Compare:   Compare Requirement from Past Exercises (Growth Analysis - Chart icon)) </t>
  </si>
  <si>
    <t>RPT8</t>
  </si>
  <si>
    <t>RPT9</t>
  </si>
  <si>
    <t>DATASHEET VIEW: 02A-Target Audit</t>
  </si>
  <si>
    <t>DATASHEET VIEW:  Workload Summary, view progress of a data call</t>
  </si>
  <si>
    <t>FRM 4.2, FRM 4.4</t>
  </si>
  <si>
    <t>Tab</t>
  </si>
  <si>
    <t>CVT No</t>
  </si>
  <si>
    <t>Step No</t>
  </si>
  <si>
    <t>Submit By</t>
  </si>
  <si>
    <t>Sub Date</t>
  </si>
  <si>
    <t>Status</t>
  </si>
  <si>
    <t>Resolution Type</t>
  </si>
  <si>
    <t>Resolution</t>
  </si>
  <si>
    <t>File Maintenance</t>
  </si>
  <si>
    <t>Please list the "appropriate column" that the tester must verify.</t>
  </si>
  <si>
    <t>AMR</t>
  </si>
  <si>
    <t>Changed step to "select row" to update funding</t>
  </si>
  <si>
    <t xml:space="preserve">What values should be displaying for a particular PCN/Task. For example, the dollar amounts are based on your filter. </t>
  </si>
  <si>
    <t>Added note that totals are limited by filter applied</t>
  </si>
  <si>
    <t>Not working. I didn't think we were testing this yet.</t>
  </si>
  <si>
    <t>Removed</t>
  </si>
  <si>
    <t>Straggler step</t>
  </si>
  <si>
    <t>Removed - straggler step</t>
  </si>
  <si>
    <t>Tester wasn't required to make any changes to the Funds Spread. Cannot click "save."</t>
  </si>
  <si>
    <t>Added step to edit a fund spread amount</t>
  </si>
  <si>
    <t xml:space="preserve">Shouldn't they be reviewing the peace target to the peace funded? Why are they comparing to the target reference or ABIDES? </t>
  </si>
  <si>
    <t>Replaced with "Review the Summary Totals at the top of the grid to compare funding to requirements."</t>
  </si>
  <si>
    <t>When I clicked on excess funding, it resorted the PCNs. Items that had requirements unfunded showed up on the list, but were near the bottom. Should they be showing up? Also, I don't think there shouldn't be any excess funding in a FYDP data call. System won't let you overfund requirements.</t>
  </si>
  <si>
    <t>Open</t>
  </si>
  <si>
    <t>Suggestion: specify that it is the refresh button next to the Funds Spread Drop Down. There is another refresh at the top lefthand corner of the page.</t>
  </si>
  <si>
    <t>Updated verbiage</t>
  </si>
  <si>
    <t xml:space="preserve">PRE </t>
  </si>
  <si>
    <t>Suggestion: List steps to determine if data is in input or verification status. Also, isn't the data call either "Closed" or "Open." I thought we got rid of the different statuses.</t>
  </si>
  <si>
    <t>Removed 'status' comment, used this space to explain why user would be doing this.</t>
  </si>
  <si>
    <t xml:space="preserve">Actual radial button is labeled "Fully Fund to Target by Priority." </t>
  </si>
  <si>
    <t>Added "by priority"</t>
  </si>
  <si>
    <t xml:space="preserve">Suggestion: Reference that the appropriate data call must be chosen as well as the desired year. </t>
  </si>
  <si>
    <t>Add note to select data call and year.</t>
  </si>
  <si>
    <t xml:space="preserve">Must first choose a Mass Change Option (Peace or Supplemental) before saving. For CVT purposes, I chose both Peace and Supplemental and clicked save. </t>
  </si>
  <si>
    <t>Add note to select peace, supp or both</t>
  </si>
  <si>
    <t xml:space="preserve">Suggestion: List steps to check that Target has been inputted or list CVT test that shows how you check target. </t>
  </si>
  <si>
    <t>Referenced CVT TGT7</t>
  </si>
  <si>
    <t xml:space="preserve">Please specify "Data Call" name for CVT purposes. </t>
  </si>
  <si>
    <t>Updated step to state:  Select Data Call.  Reference scenario / data call instructions for specific data call to select.  Will also clarify on scenarios</t>
  </si>
  <si>
    <t>FYDP Data Call Tools.</t>
  </si>
  <si>
    <t>Updated comment</t>
  </si>
  <si>
    <t>Added "Data Call"</t>
  </si>
  <si>
    <t>Please change to QM Requirement</t>
  </si>
  <si>
    <t>Fixed Typo</t>
  </si>
  <si>
    <t>NOTE</t>
  </si>
  <si>
    <t>Suggestion: Please add Program Group, PEC, and AFFEIC in parentheses. This will give them a parameter for filtering, which is helpful for people who do not typically use FRM.</t>
  </si>
  <si>
    <t>updated note</t>
  </si>
  <si>
    <t>Should already have filters from NAV2.</t>
  </si>
  <si>
    <t>Removed step</t>
  </si>
  <si>
    <t>FYDP Data Call Tools</t>
  </si>
  <si>
    <t>Updated CVT</t>
  </si>
  <si>
    <t>Suggestion: Check Program Group, PEC, and AFEEIC</t>
  </si>
  <si>
    <t>Done</t>
  </si>
  <si>
    <t>This should be on the Execution Custom Datasheet not the FYDP.</t>
  </si>
  <si>
    <t>Deleted</t>
  </si>
  <si>
    <t>Suggestion: Tester should make sure that Amount and a year are checked under Cost Type and Years.</t>
  </si>
  <si>
    <t>Added note</t>
  </si>
  <si>
    <t>There isn't a button to "Preview Datasheet." Should be "Export Data to Excel."</t>
  </si>
  <si>
    <t>I clicked on download report. Once loading was complete, I was never prompted to open a spreadsheet even though I gave permission to download file.  Spreadsheet never opened even though I had excel already open. (I tried three times) Also, I would like to see another step to verify that the report actually pulled what it was supposed to.</t>
  </si>
  <si>
    <t>Updated steps for new navigation due to report queue.  Pop up is still an issue</t>
  </si>
  <si>
    <t>Scenario</t>
  </si>
  <si>
    <t>Is it necessary to check one or the other for the purposes of this CVT?</t>
  </si>
  <si>
    <t>Added "active for purpose of this CVT"</t>
  </si>
  <si>
    <t>5.A</t>
  </si>
  <si>
    <t xml:space="preserve">Suggestion: Have them choose a paticular data call from the list for CVT purposes. </t>
  </si>
  <si>
    <t>5.C</t>
  </si>
  <si>
    <t xml:space="preserve">Suggestion: Identify what needs to be selected. For example, radial button needs to be selected under RQMT option? It might make a difference what parameters are selected. </t>
  </si>
  <si>
    <t>6.A</t>
  </si>
  <si>
    <t>What parameters should be selected based on quick copy data call?</t>
  </si>
  <si>
    <t>7.B</t>
  </si>
  <si>
    <t>Cannot  change Source Data Call data. Users have the ability to change Destination Data Call only. Please take out edit/update as desired. Also, the Source Data Call grid only shows the year and source rqmt. Data Call and Data Set are not there.</t>
  </si>
  <si>
    <t>Removed "edit / update" and "data call and data set</t>
  </si>
  <si>
    <t>8.A</t>
  </si>
  <si>
    <t>Note: Should keep all boxes checked to finish CVT.</t>
  </si>
  <si>
    <t>Added Note</t>
  </si>
  <si>
    <t>PRE</t>
  </si>
  <si>
    <t xml:space="preserve">Remove year function forth coming. </t>
  </si>
  <si>
    <t>Removed comment</t>
  </si>
  <si>
    <t>Please state that this is the data call that was just created. It is unclear if it is any data call or the one that was created.</t>
  </si>
  <si>
    <t>Added "Note:  When using this function to validate a newly created data call, select the newly created data call and the source data call for the comparison</t>
  </si>
  <si>
    <t>This should be the data call you copied from.</t>
  </si>
  <si>
    <t>Added "Note:  When using this function to validate a newly created data call, select the newly created data call and the source data call for the comparison"</t>
  </si>
  <si>
    <t>Refresh next to Audit Data Call. There is another refresh at the top, left corner of the screen.</t>
  </si>
  <si>
    <t>Added  next to "Audit Data Call"</t>
  </si>
  <si>
    <t>5</t>
  </si>
  <si>
    <t>Both the data call I created and the data call I copied have RQMTS of zero. When I checked the RQMTs of the TEST Exec, it had RQMTS. I chose the radial option "Use Data Call RQMT" in STEP 1: Data Call Options when I created my data call. Also, I left the "Load RQMTS" checked in Step 4 of the create Data Call.</t>
  </si>
  <si>
    <t>BUG</t>
  </si>
  <si>
    <t>Please list steps for how I verify target parameters are the same or fewer. Also, how do you verify the Factor Set it the same? Need to have specific steps or a separate CVT.</t>
  </si>
  <si>
    <t>Removed this as a precondition and added steps to direct tester to CVT DC3 if they are uncertain about what factor set is used or target parameters</t>
  </si>
  <si>
    <t>Added statement</t>
  </si>
  <si>
    <t>Added reference</t>
  </si>
  <si>
    <t xml:space="preserve">The data call I created had $0 for a Target. I left "Baseline Target" checked in Step 4 of the create data call. </t>
  </si>
  <si>
    <t>Bug</t>
  </si>
  <si>
    <t xml:space="preserve">This should read "Funds Spread" instead of Target. </t>
  </si>
  <si>
    <t>Changed to funds spread</t>
  </si>
  <si>
    <t>6</t>
  </si>
  <si>
    <t>Added notation</t>
  </si>
  <si>
    <t>7</t>
  </si>
  <si>
    <t>Clarified refresh button</t>
  </si>
  <si>
    <t>8</t>
  </si>
  <si>
    <t xml:space="preserve">The data call I created had a Funds Spread of $0.  I left "Load Funds Spread" checked in Step 4 of the create data call. </t>
  </si>
  <si>
    <t>Removed from PRE and added steps to verify</t>
  </si>
  <si>
    <t>Retest</t>
  </si>
  <si>
    <t>Question</t>
  </si>
  <si>
    <t>The Excess funding option should not be visible within FYDP</t>
  </si>
  <si>
    <t>CVT Status
(NT,A,P,F)</t>
  </si>
  <si>
    <t>File  Mainteance</t>
  </si>
  <si>
    <t xml:space="preserve">Some testers may have access to TEST Actual data call too. </t>
  </si>
  <si>
    <t>Formally FYDP Tool, which does not exist in the Execution Section.</t>
  </si>
  <si>
    <t>Note: In FRM, the report is labeled "SF" FM Datasheet. Please change to "SAF" FM Datasheet.</t>
  </si>
  <si>
    <t>Is this the same thing as the "Trended Datasheet" in the FYDP section? If so, why does it have a different name?</t>
  </si>
  <si>
    <t xml:space="preserve">Suggestion: Create a unique two number-one letter title for each option. Example, 02B will always be associated with QM Funds Spread regardless of user rights or data calls. </t>
  </si>
  <si>
    <t>Didn't we get rid of the "Finalized" status. Please explain how you check if they are in the correct status.</t>
  </si>
  <si>
    <t>Cannot complete this task because the dat call is supposed to be closed</t>
  </si>
  <si>
    <t>Please add some details about what values. For example, the dollar amounts are based on my filter. Should they be?</t>
  </si>
  <si>
    <t>Cannot click save because the data call is closed.</t>
  </si>
  <si>
    <t>Changed because we aren't entering data</t>
  </si>
  <si>
    <t xml:space="preserve">There are two refreshes on the screen. </t>
  </si>
  <si>
    <t>Execution data call only has one year</t>
  </si>
  <si>
    <t>Please elaborate. Not sure what this means.</t>
  </si>
  <si>
    <t xml:space="preserve">Explain "Data Positions" in CVT </t>
  </si>
  <si>
    <t xml:space="preserve">Isn't this is in the CVT FS4? </t>
  </si>
  <si>
    <t xml:space="preserve">Remove or elaborate on Step in CVT </t>
  </si>
  <si>
    <t>Note: The tester must open QM Funds Spread. The previous CVT is in QM Target</t>
  </si>
  <si>
    <t>Wrong label</t>
  </si>
  <si>
    <t>Missing Step</t>
  </si>
  <si>
    <t>Note: Must click refresh to update numbers at the top of the grid. CVT failed because the data call was locked and should not have allowed me to update funding via Mass funds change. The original number of the locked data call was $179,996 (filtered on A010), but it is now $155,821. It unlocked the data call because I can input/change funding for just the data I was filtered on.</t>
  </si>
  <si>
    <t>Previously, FYDP tool</t>
  </si>
  <si>
    <t>I changed to "Target" from Requirement because the rest of the scenario deals with Targets</t>
  </si>
  <si>
    <t>Bug/Explanation</t>
  </si>
  <si>
    <t>I was not prompted for a year because I am in the TEST Exec data call and there is only one year available.</t>
  </si>
  <si>
    <t xml:space="preserve">Data Call Management </t>
  </si>
  <si>
    <t xml:space="preserve">Note: Previously, this step was missing from the CVT. </t>
  </si>
  <si>
    <t>Cannot check box. It is grayed out. Please reference a powerpoint file that has screen shots. In order to continue with the scenario, I found a work around.</t>
  </si>
  <si>
    <t>Please list steps to verify if data was moved to a FINALIZED status. Also, I thought we changed this and now the data is either open or closed.</t>
  </si>
  <si>
    <t>question</t>
  </si>
  <si>
    <t>Question - CVT Update</t>
  </si>
  <si>
    <t>File  Maintenance</t>
  </si>
  <si>
    <t xml:space="preserve">This scenario is supposed to verify that maintenance cannot be done on a data call after it has been locked. </t>
  </si>
  <si>
    <t>all</t>
  </si>
  <si>
    <t xml:space="preserve">CVT Passed based upon Scenario "Expected Results"  Task was to lock data call and verify that DC could not be updated.  Test failed due to closed(locked) Data Call.   </t>
  </si>
  <si>
    <t>DC10 has been closed for testing until resolution is complete.</t>
  </si>
  <si>
    <t>Added to scenarios</t>
  </si>
  <si>
    <t>Comment #</t>
  </si>
  <si>
    <t>ITI Test</t>
  </si>
  <si>
    <t>Assigned</t>
  </si>
  <si>
    <r>
      <t xml:space="preserve">For increased performance, apply filter or search. </t>
    </r>
    <r>
      <rPr>
        <sz val="11"/>
        <color indexed="10"/>
        <rFont val="Calibri"/>
        <family val="2"/>
      </rPr>
      <t>(Program Group, PEC, and/ or  AFFEIC)</t>
    </r>
  </si>
  <si>
    <t xml:space="preserve">I understand that these CVTs are used in mulitple scenarios, but it interupts the flow of the scenario. For example, in Scenario 5.1, I have already completed Steps 1-4.  </t>
  </si>
  <si>
    <t>In test Script, add letter "s" to the work "Fund"</t>
  </si>
  <si>
    <t>Currently shown as Step 6;  Renumber to reflect Step 9.
Comment:  Not exactly sure how this is supposed to work. For example, the requirements for my filter were fully funded; however, when I clicked on Excess funding and Unfunded RQMT, the same PCN/Tasks came up even though they were fully funded. Is it just a sorting tool or is it supposed to display just the PCN/Tasks that have excess funding?</t>
  </si>
  <si>
    <t>Currently shown as Step 6;  Renumber to reflect Step 10.</t>
  </si>
  <si>
    <t>Currently shown as Step 6;  Renumber to reflect Step 11.</t>
  </si>
  <si>
    <t>Changes to Scenario made 10/22/2009</t>
  </si>
  <si>
    <t>There are two 2.3 test cases. The first one should be 2.2.</t>
  </si>
  <si>
    <r>
      <rPr>
        <sz val="7"/>
        <color indexed="8"/>
        <rFont val="Times New Roman"/>
        <family val="1"/>
      </rPr>
      <t xml:space="preserve">   </t>
    </r>
    <r>
      <rPr>
        <sz val="11"/>
        <color theme="1"/>
        <rFont val="Calibri"/>
        <family val="2"/>
        <scheme val="minor"/>
      </rPr>
      <t>Test 5.1 and 5.3 are the same test except that one tests the FYPD and the other should test the Execution data call. Could you please change the scenario CVT from FYDP to Execution? Right now, it looks like the exact same test even though 5.3 tests execution.</t>
    </r>
  </si>
  <si>
    <t>CVT - Scenario referenced incorrect CVT. NAV3 refers to Target</t>
  </si>
  <si>
    <t>CVT - Updated by removing Select year for Execution CVT.</t>
  </si>
  <si>
    <t>CVT Updated</t>
  </si>
  <si>
    <t>open</t>
  </si>
  <si>
    <t>Added to Scenario</t>
  </si>
  <si>
    <t>Bug:  Recommendation.  Numbers and syncing completed</t>
  </si>
  <si>
    <t>Label fixed - CVT Updated</t>
  </si>
  <si>
    <t>Bug - submitted to Dev Team via e-mail - fixed</t>
  </si>
  <si>
    <t xml:space="preserve">Question/CVT Updated </t>
  </si>
  <si>
    <t>CVT - Updated by removing Select year for Execution CVT  and additional information.</t>
  </si>
  <si>
    <r>
      <t xml:space="preserve">Change to read:  "Select option </t>
    </r>
    <r>
      <rPr>
        <sz val="11"/>
        <color indexed="10"/>
        <rFont val="Calibri"/>
        <family val="2"/>
      </rPr>
      <t>below</t>
    </r>
    <r>
      <rPr>
        <sz val="11"/>
        <rFont val="Calibri"/>
        <family val="2"/>
      </rPr>
      <t xml:space="preserve"> and Click </t>
    </r>
    <r>
      <rPr>
        <b/>
        <sz val="11"/>
        <rFont val="Calibri"/>
        <family val="2"/>
      </rPr>
      <t>"Get Data""</t>
    </r>
    <r>
      <rPr>
        <sz val="11"/>
        <rFont val="Calibri"/>
        <family val="2"/>
      </rPr>
      <t xml:space="preserve"> </t>
    </r>
  </si>
  <si>
    <r>
      <t xml:space="preserve">Change to read:  "03A QM Funds Spread </t>
    </r>
    <r>
      <rPr>
        <sz val="11"/>
        <color indexed="10"/>
        <rFont val="Calibri"/>
        <family val="2"/>
      </rPr>
      <t>(Choose year after clicking "Get Data")</t>
    </r>
    <r>
      <rPr>
        <sz val="11"/>
        <rFont val="Calibri"/>
        <family val="2"/>
      </rPr>
      <t>"</t>
    </r>
  </si>
  <si>
    <r>
      <t xml:space="preserve">Change to read:  "03B QM Target </t>
    </r>
    <r>
      <rPr>
        <sz val="11"/>
        <color indexed="10"/>
        <rFont val="Calibri"/>
        <family val="2"/>
      </rPr>
      <t>(Choose year after clicking "Get Data")</t>
    </r>
    <r>
      <rPr>
        <sz val="11"/>
        <rFont val="Calibri"/>
        <family val="2"/>
      </rPr>
      <t>"</t>
    </r>
  </si>
  <si>
    <r>
      <t xml:space="preserve">Change to read:  "03C QM Requirement </t>
    </r>
    <r>
      <rPr>
        <sz val="11"/>
        <color indexed="10"/>
        <rFont val="Calibri"/>
        <family val="2"/>
      </rPr>
      <t>(Choose year after clicking "Get Data")</t>
    </r>
    <r>
      <rPr>
        <sz val="11"/>
        <rFont val="Calibri"/>
        <family val="2"/>
      </rPr>
      <t>"</t>
    </r>
  </si>
  <si>
    <r>
      <t xml:space="preserve">Change to read:  "03D FRM Grid </t>
    </r>
    <r>
      <rPr>
        <sz val="11"/>
        <color indexed="10"/>
        <rFont val="Calibri"/>
        <family val="2"/>
      </rPr>
      <t>(Choose year after clicking "Get Data")</t>
    </r>
    <r>
      <rPr>
        <sz val="11"/>
        <rFont val="Calibri"/>
        <family val="2"/>
      </rPr>
      <t>"</t>
    </r>
  </si>
  <si>
    <r>
      <t xml:space="preserve">Click on the double arrow icon to expand the section, click "FYDP </t>
    </r>
    <r>
      <rPr>
        <sz val="11"/>
        <color indexed="10"/>
        <rFont val="Calibri"/>
        <family val="2"/>
      </rPr>
      <t xml:space="preserve">Data Call </t>
    </r>
    <r>
      <rPr>
        <sz val="11"/>
        <rFont val="Calibri"/>
        <family val="2"/>
      </rPr>
      <t>Tool"</t>
    </r>
  </si>
  <si>
    <r>
      <rPr>
        <sz val="11"/>
        <rFont val="Calibri"/>
        <family val="2"/>
      </rPr>
      <t xml:space="preserve">Change to read as follows: </t>
    </r>
    <r>
      <rPr>
        <sz val="11"/>
        <color indexed="10"/>
        <rFont val="Calibri"/>
        <family val="2"/>
      </rPr>
      <t xml:space="preserve"> "Choose a PCN/Task and adjust the requirement by typing a dollar amount into the RQMT column on the QM - Requirement Grid." </t>
    </r>
    <r>
      <rPr>
        <strike/>
        <sz val="11"/>
        <color indexed="10"/>
        <rFont val="Calibri"/>
        <family val="2"/>
      </rPr>
      <t xml:space="preserve">Adjustments to Requirements are entered into the appropriate columns in the QM- Requirements grid .   </t>
    </r>
  </si>
  <si>
    <r>
      <rPr>
        <sz val="11"/>
        <rFont val="Calibri"/>
        <family val="2"/>
      </rPr>
      <t>Change to read as follows:  "</t>
    </r>
    <r>
      <rPr>
        <sz val="11"/>
        <color indexed="10"/>
        <rFont val="Calibri"/>
        <family val="2"/>
      </rPr>
      <t>After adjusting/inputting a requirement, click "save" to save changes.</t>
    </r>
    <r>
      <rPr>
        <sz val="11"/>
        <rFont val="Calibri"/>
        <family val="2"/>
      </rPr>
      <t xml:space="preserve"> "</t>
    </r>
  </si>
  <si>
    <r>
      <rPr>
        <sz val="11"/>
        <rFont val="Calibri"/>
        <family val="2"/>
      </rPr>
      <t>Change to read as follows:  "</t>
    </r>
    <r>
      <rPr>
        <sz val="11"/>
        <color indexed="10"/>
        <rFont val="Calibri"/>
        <family val="2"/>
      </rPr>
      <t>Verify that the adjustment/input made is displaying correctly on the QM - Requirement Grid.</t>
    </r>
    <r>
      <rPr>
        <sz val="11"/>
        <rFont val="Calibri"/>
        <family val="2"/>
      </rPr>
      <t>"</t>
    </r>
  </si>
  <si>
    <r>
      <rPr>
        <sz val="11"/>
        <rFont val="Calibri"/>
        <family val="2"/>
      </rPr>
      <t>Change to read as follows:  "</t>
    </r>
    <r>
      <rPr>
        <sz val="11"/>
        <color indexed="10"/>
        <rFont val="Calibri"/>
        <family val="2"/>
      </rPr>
      <t>Select a row on the QM - Requirement Grid by clicking on a single row.</t>
    </r>
    <r>
      <rPr>
        <sz val="11"/>
        <rFont val="Calibri"/>
        <family val="2"/>
      </rPr>
      <t xml:space="preserve"> "</t>
    </r>
  </si>
  <si>
    <r>
      <rPr>
        <sz val="11"/>
        <rFont val="Calibri"/>
        <family val="2"/>
      </rPr>
      <t>Change to read as follows:  "</t>
    </r>
    <r>
      <rPr>
        <sz val="11"/>
        <color indexed="10"/>
        <rFont val="Calibri"/>
        <family val="2"/>
      </rPr>
      <t>Note that the values for that row will display in the PCN/Task Summary row on the tool bar above the QM - Requirement Grid.</t>
    </r>
    <r>
      <rPr>
        <sz val="11"/>
        <rFont val="Calibri"/>
        <family val="2"/>
      </rPr>
      <t>"</t>
    </r>
  </si>
  <si>
    <r>
      <rPr>
        <sz val="11"/>
        <rFont val="Calibri"/>
        <family val="2"/>
      </rPr>
      <t>Change to read as follows:  "</t>
    </r>
    <r>
      <rPr>
        <sz val="11"/>
        <color indexed="10"/>
        <rFont val="Calibri"/>
        <family val="2"/>
      </rPr>
      <t>Verify that values are displaying correctly on the PCN/Task Summary row by comparing those values to those on the QM - Requirement Grid</t>
    </r>
    <r>
      <rPr>
        <sz val="11"/>
        <rFont val="Calibri"/>
        <family val="2"/>
      </rPr>
      <t>"</t>
    </r>
  </si>
  <si>
    <r>
      <rPr>
        <sz val="11"/>
        <rFont val="Calibri"/>
        <family val="2"/>
      </rPr>
      <t>Delete this step; new step 2 added above.  "</t>
    </r>
    <r>
      <rPr>
        <strike/>
        <sz val="11"/>
        <color indexed="10"/>
        <rFont val="Calibri"/>
        <family val="2"/>
      </rPr>
      <t xml:space="preserve">Once a row is highlighted, the values for that row will be displayed in the PCN Summary row on the tool bar. </t>
    </r>
    <r>
      <rPr>
        <sz val="11"/>
        <rFont val="Calibri"/>
        <family val="2"/>
      </rPr>
      <t>"</t>
    </r>
  </si>
  <si>
    <r>
      <rPr>
        <sz val="11"/>
        <rFont val="Calibri"/>
        <family val="2"/>
      </rPr>
      <t>Delete this step; new step 3 added above.  "</t>
    </r>
    <r>
      <rPr>
        <strike/>
        <sz val="11"/>
        <color indexed="10"/>
        <rFont val="Calibri"/>
        <family val="2"/>
      </rPr>
      <t>Input adjustment values for requirement. "</t>
    </r>
  </si>
  <si>
    <r>
      <rPr>
        <sz val="11"/>
        <rFont val="Calibri"/>
        <family val="2"/>
      </rPr>
      <t>Delete this step; new step 4 added above.  "</t>
    </r>
    <r>
      <rPr>
        <strike/>
        <sz val="11"/>
        <color indexed="10"/>
        <rFont val="Calibri"/>
        <family val="2"/>
      </rPr>
      <t xml:space="preserve">Click “Save ”  to save changes. </t>
    </r>
    <r>
      <rPr>
        <sz val="11"/>
        <rFont val="Calibri"/>
        <family val="2"/>
      </rPr>
      <t>"</t>
    </r>
  </si>
  <si>
    <r>
      <t>This is confusing since selecting fields is in the following step. Delete the following:  “</t>
    </r>
    <r>
      <rPr>
        <strike/>
        <sz val="11"/>
        <color indexed="10"/>
        <rFont val="Calibri"/>
        <family val="2"/>
      </rPr>
      <t>Check fields to include in Datasheet view</t>
    </r>
    <r>
      <rPr>
        <sz val="11"/>
        <rFont val="Calibri"/>
        <family val="2"/>
      </rPr>
      <t>”</t>
    </r>
  </si>
  <si>
    <r>
      <t>Suggest adding the following to test script:  "</t>
    </r>
    <r>
      <rPr>
        <sz val="11"/>
        <color indexed="10"/>
        <rFont val="Calibri"/>
        <family val="2"/>
      </rPr>
      <t>Confirm that "Funded" and/or "Required (TY)" are checked under Resource Type. Check "Total w Supp," "Test FYDP," and/or "Supplemental TEST FYDP" at the top of the custom datasheet view.</t>
    </r>
    <r>
      <rPr>
        <sz val="11"/>
        <rFont val="Calibri"/>
        <family val="2"/>
      </rPr>
      <t>"</t>
    </r>
  </si>
  <si>
    <r>
      <rPr>
        <sz val="11"/>
        <rFont val="Calibri"/>
        <family val="2"/>
      </rPr>
      <t>I checked "Supplemental TEST FYDP" and that data did not appear in the report.   
Suggest changing to read as follows:  "</t>
    </r>
    <r>
      <rPr>
        <sz val="11"/>
        <color indexed="10"/>
        <rFont val="Calibri"/>
        <family val="2"/>
      </rPr>
      <t>Review and confirm that report contents match the criteria selected on the custom datasheet interface.</t>
    </r>
    <r>
      <rPr>
        <sz val="11"/>
        <rFont val="Calibri"/>
        <family val="2"/>
      </rPr>
      <t>"</t>
    </r>
  </si>
  <si>
    <r>
      <rPr>
        <sz val="11"/>
        <rFont val="Calibri"/>
        <family val="2"/>
      </rPr>
      <t>Not clear that users/testers needed to compare the data to make sure it matched their selections.
Suggest deleting this step; new step 11 added above:  "</t>
    </r>
    <r>
      <rPr>
        <strike/>
        <sz val="11"/>
        <color indexed="10"/>
        <rFont val="Calibri"/>
        <family val="2"/>
      </rPr>
      <t>Review report contents based on criteria that you selected and data content.</t>
    </r>
    <r>
      <rPr>
        <sz val="11"/>
        <rFont val="Calibri"/>
        <family val="2"/>
      </rPr>
      <t>"</t>
    </r>
  </si>
  <si>
    <t>deferred to meeting</t>
  </si>
  <si>
    <r>
      <t xml:space="preserve">Change to read as follows:  "Apply </t>
    </r>
    <r>
      <rPr>
        <sz val="11"/>
        <color indexed="10"/>
        <rFont val="Calibri"/>
        <family val="2"/>
      </rPr>
      <t>needed</t>
    </r>
    <r>
      <rPr>
        <sz val="11"/>
        <rFont val="Calibri"/>
        <family val="2"/>
      </rPr>
      <t xml:space="preserve"> filters </t>
    </r>
    <r>
      <rPr>
        <strike/>
        <sz val="11"/>
        <color indexed="10"/>
        <rFont val="Calibri"/>
        <family val="2"/>
      </rPr>
      <t>needed</t>
    </r>
    <r>
      <rPr>
        <sz val="11"/>
        <rFont val="Calibri"/>
        <family val="2"/>
      </rPr>
      <t>. (Suggest: Program Group, PEC, and AFEEIC)</t>
    </r>
  </si>
  <si>
    <r>
      <rPr>
        <sz val="11"/>
        <rFont val="Calibri"/>
        <family val="2"/>
      </rPr>
      <t>Change to read as follows:  "</t>
    </r>
    <r>
      <rPr>
        <sz val="11"/>
        <color indexed="10"/>
        <rFont val="Calibri"/>
        <family val="2"/>
      </rPr>
      <t>Adjust/Input funding amount by typing dollar amount into the Funded Peace column of the QM - Funds Spread grid. Note that the requirement cannot be overfunded.</t>
    </r>
    <r>
      <rPr>
        <sz val="11"/>
        <rFont val="Calibri"/>
        <family val="2"/>
      </rPr>
      <t>"</t>
    </r>
  </si>
  <si>
    <r>
      <rPr>
        <sz val="11"/>
        <rFont val="Calibri"/>
        <family val="2"/>
      </rPr>
      <t xml:space="preserve">Currently does not have Step #; Insert the following in test script and number as Step 5:  " </t>
    </r>
    <r>
      <rPr>
        <sz val="11"/>
        <color indexed="10"/>
        <rFont val="Calibri"/>
        <family val="2"/>
      </rPr>
      <t>Verify that the adjustment/input made is displaying correctly on the QM - Funds Spread Grid.</t>
    </r>
    <r>
      <rPr>
        <sz val="11"/>
        <rFont val="Calibri"/>
        <family val="2"/>
      </rPr>
      <t>"</t>
    </r>
  </si>
  <si>
    <r>
      <rPr>
        <sz val="11"/>
        <rFont val="Calibri"/>
        <family val="2"/>
      </rPr>
      <t>Currently does not have Step #; Insert the following in test script and number as Step 6:  "</t>
    </r>
    <r>
      <rPr>
        <sz val="11"/>
        <color indexed="10"/>
        <rFont val="Calibri"/>
        <family val="2"/>
      </rPr>
      <t xml:space="preserve">Select a row on the QM - Funds Spread grid by clicking on a single row. </t>
    </r>
    <r>
      <rPr>
        <sz val="11"/>
        <rFont val="Calibri"/>
        <family val="2"/>
      </rPr>
      <t>"</t>
    </r>
  </si>
  <si>
    <r>
      <rPr>
        <sz val="11"/>
        <rFont val="Calibri"/>
        <family val="2"/>
      </rPr>
      <t>Currently does not have Step #; Insert the following in test script and number as Step 7:  "</t>
    </r>
    <r>
      <rPr>
        <sz val="11"/>
        <color indexed="10"/>
        <rFont val="Calibri"/>
        <family val="2"/>
      </rPr>
      <t>Note that the values for that row will display in the PCN/Task Summary row on the tool bar above the QM - Funds Spread Grid.</t>
    </r>
    <r>
      <rPr>
        <sz val="11"/>
        <rFont val="Calibri"/>
        <family val="2"/>
      </rPr>
      <t>"</t>
    </r>
    <r>
      <rPr>
        <sz val="11"/>
        <color indexed="10"/>
        <rFont val="Calibri"/>
        <family val="2"/>
      </rPr>
      <t xml:space="preserve">
</t>
    </r>
    <r>
      <rPr>
        <sz val="11"/>
        <rFont val="Calibri"/>
        <family val="2"/>
      </rPr>
      <t>Comment:</t>
    </r>
    <r>
      <rPr>
        <sz val="11"/>
        <color indexed="10"/>
        <rFont val="Calibri"/>
        <family val="2"/>
      </rPr>
      <t xml:space="preserve">  </t>
    </r>
    <r>
      <rPr>
        <sz val="11"/>
        <rFont val="Calibri"/>
        <family val="2"/>
      </rPr>
      <t>Not sure what values are supposed to display for a PCN/Task. For example, the dollar amounts are based on my filter not the PCN I chose.</t>
    </r>
  </si>
  <si>
    <r>
      <rPr>
        <sz val="11"/>
        <rFont val="Calibri"/>
        <family val="2"/>
      </rPr>
      <t>Currently does not have Step #; Insert the following in test script and number as Step 8:  "</t>
    </r>
    <r>
      <rPr>
        <sz val="11"/>
        <color indexed="10"/>
        <rFont val="Calibri"/>
        <family val="2"/>
      </rPr>
      <t>Verify that values are displaying correctly on the PCN/Task Summary row by comparing those values to those on the QM - Funds Spread Grid. Compare funding to requirements.</t>
    </r>
    <r>
      <rPr>
        <sz val="11"/>
        <rFont val="Calibri"/>
        <family val="2"/>
      </rPr>
      <t>"</t>
    </r>
  </si>
  <si>
    <r>
      <rPr>
        <sz val="11"/>
        <rFont val="Calibri"/>
        <family val="2"/>
      </rPr>
      <t>Currently this is shown as Step 5; delet this step.  "</t>
    </r>
    <r>
      <rPr>
        <strike/>
        <sz val="11"/>
        <color indexed="10"/>
        <rFont val="Calibri"/>
        <family val="2"/>
      </rPr>
      <t>Review the Summary Totals at the top of the grid to compare funding to requirements.</t>
    </r>
    <r>
      <rPr>
        <sz val="11"/>
        <rFont val="Calibri"/>
        <family val="2"/>
      </rPr>
      <t>"</t>
    </r>
  </si>
  <si>
    <t>CVT Revised</t>
  </si>
  <si>
    <r>
      <t xml:space="preserve">Currently shown as Step 9; Renumber to reflect Step 11; and change verbiage to reflect the following:  "Once </t>
    </r>
    <r>
      <rPr>
        <sz val="11"/>
        <color indexed="10"/>
        <rFont val="Calibri"/>
        <family val="2"/>
      </rPr>
      <t xml:space="preserve">funding </t>
    </r>
    <r>
      <rPr>
        <strike/>
        <sz val="11"/>
        <color indexed="10"/>
        <rFont val="Calibri"/>
        <family val="2"/>
      </rPr>
      <t>Target</t>
    </r>
    <r>
      <rPr>
        <sz val="11"/>
        <color indexed="10"/>
        <rFont val="Calibri"/>
        <family val="2"/>
      </rPr>
      <t xml:space="preserve"> </t>
    </r>
    <r>
      <rPr>
        <sz val="11"/>
        <color theme="1"/>
        <rFont val="Calibri"/>
        <family val="2"/>
        <scheme val="minor"/>
      </rPr>
      <t xml:space="preserve">has been allocated for the year selected, progress to the next year by using the “Year” drop down box.  </t>
    </r>
    <r>
      <rPr>
        <sz val="11"/>
        <color indexed="10"/>
        <rFont val="Calibri"/>
        <family val="2"/>
      </rPr>
      <t>Click the "Refresh" icon when prompted.</t>
    </r>
    <r>
      <rPr>
        <sz val="11"/>
        <rFont val="Calibri"/>
        <family val="2"/>
      </rPr>
      <t>"
Comment:  Should be talking about the QM - Funds Spread</t>
    </r>
  </si>
  <si>
    <t>In FRM, please fix the report name. It reads SF FM Datasheet.</t>
  </si>
  <si>
    <r>
      <t>Suggest change to read:  "Select</t>
    </r>
    <r>
      <rPr>
        <b/>
        <sz val="11"/>
        <rFont val="Calibri"/>
        <family val="2"/>
      </rPr>
      <t xml:space="preserve"> "QM </t>
    </r>
    <r>
      <rPr>
        <b/>
        <sz val="11"/>
        <color indexed="10"/>
        <rFont val="Calibri"/>
        <family val="2"/>
      </rPr>
      <t>RQMT"</t>
    </r>
    <r>
      <rPr>
        <sz val="11"/>
        <rFont val="Calibri"/>
        <family val="2"/>
      </rPr>
      <t xml:space="preserve"> and Click </t>
    </r>
    <r>
      <rPr>
        <b/>
        <sz val="11"/>
        <rFont val="Calibri"/>
        <family val="2"/>
      </rPr>
      <t xml:space="preserve">"Get Data" </t>
    </r>
  </si>
  <si>
    <t>retest</t>
  </si>
  <si>
    <r>
      <rPr>
        <sz val="11"/>
        <rFont val="Calibri"/>
        <family val="2"/>
      </rPr>
      <t>Suggest change to read:  "</t>
    </r>
    <r>
      <rPr>
        <sz val="11"/>
        <color indexed="10"/>
        <rFont val="Calibri"/>
        <family val="2"/>
      </rPr>
      <t xml:space="preserve">A dialog box will open prompting for a year .  </t>
    </r>
    <r>
      <rPr>
        <b/>
        <sz val="11"/>
        <color indexed="10"/>
        <rFont val="Calibri"/>
        <family val="2"/>
      </rPr>
      <t xml:space="preserve">NOTE: </t>
    </r>
    <r>
      <rPr>
        <sz val="11"/>
        <color indexed="10"/>
        <rFont val="Calibri"/>
        <family val="2"/>
      </rPr>
      <t xml:space="preserve"> If Data Call contains only one year, a dialog box will not prompt you to select a year.</t>
    </r>
    <r>
      <rPr>
        <sz val="11"/>
        <rFont val="Calibri"/>
        <family val="2"/>
      </rPr>
      <t>"</t>
    </r>
  </si>
  <si>
    <r>
      <t>Suggest change to read:  "</t>
    </r>
    <r>
      <rPr>
        <sz val="11"/>
        <color indexed="10"/>
        <rFont val="Calibri"/>
        <family val="2"/>
      </rPr>
      <t xml:space="preserve">If applicable, </t>
    </r>
    <r>
      <rPr>
        <sz val="11"/>
        <rFont val="Calibri"/>
        <family val="2"/>
      </rPr>
      <t>select the year to be maintained and click</t>
    </r>
    <r>
      <rPr>
        <b/>
        <sz val="11"/>
        <rFont val="Calibri"/>
        <family val="2"/>
      </rPr>
      <t xml:space="preserve"> "OK""</t>
    </r>
  </si>
  <si>
    <r>
      <rPr>
        <sz val="11"/>
        <rFont val="Calibri"/>
        <family val="2"/>
      </rPr>
      <t>Currently not numbered; Number as Step 6 and Suggest change to read:  "</t>
    </r>
    <r>
      <rPr>
        <sz val="11"/>
        <color indexed="10"/>
        <rFont val="Calibri"/>
        <family val="2"/>
      </rPr>
      <t xml:space="preserve">Choose a PCN/Task and adjust the requirement by typing a dollar amount into the RQMT column on the QM - Requirement Grid. </t>
    </r>
    <r>
      <rPr>
        <strike/>
        <sz val="11"/>
        <color indexed="10"/>
        <rFont val="Calibri"/>
        <family val="2"/>
      </rPr>
      <t xml:space="preserve">Adjustments to Requirements are entered into the appropriate columns in the QM- Requirements grid .  </t>
    </r>
    <r>
      <rPr>
        <sz val="11"/>
        <rFont val="Calibri"/>
        <family val="2"/>
      </rPr>
      <t xml:space="preserve"> "</t>
    </r>
  </si>
  <si>
    <r>
      <rPr>
        <sz val="11"/>
        <rFont val="Calibri"/>
        <family val="2"/>
      </rPr>
      <t>Currently not numbered; Number as Step 7 and Suggest change to read:  "</t>
    </r>
    <r>
      <rPr>
        <sz val="11"/>
        <color indexed="10"/>
        <rFont val="Calibri"/>
        <family val="2"/>
      </rPr>
      <t xml:space="preserve">After adjusting/inputting a requirement, click "save" to save changes. </t>
    </r>
    <r>
      <rPr>
        <sz val="11"/>
        <rFont val="Calibri"/>
        <family val="2"/>
      </rPr>
      <t>"</t>
    </r>
  </si>
  <si>
    <r>
      <rPr>
        <sz val="11"/>
        <rFont val="Calibri"/>
        <family val="2"/>
      </rPr>
      <t>Currently not numbered; Number as Step 8 and suggest change to read:  "</t>
    </r>
    <r>
      <rPr>
        <sz val="11"/>
        <color indexed="10"/>
        <rFont val="Calibri"/>
        <family val="2"/>
      </rPr>
      <t>Verify that the adjustment/input made is displaying correctly on the QM - Requirement Grid.</t>
    </r>
    <r>
      <rPr>
        <sz val="11"/>
        <rFont val="Calibri"/>
        <family val="2"/>
      </rPr>
      <t>"</t>
    </r>
  </si>
  <si>
    <r>
      <rPr>
        <sz val="11"/>
        <rFont val="Calibri"/>
        <family val="2"/>
      </rPr>
      <t>Currently not numbered; Number as Step 9 and suggest changed to read:  "</t>
    </r>
    <r>
      <rPr>
        <sz val="11"/>
        <color indexed="10"/>
        <rFont val="Calibri"/>
        <family val="2"/>
      </rPr>
      <t xml:space="preserve">Select a row on the QM - Requirement Grid by clicking on a single row. </t>
    </r>
    <r>
      <rPr>
        <sz val="11"/>
        <rFont val="Calibri"/>
        <family val="2"/>
      </rPr>
      <t>"</t>
    </r>
  </si>
  <si>
    <r>
      <rPr>
        <sz val="11"/>
        <rFont val="Calibri"/>
        <family val="2"/>
      </rPr>
      <t>Currently not numbered; Number as Step 10 and suggest change to read:  "</t>
    </r>
    <r>
      <rPr>
        <sz val="11"/>
        <color indexed="10"/>
        <rFont val="Calibri"/>
        <family val="2"/>
      </rPr>
      <t>Note that the values for that row will display in the PCN/Task Summary row on the tool bar above the QM - Requirement Grid.</t>
    </r>
    <r>
      <rPr>
        <sz val="11"/>
        <rFont val="Calibri"/>
        <family val="2"/>
      </rPr>
      <t>"
Comment:  Not sure what values are supposed to display for a PCN/Task.  For example, the dollar amounts are based on my filter not the PCN chosen.</t>
    </r>
  </si>
  <si>
    <r>
      <rPr>
        <sz val="11"/>
        <rFont val="Calibri"/>
        <family val="2"/>
      </rPr>
      <t>Renumber to Step 11 and suggest to read:  "</t>
    </r>
    <r>
      <rPr>
        <sz val="11"/>
        <color indexed="10"/>
        <rFont val="Calibri"/>
        <family val="2"/>
      </rPr>
      <t>Verify that values are displaying correctly on the PCN/Task Summary row by comparing the values to those on the QM - Requirement Grid</t>
    </r>
    <r>
      <rPr>
        <sz val="11"/>
        <rFont val="Calibri"/>
        <family val="2"/>
      </rPr>
      <t>"</t>
    </r>
  </si>
  <si>
    <r>
      <rPr>
        <sz val="11"/>
        <rFont val="Calibri"/>
        <family val="2"/>
      </rPr>
      <t xml:space="preserve">Delete this row:  </t>
    </r>
    <r>
      <rPr>
        <strike/>
        <sz val="11"/>
        <color indexed="10"/>
        <rFont val="Calibri"/>
        <family val="2"/>
      </rPr>
      <t xml:space="preserve">Adjustments to Requirements are entered into the appropriate columns in the QM- Requirements grid .   </t>
    </r>
  </si>
  <si>
    <r>
      <rPr>
        <sz val="11"/>
        <rFont val="Calibri"/>
        <family val="2"/>
      </rPr>
      <t xml:space="preserve">Delete this row:  </t>
    </r>
    <r>
      <rPr>
        <strike/>
        <sz val="11"/>
        <color indexed="10"/>
        <rFont val="Calibri"/>
        <family val="2"/>
      </rPr>
      <t xml:space="preserve">Once a row is highlighted, the values for that row will be displayed in the </t>
    </r>
    <r>
      <rPr>
        <b/>
        <strike/>
        <sz val="11"/>
        <color indexed="10"/>
        <rFont val="Calibri"/>
        <family val="2"/>
      </rPr>
      <t>PCN Summary</t>
    </r>
    <r>
      <rPr>
        <strike/>
        <sz val="11"/>
        <color indexed="10"/>
        <rFont val="Calibri"/>
        <family val="2"/>
      </rPr>
      <t xml:space="preserve"> row on the tool bar. </t>
    </r>
  </si>
  <si>
    <r>
      <rPr>
        <sz val="11"/>
        <rFont val="Calibri"/>
        <family val="2"/>
      </rPr>
      <t xml:space="preserve">Delete this row: </t>
    </r>
    <r>
      <rPr>
        <strike/>
        <sz val="11"/>
        <color indexed="10"/>
        <rFont val="Calibri"/>
        <family val="2"/>
      </rPr>
      <t xml:space="preserve"> Input adjustment values for requirement. </t>
    </r>
  </si>
  <si>
    <r>
      <rPr>
        <sz val="11"/>
        <rFont val="Calibri"/>
        <family val="2"/>
      </rPr>
      <t xml:space="preserve">Delete this row:  </t>
    </r>
    <r>
      <rPr>
        <strike/>
        <sz val="11"/>
        <color indexed="10"/>
        <rFont val="Calibri"/>
        <family val="2"/>
      </rPr>
      <t xml:space="preserve">Click </t>
    </r>
    <r>
      <rPr>
        <strike/>
        <sz val="11"/>
        <color indexed="10"/>
        <rFont val="Calibri"/>
        <family val="2"/>
      </rPr>
      <t xml:space="preserve">“Save ”  to save changes. </t>
    </r>
  </si>
  <si>
    <r>
      <t>Suggest change to read:  "</t>
    </r>
    <r>
      <rPr>
        <sz val="11"/>
        <color indexed="10"/>
        <rFont val="Calibri"/>
        <family val="2"/>
      </rPr>
      <t>If applicable, s</t>
    </r>
    <r>
      <rPr>
        <sz val="11"/>
        <rFont val="Calibri"/>
        <family val="2"/>
      </rPr>
      <t>elect the year to be maintained and click</t>
    </r>
    <r>
      <rPr>
        <b/>
        <sz val="11"/>
        <rFont val="Calibri"/>
        <family val="2"/>
      </rPr>
      <t xml:space="preserve"> "OK""</t>
    </r>
  </si>
  <si>
    <t>Suggest Inserting Note between steps 2 and 3; Number as "NOTE" and script reads as follows:  "Note:  PCN cannot be edited when RQMT is in Submittal or Fund Spread has been finalized."</t>
  </si>
  <si>
    <r>
      <t xml:space="preserve">Suggest change to read:  "Click on the double arrow icon to expand the section, click </t>
    </r>
    <r>
      <rPr>
        <sz val="11"/>
        <color indexed="10"/>
        <rFont val="Calibri"/>
        <family val="2"/>
      </rPr>
      <t xml:space="preserve">"Execution Section" </t>
    </r>
    <r>
      <rPr>
        <b/>
        <strike/>
        <sz val="11"/>
        <color indexed="10"/>
        <rFont val="Calibri"/>
        <family val="2"/>
      </rPr>
      <t>"FYDP Data Call Tools"</t>
    </r>
    <r>
      <rPr>
        <b/>
        <sz val="11"/>
        <color indexed="10"/>
        <rFont val="Calibri"/>
        <family val="2"/>
      </rPr>
      <t>"</t>
    </r>
  </si>
  <si>
    <t>Hillard</t>
  </si>
  <si>
    <r>
      <rPr>
        <b/>
        <sz val="11"/>
        <rFont val="Calibri"/>
        <family val="2"/>
      </rPr>
      <t>Suggest change to read:  "</t>
    </r>
    <r>
      <rPr>
        <b/>
        <strike/>
        <sz val="11"/>
        <color indexed="10"/>
        <rFont val="Calibri"/>
        <family val="2"/>
      </rPr>
      <t>02B Compare Data</t>
    </r>
    <r>
      <rPr>
        <b/>
        <sz val="11"/>
        <color indexed="10"/>
        <rFont val="Calibri"/>
        <family val="2"/>
      </rPr>
      <t xml:space="preserve"> / 01 - Report FRM Obligation</t>
    </r>
    <r>
      <rPr>
        <b/>
        <sz val="11"/>
        <rFont val="Calibri"/>
        <family val="2"/>
      </rPr>
      <t>"
Comment:  Received Error</t>
    </r>
  </si>
  <si>
    <t xml:space="preserve">Ui has been updated all number is now in sync.   CVT Updated. </t>
  </si>
  <si>
    <r>
      <rPr>
        <b/>
        <sz val="11"/>
        <rFont val="Calibri"/>
        <family val="2"/>
      </rPr>
      <t>Suggest change to read:  "</t>
    </r>
    <r>
      <rPr>
        <b/>
        <strike/>
        <sz val="11"/>
        <color indexed="10"/>
        <rFont val="Calibri"/>
        <family val="2"/>
      </rPr>
      <t>02C Trended Datasheet</t>
    </r>
    <r>
      <rPr>
        <b/>
        <sz val="11"/>
        <color indexed="10"/>
        <rFont val="Calibri"/>
        <family val="2"/>
      </rPr>
      <t xml:space="preserve"> / 02A - QM Obligation
</t>
    </r>
    <r>
      <rPr>
        <b/>
        <sz val="11"/>
        <rFont val="Calibri"/>
        <family val="2"/>
      </rPr>
      <t>Comment:  Using Program Group B001 PEC 11126F appears that items are over funded and quantities are off</t>
    </r>
  </si>
  <si>
    <r>
      <rPr>
        <b/>
        <strike/>
        <sz val="11"/>
        <color indexed="10"/>
        <rFont val="Calibri"/>
        <family val="2"/>
      </rPr>
      <t>Suggest change to read:  "02D SAF FM Datasheet</t>
    </r>
    <r>
      <rPr>
        <b/>
        <sz val="11"/>
        <color indexed="10"/>
        <rFont val="Calibri"/>
        <family val="2"/>
      </rPr>
      <t xml:space="preserve"> / 02B - QM Fund Spread
</t>
    </r>
    <r>
      <rPr>
        <b/>
        <sz val="11"/>
        <rFont val="Calibri"/>
        <family val="2"/>
      </rPr>
      <t>Comment:  Using Program Group B001 PEC 11126F appears that items are over funded and quantities are off</t>
    </r>
  </si>
  <si>
    <r>
      <rPr>
        <b/>
        <sz val="11"/>
        <rFont val="Calibri"/>
        <family val="2"/>
      </rPr>
      <t>Suggest change to read:  "</t>
    </r>
    <r>
      <rPr>
        <b/>
        <strike/>
        <sz val="11"/>
        <color indexed="10"/>
        <rFont val="Calibri"/>
        <family val="2"/>
      </rPr>
      <t>03A QM Funds Spread</t>
    </r>
    <r>
      <rPr>
        <b/>
        <sz val="11"/>
        <color indexed="10"/>
        <rFont val="Calibri"/>
        <family val="2"/>
      </rPr>
      <t xml:space="preserve"> / 02C - QM Target
</t>
    </r>
    <r>
      <rPr>
        <b/>
        <sz val="11"/>
        <rFont val="Calibri"/>
        <family val="2"/>
      </rPr>
      <t>Comment:  Using Program Group B001 PEC 11126F appears that items are over funded and quantities are off</t>
    </r>
  </si>
  <si>
    <r>
      <rPr>
        <b/>
        <sz val="11"/>
        <rFont val="Calibri"/>
        <family val="2"/>
      </rPr>
      <t>Suggest change to read:  "</t>
    </r>
    <r>
      <rPr>
        <b/>
        <strike/>
        <sz val="11"/>
        <color indexed="10"/>
        <rFont val="Calibri"/>
        <family val="2"/>
      </rPr>
      <t>03B QM Target</t>
    </r>
    <r>
      <rPr>
        <b/>
        <sz val="11"/>
        <color indexed="10"/>
        <rFont val="Calibri"/>
        <family val="2"/>
      </rPr>
      <t xml:space="preserve"> / 02D - QM RQMT
</t>
    </r>
    <r>
      <rPr>
        <b/>
        <sz val="11"/>
        <rFont val="Calibri"/>
        <family val="2"/>
      </rPr>
      <t>Comment:  Using Program Group B001 PEC 11126F appears that items are over funded and quantities are off</t>
    </r>
  </si>
  <si>
    <r>
      <rPr>
        <b/>
        <sz val="11"/>
        <rFont val="Calibri"/>
        <family val="2"/>
      </rPr>
      <t>Suggest change to read:  "</t>
    </r>
    <r>
      <rPr>
        <b/>
        <strike/>
        <sz val="11"/>
        <color indexed="10"/>
        <rFont val="Calibri"/>
        <family val="2"/>
      </rPr>
      <t>03C QM Requirement</t>
    </r>
    <r>
      <rPr>
        <b/>
        <sz val="11"/>
        <color indexed="10"/>
        <rFont val="Calibri"/>
        <family val="2"/>
      </rPr>
      <t xml:space="preserve"> / 03 - Custom Datasheet
</t>
    </r>
    <r>
      <rPr>
        <b/>
        <sz val="11"/>
        <rFont val="Calibri"/>
        <family val="2"/>
      </rPr>
      <t>Comment:  Using Program Group B001 PEC 11126F appears that items are over funded and quantities are off</t>
    </r>
  </si>
  <si>
    <r>
      <rPr>
        <b/>
        <sz val="11"/>
        <rFont val="Calibri"/>
        <family val="2"/>
      </rPr>
      <t>Suggest change to read:  "</t>
    </r>
    <r>
      <rPr>
        <b/>
        <strike/>
        <sz val="11"/>
        <color indexed="10"/>
        <rFont val="Calibri"/>
        <family val="2"/>
      </rPr>
      <t>03D FRM Grid</t>
    </r>
    <r>
      <rPr>
        <b/>
        <sz val="11"/>
        <color indexed="10"/>
        <rFont val="Calibri"/>
        <family val="2"/>
      </rPr>
      <t xml:space="preserve"> / FRM Grid
</t>
    </r>
    <r>
      <rPr>
        <b/>
        <sz val="11"/>
        <rFont val="Calibri"/>
        <family val="2"/>
      </rPr>
      <t>Comment:  Using Program Group B001 PEC 11126F appears that items are over funded and quantities are off</t>
    </r>
  </si>
  <si>
    <t>PRE:</t>
  </si>
  <si>
    <r>
      <t xml:space="preserve">Suggest change to read:  "Data call has been selected; </t>
    </r>
    <r>
      <rPr>
        <sz val="11"/>
        <color indexed="8"/>
        <rFont val="Calibri"/>
        <family val="2"/>
      </rPr>
      <t xml:space="preserve">FRM Section" Execution Section" </t>
    </r>
    <r>
      <rPr>
        <strike/>
        <sz val="11"/>
        <color indexed="10"/>
        <rFont val="Calibri"/>
        <family val="2"/>
      </rPr>
      <t>"FYDP Tool"</t>
    </r>
    <r>
      <rPr>
        <sz val="11"/>
        <color indexed="8"/>
        <rFont val="Calibri"/>
        <family val="2"/>
      </rPr>
      <t xml:space="preserve"> bar is open,  filters have been applied. "</t>
    </r>
  </si>
  <si>
    <t>Although the Script name is arranged differently, RPT2 is in the CVT twice ?</t>
  </si>
  <si>
    <t>Deliverables</t>
  </si>
  <si>
    <t>There is a second "PRE:" (Prerequisite) listed and what appears to be a new Steps 1 &amp; 2</t>
  </si>
  <si>
    <t>Delete second set of steps (1-6) and NOTE based on following comment:  "This if FYDP not Execution"</t>
  </si>
  <si>
    <t>Auxiliary</t>
  </si>
  <si>
    <t>All</t>
  </si>
  <si>
    <t>Tester refers to RPT6 as N/A because:  "Not Done under Execution"</t>
  </si>
  <si>
    <t>Tester refers to RPT7 as N/A because:  "Not Done under Execution"</t>
  </si>
  <si>
    <t>PP</t>
  </si>
  <si>
    <t>Using Program Group B001 PEC 11126F appears that items are over funded and quantities are off</t>
  </si>
  <si>
    <t>Under Fund spread what do (Q,U &amp; F) mean or stand for and is it really needed? Using Program Group B001 PEC 11126F appears that items are over funded and quantities are off</t>
  </si>
  <si>
    <r>
      <t>Suggest change to read:  "Select</t>
    </r>
    <r>
      <rPr>
        <b/>
        <sz val="11"/>
        <color indexed="8"/>
        <rFont val="Calibri"/>
        <family val="2"/>
      </rPr>
      <t xml:space="preserve"> </t>
    </r>
    <r>
      <rPr>
        <b/>
        <sz val="11"/>
        <rFont val="Calibri"/>
        <family val="2"/>
      </rPr>
      <t>02D</t>
    </r>
    <r>
      <rPr>
        <b/>
        <sz val="11"/>
        <color indexed="8"/>
        <rFont val="Calibri"/>
        <family val="2"/>
      </rPr>
      <t xml:space="preserve">  </t>
    </r>
    <r>
      <rPr>
        <b/>
        <strike/>
        <sz val="11"/>
        <color indexed="10"/>
        <rFont val="Calibri"/>
        <family val="2"/>
      </rPr>
      <t xml:space="preserve">Trend Datasheet </t>
    </r>
    <r>
      <rPr>
        <b/>
        <sz val="11"/>
        <color indexed="10"/>
        <rFont val="Calibri"/>
        <family val="2"/>
      </rPr>
      <t>SAF FM Datasheet</t>
    </r>
    <r>
      <rPr>
        <b/>
        <sz val="11"/>
        <rFont val="Calibri"/>
        <family val="2"/>
      </rPr>
      <t>"</t>
    </r>
  </si>
  <si>
    <r>
      <rPr>
        <sz val="11"/>
        <rFont val="Calibri"/>
        <family val="2"/>
      </rPr>
      <t>Suggest adding script step:  "</t>
    </r>
    <r>
      <rPr>
        <sz val="11"/>
        <color indexed="10"/>
        <rFont val="Calibri"/>
        <family val="2"/>
      </rPr>
      <t>Select</t>
    </r>
    <r>
      <rPr>
        <b/>
        <sz val="11"/>
        <color indexed="10"/>
        <rFont val="Calibri"/>
        <family val="2"/>
      </rPr>
      <t xml:space="preserve"> 02C  Trend Datasheet</t>
    </r>
    <r>
      <rPr>
        <b/>
        <sz val="11"/>
        <rFont val="Calibri"/>
        <family val="2"/>
      </rPr>
      <t>"</t>
    </r>
    <r>
      <rPr>
        <b/>
        <sz val="11"/>
        <color indexed="10"/>
        <rFont val="Calibri"/>
        <family val="2"/>
      </rPr>
      <t xml:space="preserve">
</t>
    </r>
    <r>
      <rPr>
        <b/>
        <sz val="11"/>
        <rFont val="Calibri"/>
        <family val="2"/>
      </rPr>
      <t>Number as Step 3</t>
    </r>
  </si>
  <si>
    <r>
      <rPr>
        <sz val="11"/>
        <rFont val="Calibri"/>
        <family val="2"/>
      </rPr>
      <t>Suggest adding script step:  "</t>
    </r>
    <r>
      <rPr>
        <sz val="11"/>
        <color indexed="10"/>
        <rFont val="Calibri"/>
        <family val="2"/>
      </rPr>
      <t xml:space="preserve">Click </t>
    </r>
    <r>
      <rPr>
        <b/>
        <sz val="11"/>
        <color indexed="10"/>
        <rFont val="Calibri"/>
        <family val="2"/>
      </rPr>
      <t xml:space="preserve">Get Data"
</t>
    </r>
    <r>
      <rPr>
        <b/>
        <sz val="11"/>
        <rFont val="Calibri"/>
        <family val="2"/>
      </rPr>
      <t>Number as Step 4</t>
    </r>
  </si>
  <si>
    <r>
      <rPr>
        <sz val="11"/>
        <rFont val="Calibri"/>
        <family val="2"/>
      </rPr>
      <t>Suggest adding script step:  "</t>
    </r>
    <r>
      <rPr>
        <sz val="11"/>
        <color indexed="10"/>
        <rFont val="Calibri"/>
        <family val="2"/>
      </rPr>
      <t xml:space="preserve">Choose appropriate </t>
    </r>
    <r>
      <rPr>
        <b/>
        <sz val="11"/>
        <color indexed="10"/>
        <rFont val="Calibri"/>
        <family val="2"/>
      </rPr>
      <t xml:space="preserve">Data Call (s)"
</t>
    </r>
    <r>
      <rPr>
        <b/>
        <sz val="11"/>
        <rFont val="Calibri"/>
        <family val="2"/>
      </rPr>
      <t>Number as Step 5</t>
    </r>
  </si>
  <si>
    <r>
      <rPr>
        <sz val="11"/>
        <rFont val="Calibri"/>
        <family val="2"/>
      </rPr>
      <t>Suggest adding script step:  "</t>
    </r>
    <r>
      <rPr>
        <sz val="11"/>
        <color indexed="10"/>
        <rFont val="Calibri"/>
        <family val="2"/>
      </rPr>
      <t>Select</t>
    </r>
    <r>
      <rPr>
        <b/>
        <sz val="11"/>
        <color indexed="10"/>
        <rFont val="Calibri"/>
        <family val="2"/>
      </rPr>
      <t xml:space="preserve"> Resource Type(s)"
</t>
    </r>
    <r>
      <rPr>
        <b/>
        <sz val="11"/>
        <rFont val="Calibri"/>
        <family val="2"/>
      </rPr>
      <t>Number as Step 6</t>
    </r>
  </si>
  <si>
    <r>
      <rPr>
        <sz val="11"/>
        <rFont val="Calibri"/>
        <family val="2"/>
      </rPr>
      <t>Suggest adding script step:  "</t>
    </r>
    <r>
      <rPr>
        <sz val="11"/>
        <color indexed="10"/>
        <rFont val="Calibri"/>
        <family val="2"/>
      </rPr>
      <t xml:space="preserve">Check </t>
    </r>
    <r>
      <rPr>
        <b/>
        <sz val="11"/>
        <color indexed="10"/>
        <rFont val="Calibri"/>
        <family val="2"/>
      </rPr>
      <t xml:space="preserve">Years"
</t>
    </r>
    <r>
      <rPr>
        <b/>
        <sz val="11"/>
        <rFont val="Calibri"/>
        <family val="2"/>
      </rPr>
      <t>Number as Step 7</t>
    </r>
  </si>
  <si>
    <r>
      <rPr>
        <sz val="11"/>
        <rFont val="Calibri"/>
        <family val="2"/>
      </rPr>
      <t>Suggest adding script step:  "</t>
    </r>
    <r>
      <rPr>
        <sz val="11"/>
        <color indexed="10"/>
        <rFont val="Calibri"/>
        <family val="2"/>
      </rPr>
      <t xml:space="preserve">Click </t>
    </r>
    <r>
      <rPr>
        <b/>
        <sz val="11"/>
        <color indexed="10"/>
        <rFont val="Calibri"/>
        <family val="2"/>
      </rPr>
      <t xml:space="preserve">Preview Datasheet link."
</t>
    </r>
    <r>
      <rPr>
        <b/>
        <sz val="11"/>
        <rFont val="Calibri"/>
        <family val="2"/>
      </rPr>
      <t>Number as Step 8</t>
    </r>
  </si>
  <si>
    <r>
      <rPr>
        <sz val="11"/>
        <rFont val="Calibri"/>
        <family val="2"/>
      </rPr>
      <t>Suggest adding script step:  "</t>
    </r>
    <r>
      <rPr>
        <sz val="11"/>
        <color indexed="10"/>
        <rFont val="Calibri"/>
        <family val="2"/>
      </rPr>
      <t xml:space="preserve">Fields to Display will be listed in value box. "
</t>
    </r>
    <r>
      <rPr>
        <sz val="11"/>
        <rFont val="Calibri"/>
        <family val="2"/>
      </rPr>
      <t>Number as NOTE:</t>
    </r>
  </si>
  <si>
    <t>TGT8</t>
  </si>
  <si>
    <t>TGT9</t>
  </si>
  <si>
    <t>X</t>
  </si>
  <si>
    <t xml:space="preserve">DATASHEET VIEW:  02* Custom </t>
  </si>
  <si>
    <t xml:space="preserve">FYDP Tool: 02E - Compare Datasheet </t>
  </si>
  <si>
    <t>FYDP Tool: 02F - Trended Datasheet</t>
  </si>
  <si>
    <t>FYDP Tool:  02C - SAF FM Datasheet</t>
  </si>
  <si>
    <t>DATASHEET VIEW:  02G Factors</t>
  </si>
  <si>
    <t>DATA MAINTENANCE:  Add New PCN/Task</t>
  </si>
  <si>
    <t>unpredictable results</t>
  </si>
  <si>
    <t>DIST2</t>
  </si>
  <si>
    <t>OBL2</t>
  </si>
  <si>
    <t>OBL3</t>
  </si>
  <si>
    <t xml:space="preserve">Target Maintenance:  Mass change:  Copy Budget Reference to Budget Reference. </t>
  </si>
  <si>
    <t>Target Maintenance:  Mass change:  Overlay Reference to Target</t>
  </si>
  <si>
    <t>TGT10</t>
  </si>
  <si>
    <t>Target Maintenance:  Mass change:  Show Budget Reference w/o RQMT</t>
  </si>
  <si>
    <t xml:space="preserve">Target Maintenance: Mass Change: Reset Target to Reference (Baseline) </t>
  </si>
  <si>
    <t>RPT10</t>
  </si>
  <si>
    <t>RPT11</t>
  </si>
  <si>
    <t>Execution Section:  01A Report FRM Distribution</t>
  </si>
  <si>
    <t>Execution Section:  01B Report FRM Obligation</t>
  </si>
  <si>
    <t xml:space="preserve">FRM 4.18 </t>
  </si>
  <si>
    <t>Input Obligation Amounts:  03D  QM Obligation(new)</t>
  </si>
  <si>
    <t>Mass Change Field Value (Like Status from old value to New Value)</t>
  </si>
  <si>
    <t>OBL4</t>
  </si>
  <si>
    <t>Mass Change:  Spread PBA to Projected</t>
  </si>
  <si>
    <t>OBL5</t>
  </si>
  <si>
    <t>Mass Change:  Copy Obligation to Distribution</t>
  </si>
  <si>
    <t>OBL6</t>
  </si>
  <si>
    <t>Mass Change:  Copy Distribution to Obligation</t>
  </si>
  <si>
    <t>OBL7</t>
  </si>
  <si>
    <t>Mass Change:  Overlay Distribution to Funding</t>
  </si>
  <si>
    <t>OBL8</t>
  </si>
  <si>
    <t>Mass Change:  Overlay Obligation to Funding</t>
  </si>
  <si>
    <t xml:space="preserve">FRM 4.18, FRM 4.4 </t>
  </si>
  <si>
    <t xml:space="preserve">Input Distribution Amounts </t>
  </si>
  <si>
    <t>R</t>
  </si>
  <si>
    <t>CVT updates applied</t>
  </si>
  <si>
    <t>Not 70%</t>
  </si>
  <si>
    <t>email option not working</t>
  </si>
  <si>
    <t>Verbiage changes applied, outstanding question on PCN / Task Summary row</t>
  </si>
  <si>
    <t>Report timed out</t>
  </si>
  <si>
    <t>No Scrolling</t>
  </si>
  <si>
    <t>Need to add note that this is for new RQMT only</t>
  </si>
  <si>
    <t>Program group HH60/FY11/ Qty field is not working. PCN AAJRTR</t>
  </si>
  <si>
    <t>CVT Updates Applied</t>
  </si>
  <si>
    <t>4.4, 5.10</t>
  </si>
  <si>
    <t>Change to be made to add PEC</t>
  </si>
  <si>
    <t>DUP</t>
  </si>
  <si>
    <t>DUPLICATE</t>
  </si>
  <si>
    <t xml:space="preserve">Refer to TGT2, Status: </t>
  </si>
  <si>
    <t>TOOLS7</t>
  </si>
  <si>
    <t xml:space="preserve">COMMON TOOLS:  Delta Icon </t>
  </si>
  <si>
    <t>TGT11</t>
  </si>
  <si>
    <t>Verbiage added to advise users to review results for rounding errors</t>
  </si>
  <si>
    <t>Recommend removing from this test agenda</t>
  </si>
  <si>
    <t>TGT12</t>
  </si>
  <si>
    <t>Target Maintenance:  Overlay Target</t>
  </si>
  <si>
    <t>Target Maintenance:  Get (Append) Target</t>
  </si>
  <si>
    <t>NEWLY ADDED, 11/17</t>
  </si>
  <si>
    <t>Performance concern</t>
  </si>
  <si>
    <t>Changes ready for review</t>
  </si>
  <si>
    <t>#2 priority is not being funded</t>
  </si>
  <si>
    <t>CVT Status
FYDP</t>
  </si>
  <si>
    <t>EXEC</t>
  </si>
  <si>
    <t>Data call</t>
  </si>
  <si>
    <t>NA</t>
  </si>
  <si>
    <t>Updates to ZBT</t>
  </si>
  <si>
    <t>Mass Change:  OP30 Spread by Priority; Next Spread to Remaining PCNs/Task by Priority</t>
  </si>
  <si>
    <t>REM</t>
  </si>
  <si>
    <t>HOLD</t>
  </si>
  <si>
    <t>Execution</t>
  </si>
  <si>
    <t>CV Test Script</t>
  </si>
  <si>
    <t>IP-1</t>
  </si>
  <si>
    <t>1a</t>
  </si>
  <si>
    <t>1b</t>
  </si>
  <si>
    <t>2a</t>
  </si>
  <si>
    <t>2b</t>
  </si>
  <si>
    <t>IP-2</t>
  </si>
  <si>
    <t>Status Levels:  Requirement or CVT Script</t>
  </si>
  <si>
    <t>Level</t>
  </si>
  <si>
    <t>Title</t>
  </si>
  <si>
    <t>Definition</t>
  </si>
  <si>
    <t>Development Testing</t>
  </si>
  <si>
    <t xml:space="preserve">IP-1: Contractor will provides test materials to test director.  The Test Director reviews all test materials and reviews application functionality for functional fit.   All test results are compiled and analyzed.  The Test Director will approve the release for the next IP based on agreed-upon business rules.  </t>
  </si>
  <si>
    <t>Integration Testing</t>
  </si>
  <si>
    <t xml:space="preserve">IP-2: Testing is extended to the test manager. The test manager will perform testing and denote defects using the same methodology used in IP-1.  Test results are forwarded to the Test Director.  The Test Director will review problem reports and provide direction to ITI based on the failure criticality and requirement priority.  When testing aligns with agreed-upon business rules, the Test Director will approve the release for Customer Acceptance Testing.  </t>
  </si>
  <si>
    <t>IP-3</t>
  </si>
  <si>
    <t>System Testing</t>
  </si>
  <si>
    <t xml:space="preserve">IP-3: During IP-3 Testing, the test group is expanded to a broad set of users selected by the test managers time in the production-simulated environment.    Testing is performed with defects denoted using the same methodology used in IP-1/IP-2.  Test results are forwarded to ITI and the Test Director for analysis and interpretation.  When testing aligns with agreed-upon business rules, the Test Director will approve the testing activities and recommend the release for approval by the LCMB.  </t>
  </si>
  <si>
    <t>MIL-STD-498 DR Definitions</t>
  </si>
  <si>
    <t>Failure - Cannot proceed to the next step.</t>
  </si>
  <si>
    <t>Failure</t>
  </si>
  <si>
    <t>Prevent the accomplishment of an operational or mission essential capability.</t>
  </si>
  <si>
    <t>Jeopardize safety, security, or other requirements designated "critical"</t>
  </si>
  <si>
    <t>Adversely affects the accomplishment of an operational or mission essential capability and no work-around solution is known</t>
  </si>
  <si>
    <t>Adversely affects technical, cost, or schedule risks to the project or to life cycle support of the system, and no work-around solution</t>
  </si>
  <si>
    <t>Acceptable:  Problems identified but able to advance to the next step.</t>
  </si>
  <si>
    <t>Acceptable</t>
  </si>
  <si>
    <t>3a</t>
  </si>
  <si>
    <t>Adversely affects the accomplishment of an operation or mission essential capability but a work-around solution is known</t>
  </si>
  <si>
    <t>3b</t>
  </si>
  <si>
    <t>Adversely affects technical, cost or schedule risks to the project or to life cycle support of the system, but a work-around solution is known</t>
  </si>
  <si>
    <t>4a</t>
  </si>
  <si>
    <t>Results in user/operator inconvenience or annoyance but does not affect a required operational or mission essential capability</t>
  </si>
  <si>
    <t>4b</t>
  </si>
  <si>
    <t>Results in inconvenience or annoyance for development or support personnel but does not prevent the accomplishment of those responsibilities.</t>
  </si>
  <si>
    <t>Any other effect</t>
  </si>
  <si>
    <t>Script Status Definitions</t>
  </si>
  <si>
    <t>CVT Passes; no DRs received.</t>
  </si>
  <si>
    <t>Deficiencies identified but work around exists.</t>
  </si>
  <si>
    <t>Fail</t>
  </si>
  <si>
    <t>Work Stoppage has been encountered</t>
  </si>
  <si>
    <t>Not Tested</t>
  </si>
  <si>
    <t>CVT is available, but results do not exist due to "in-work" or testing has not started.</t>
  </si>
  <si>
    <t>Accept</t>
  </si>
  <si>
    <t>Script
Status</t>
  </si>
  <si>
    <t>CVT Test Script</t>
  </si>
  <si>
    <t>Comments</t>
  </si>
  <si>
    <t>Script Status</t>
  </si>
  <si>
    <t>RPTG for IP Matrix</t>
  </si>
  <si>
    <t>INDEX</t>
  </si>
  <si>
    <t>ABOUT</t>
  </si>
  <si>
    <t>I3 - CVT Master</t>
  </si>
  <si>
    <t xml:space="preserve">Version:  </t>
  </si>
  <si>
    <t xml:space="preserve">Date:  </t>
  </si>
  <si>
    <t>Test Case Description/ Objective</t>
  </si>
  <si>
    <t>CVT Status</t>
  </si>
  <si>
    <t>Ready To Test</t>
  </si>
  <si>
    <t>13.2 RELEASE TABS LEGEND</t>
  </si>
  <si>
    <t>Purpose:</t>
  </si>
  <si>
    <t xml:space="preserve">PRE: </t>
  </si>
  <si>
    <t>NOTE:</t>
  </si>
  <si>
    <t>Data Maintenance</t>
  </si>
  <si>
    <t>Test Case - Common Tools</t>
  </si>
  <si>
    <t>x</t>
  </si>
  <si>
    <t>IP - 3</t>
  </si>
  <si>
    <t>TC Common Tools</t>
  </si>
  <si>
    <t>TC - Common Tools</t>
  </si>
  <si>
    <t>CUSTOMER</t>
  </si>
  <si>
    <t>INTERNAL</t>
  </si>
  <si>
    <t>Log In to ALOD</t>
  </si>
  <si>
    <t>User has an established ALOD account and a CAC enabled GFE/personal computer</t>
  </si>
  <si>
    <t>User navigates to https://alod.afrc.af.mil</t>
  </si>
  <si>
    <t>User clicks on the Login to ALOD button</t>
  </si>
  <si>
    <t>User is prompted with the USG Legal Notice</t>
  </si>
  <si>
    <t>User clicks the OK button</t>
  </si>
  <si>
    <t>User is prompted to select CAC certificate</t>
  </si>
  <si>
    <t>User selected certificate and enters CAC Pin</t>
  </si>
  <si>
    <t>User is taken to the Welcome Screen</t>
  </si>
  <si>
    <t>User is taken to the Select Account Page</t>
  </si>
  <si>
    <t>User selects the desired role to work as</t>
  </si>
  <si>
    <t>User has Medical Technician access.</t>
  </si>
  <si>
    <t>Refer to Common Tools TOOLS1 to log in to ALOD</t>
  </si>
  <si>
    <t>Click the Start Case button</t>
  </si>
  <si>
    <t>Enter the member's SSN</t>
  </si>
  <si>
    <t>Upload required documents</t>
  </si>
  <si>
    <t>Click the Digitally Sign button</t>
  </si>
  <si>
    <t>User is taken to the Welcome Screen with a notice saying that the case was successfully signed and action was applied.</t>
  </si>
  <si>
    <t>Digitally Sign Cases</t>
  </si>
  <si>
    <t>User has processed their part of the case.
There are no validation errors.
Routing Option has been selected.</t>
  </si>
  <si>
    <t>Click ok on the CAC certificate dialog box</t>
  </si>
  <si>
    <t>Refer to Common Tools TOOLS2 to digitally sign this case</t>
  </si>
  <si>
    <t>Notate test case number</t>
  </si>
  <si>
    <t>To add or review comments, refer to TOOLS3</t>
  </si>
  <si>
    <t>Case Comments</t>
  </si>
  <si>
    <t>NOTE 1:</t>
  </si>
  <si>
    <t>NOTE 2:</t>
  </si>
  <si>
    <t>NOTE 3:</t>
  </si>
  <si>
    <t>NOTE 4:</t>
  </si>
  <si>
    <t>NOTE 5:</t>
  </si>
  <si>
    <t>NOTE 6:</t>
  </si>
  <si>
    <t>NOTE 7:</t>
  </si>
  <si>
    <t>NOTE 8:</t>
  </si>
  <si>
    <t>NOTE 9:</t>
  </si>
  <si>
    <t>NOTE 10:</t>
  </si>
  <si>
    <t>NOTE 11:</t>
  </si>
  <si>
    <t>NOTE 12:</t>
  </si>
  <si>
    <t>NOTE 13:</t>
  </si>
  <si>
    <t>NOTE 14:</t>
  </si>
  <si>
    <t>Test Member SSN: XXX-XX-XXX</t>
  </si>
  <si>
    <t>Initiate Non Emergent Surgery Case</t>
  </si>
  <si>
    <t>This case will approve or deny Non Emergent Surgery Request.</t>
  </si>
  <si>
    <t>BT31NEWF</t>
  </si>
  <si>
    <t>User goes to the Other Cases-&gt;Non Emergent Surgery (NE)-&gt;Start New NE menu option</t>
  </si>
  <si>
    <t>Complete the NE Med Tech tab</t>
  </si>
  <si>
    <t>Enter surgery description in Surgery Type text box (250 character limit)</t>
  </si>
  <si>
    <t>Select Surgery Date (calendar picker, can go in the future)</t>
  </si>
  <si>
    <t>Go to the NE Documents tab</t>
  </si>
  <si>
    <t>Select a diagnosis using the tertiary drop downs (ICD-9)</t>
  </si>
  <si>
    <t>Upload Miscellaneous Documents if needed</t>
  </si>
  <si>
    <t>Select routing option</t>
  </si>
  <si>
    <t>BT31NEPKG</t>
  </si>
  <si>
    <t>NE Package Review</t>
  </si>
  <si>
    <t>Go to the NE Next Action Tab</t>
  </si>
  <si>
    <t>User selects NE case from My Cases</t>
  </si>
  <si>
    <t>User has HQ AFRC Tech access.  
NE case is in HQ AFRC Tech inbox.</t>
  </si>
  <si>
    <t>User goes to the Other Cases-&gt;Non Emergent Surgery (NE)-&gt;My NEs menu option</t>
  </si>
  <si>
    <t>User reviews NE Med Tech tab for Quality Assurance</t>
  </si>
  <si>
    <t>User reviews NE Documents tab for Quality Assurance</t>
  </si>
  <si>
    <t>BT31NEMED</t>
  </si>
  <si>
    <t>NE Medical Review</t>
  </si>
  <si>
    <t>User has Board Medical access.  
NE case is in Board Medical inbox.</t>
  </si>
  <si>
    <t>BT31NEFINAL</t>
  </si>
  <si>
    <t>NE Final Review</t>
  </si>
  <si>
    <t>User reviews NE Board Med tab for Quality Assurance</t>
  </si>
  <si>
    <t>Routing Options:
-Forward to Medical Officer
-RWOA to Medical  Technicial (Comments Required)</t>
  </si>
  <si>
    <t>Email Notification  sent to RMU Med Tech for Completed cases (Approved or Denied)</t>
  </si>
  <si>
    <t>If No, is selected, a message in red should display saying: "Member does not meet eligibility requirement for Non Emergent Surgery Request." Case cannot be initiated.</t>
  </si>
  <si>
    <t>BT31DWWF</t>
  </si>
  <si>
    <t>This case will approve or deny Deployment Waiver.</t>
  </si>
  <si>
    <t>Initiate Deployment Waiver Case</t>
  </si>
  <si>
    <t>User goes to the Other Cases-&gt;Deployment Waiver (DW)-&gt;Start New DW menu option</t>
  </si>
  <si>
    <t>Select Yes or No Radio button for "Simulated Deployment?"</t>
  </si>
  <si>
    <t>Select Yes or No Radio button for "Is Member Eligible IAW AFI 41-210?"</t>
  </si>
  <si>
    <t>Select Medical Officer NE Decision Radio button</t>
  </si>
  <si>
    <t>Select MAJCOM from drop down box</t>
  </si>
  <si>
    <t xml:space="preserve">MAJCOM Options are:
-AFCENT
-CENTCOM
-USAFE
-AFRICOM
-PACAF
-SOUTHCOM
-NORTHCOM
</t>
  </si>
  <si>
    <t>Instead of having "Other" option in MAJCOM, Sys Admin needs to have ability to add MAJCOM as needed</t>
  </si>
  <si>
    <t>Complete the NE Board Med tab</t>
  </si>
  <si>
    <t>Select Deployment Start and End Date (Calendar Pickers; no need for time, just date)</t>
  </si>
  <si>
    <t>Enter Location of Deployment in text box (250 character limit)</t>
  </si>
  <si>
    <t>Enter Line Number in text box (30 varchar, no special characters)</t>
  </si>
  <si>
    <t>Enter Line Remarks in text box (250 character limit)</t>
  </si>
  <si>
    <t>*A note in red font needs to be displayed on this tab stating "Do not include classified information"</t>
  </si>
  <si>
    <t>Complete the DW Med Tech tab</t>
  </si>
  <si>
    <t>Go to the DW Documents tab</t>
  </si>
  <si>
    <t>Go to the DW Next Action Tab</t>
  </si>
  <si>
    <t>BT31DWPKG</t>
  </si>
  <si>
    <t>DW Package Review</t>
  </si>
  <si>
    <t>User has HQ AFRC Tech access.  
DW case is in HQ AFRC Tech inbox.</t>
  </si>
  <si>
    <t>User goes to the Other Cases-&gt;Deployment Waiver (DW)-&gt;My DWs menu option</t>
  </si>
  <si>
    <t>User selects DW case from My Cases</t>
  </si>
  <si>
    <t>User reviews DW Med Tech tab for Quality Assurance</t>
  </si>
  <si>
    <t>User reviews DW Documents tab for Quality Assurance</t>
  </si>
  <si>
    <t>BT31DWMED</t>
  </si>
  <si>
    <t>DW Medical Review</t>
  </si>
  <si>
    <t>User has Board Medical access.  
DW case is in Board Medical inbox.</t>
  </si>
  <si>
    <t>Complete the DW Board Med tab</t>
  </si>
  <si>
    <t>Select Medical Officer DW Decision</t>
  </si>
  <si>
    <t xml:space="preserve">Complete Decision Explanation box </t>
  </si>
  <si>
    <t>Decision Explanation is required regardless of decision chosen</t>
  </si>
  <si>
    <t>Routing Options:
-Forward to HQ AFRC Tech 
-RWOA to HQ AFRC Tech (Comments Required)</t>
  </si>
  <si>
    <t>BT31DWFINAL</t>
  </si>
  <si>
    <t>DW Final Review</t>
  </si>
  <si>
    <t>User reviews DW Board Med tab for Quality Assurance</t>
  </si>
  <si>
    <t xml:space="preserve">Routing Options (#1):
-"Approved (Pending MAJCOM)":  This requires the special tracking exceptions. The case will not move from this step until the source document from the MAJCOM is uploaded.  Then, the routing options change. See Routing Options #2.
-"Denied"
</t>
  </si>
  <si>
    <t>Case Remains at this step until the source document is received from MAJCOM</t>
  </si>
  <si>
    <t>HQ AFRC Tech uploads MAJCOM Source Document Required</t>
  </si>
  <si>
    <t>NOTE 15:</t>
  </si>
  <si>
    <t>Note 16:</t>
  </si>
  <si>
    <t>NOTE 17:</t>
  </si>
  <si>
    <t>NOTE 18:</t>
  </si>
  <si>
    <t xml:space="preserve">
When RWOA to Medical Officer option is selected:
-The case should flow as it did before.  The tracking information should show when the case initially went through this step and if it should come back through again.
</t>
  </si>
  <si>
    <t>NOTE 19:</t>
  </si>
  <si>
    <t>BT31MOWF</t>
  </si>
  <si>
    <t>BT31MOPKG</t>
  </si>
  <si>
    <t>BT31MOMED</t>
  </si>
  <si>
    <t>BT31MOFINAL</t>
  </si>
  <si>
    <t>Initiate Modification Case</t>
  </si>
  <si>
    <t>MO Medical Review</t>
  </si>
  <si>
    <t>MO Final Review</t>
  </si>
  <si>
    <t>This case will approve or deny Modification.</t>
  </si>
  <si>
    <t>User goes to the Other Cases-&gt;Modification (MO)-&gt;Start New MO menu option</t>
  </si>
  <si>
    <t>Med Tech Selects Associated Case or "Admin Mod" from drop down menu</t>
  </si>
  <si>
    <t xml:space="preserve">Med Tech Selects "Case Type" from Drop down menu </t>
  </si>
  <si>
    <t>Select High Tenure Date (HYTD)/MDS Field (Calendar Picker)</t>
  </si>
  <si>
    <t>Select a diagnosis using the ICD-9 tertiary drop down</t>
  </si>
  <si>
    <t>Complete Justification text box (250 character limit)</t>
  </si>
  <si>
    <t>Complete Diagnosis text box (250 character limit)</t>
  </si>
  <si>
    <t xml:space="preserve">Required documents include:
-Supporting Documentation 
</t>
  </si>
  <si>
    <t>Go to the MO Documents tab</t>
  </si>
  <si>
    <t>Go to the MO Next Action Tab</t>
  </si>
  <si>
    <t>User has HQ AFRC Tech access.  
MO case is in HQ AFRC Tech inbox.</t>
  </si>
  <si>
    <t>User goes to the Other Cases-&gt;Modifications (MO)-&gt;My MOs menu option</t>
  </si>
  <si>
    <t>User selects MO case from My Cases</t>
  </si>
  <si>
    <t>User reviews MO Med Tech tab for Quality Assurance</t>
  </si>
  <si>
    <t>User reviews MO Documents tab for Quality Assurance</t>
  </si>
  <si>
    <t>User has Board Medical access.  
MO case is in Board Medical inbox.</t>
  </si>
  <si>
    <t>Complete the MO Board Med tab</t>
  </si>
  <si>
    <t>Select Medical Officer MO Decision</t>
  </si>
  <si>
    <t>Complete Decision Explanation box (250 Characters)</t>
  </si>
  <si>
    <t>User reviews MO Board Med tab for Quality Assurance</t>
  </si>
  <si>
    <t>Email Notification  sent to RMU Med Tech for Completed cases (Approved or Denied)
*Email notification needs to be sent to RMU Med Tech with purview even if HQ AFRC initiates case</t>
  </si>
  <si>
    <t>HQ AFRC does not need tab</t>
  </si>
  <si>
    <t>User has HQ AFRC Tech access.</t>
  </si>
  <si>
    <t>Complete Med Tech Tab</t>
  </si>
  <si>
    <t xml:space="preserve">MO Package Review </t>
  </si>
  <si>
    <t>*This step is only included if Med Tech initiates case or if case is sent RWOA to Med Tech.</t>
  </si>
  <si>
    <t>NOTE 16:</t>
  </si>
  <si>
    <t>Note 19:</t>
  </si>
  <si>
    <t>NOTE 20:</t>
  </si>
  <si>
    <t>NOTE 21:</t>
  </si>
  <si>
    <t>BT31CIWF</t>
  </si>
  <si>
    <t>CI Initiate</t>
  </si>
  <si>
    <t>This case will track Congressionals.</t>
  </si>
  <si>
    <t>Complete HQ AFRC Tech Tab</t>
  </si>
  <si>
    <t>Upload required documents if necessary</t>
  </si>
  <si>
    <t>Enter TMT number and dates</t>
  </si>
  <si>
    <t>Go to the CI Next Action Tab</t>
  </si>
  <si>
    <t>Routing Options:
-Forward to Medical Officer
-Cancel Case</t>
  </si>
  <si>
    <t>BT31CIMED</t>
  </si>
  <si>
    <t>CI Medical Review</t>
  </si>
  <si>
    <t>CI Final Review</t>
  </si>
  <si>
    <t>BT31CIFINAL</t>
  </si>
  <si>
    <t>User has Board Medical access.  
CI case is in Board Medical inbox.</t>
  </si>
  <si>
    <t>User goes to the Other Cases-&gt;Congressionals (CI)-&gt;My CIs menu option</t>
  </si>
  <si>
    <t>User selects CI case from My Cases</t>
  </si>
  <si>
    <t>Medical Officer Reviews case</t>
  </si>
  <si>
    <t>Routing Options:
-Forward to HQ AFRC Tech
-RWOA to HQ AFRC Tech</t>
  </si>
  <si>
    <t>User has HQ AFRC Tech access.  
CI case is in HQ AFRC Tech inbox.</t>
  </si>
  <si>
    <t>This case will track Board for Correction on Military Records.</t>
  </si>
  <si>
    <t>User goes to the Other Cases-&gt;Board for Corrections on Military Records (BCMR)-&gt;Start New BCMR menu option</t>
  </si>
  <si>
    <t>BT31BCMRWF</t>
  </si>
  <si>
    <t>BCMR Initiate</t>
  </si>
  <si>
    <t>Go to the BCMR Next Action Tab</t>
  </si>
  <si>
    <t>BT31BCMRMED</t>
  </si>
  <si>
    <t>BCMR Medical Review</t>
  </si>
  <si>
    <t>User has Board Medical access.  
BCMR case is in Board Medical inbox.</t>
  </si>
  <si>
    <t>User goes to the Other Cases-&gt;Board for Corrections on Military Records (BCMR)-&gt;My BCMRs menu option</t>
  </si>
  <si>
    <t>BT31BCMRFINAL</t>
  </si>
  <si>
    <t>BCMR Final Review</t>
  </si>
  <si>
    <t>User has HQ AFRC Tech access.  
BCMR case is in HQ AFRC Tech inbox.</t>
  </si>
  <si>
    <t>User selects BCMR case from My Cases</t>
  </si>
  <si>
    <t>Processes Deployment Waiver Request Cases</t>
  </si>
  <si>
    <t>Processes Non Emergent Surgery Request Cases</t>
  </si>
  <si>
    <t>Processes Modification Request Cases</t>
  </si>
  <si>
    <t>Tracks Board for Military Corrections on Records Processes</t>
  </si>
  <si>
    <t>Tracks Board for Congressionals Processes</t>
  </si>
  <si>
    <t>Initiate Case History Report</t>
  </si>
  <si>
    <t>To initiate a Case History Search</t>
  </si>
  <si>
    <t>User goes to the Reports-&gt;Case History Report</t>
  </si>
  <si>
    <t>Click the Search Case button</t>
  </si>
  <si>
    <t xml:space="preserve">Note 1: </t>
  </si>
  <si>
    <t xml:space="preserve"> Case History /AD HOC Full Search Capability</t>
  </si>
  <si>
    <t>BT44CHFullSearch</t>
  </si>
  <si>
    <t>BT44AHFullSearch</t>
  </si>
  <si>
    <t>To initiate a Ad Hoc Search</t>
  </si>
  <si>
    <t>User has ALOD access.</t>
  </si>
  <si>
    <t>User goes to the Reports-&gt;Ad Hoc Reporting</t>
  </si>
  <si>
    <t>*After criteria is selected, page will refresh to specify additional information pertaining criteria selected</t>
  </si>
  <si>
    <t xml:space="preserve">Add Criteria from drop down (i.e. Case Type) </t>
  </si>
  <si>
    <t>Click Add Criteria button</t>
  </si>
  <si>
    <t>Complete value text box/drop down/radio selection</t>
  </si>
  <si>
    <t>*After criteria is selected, page will refresh to display criteria selected</t>
  </si>
  <si>
    <t>Select Output Fields (i.e. Date Created)</t>
  </si>
  <si>
    <t>Select Operator Type (i.e. And, Or)</t>
  </si>
  <si>
    <t>Sort Order of Selected Criteria, if desired</t>
  </si>
  <si>
    <t>*Output is selected by moving entries from Available Fields box to Selected Fields box (Items can be moved back and forth between available and selected)</t>
  </si>
  <si>
    <t>*Output is selected by moving entries from Selected Fields box to Sort Order box (Items can be moved back and forth between Selected and Sort Order)</t>
  </si>
  <si>
    <t>Select Output Formai (i.e. browser, excel)</t>
  </si>
  <si>
    <t>*Report will open as a pop up in a new window</t>
  </si>
  <si>
    <t>Click Run Report Button</t>
  </si>
  <si>
    <t>Select Saved Report from drop down (if reports have been saved)</t>
  </si>
  <si>
    <t>Click Load Report Button (After selecting a saved report to load)</t>
  </si>
  <si>
    <t>Click Delete Report Button (After selecting saved report to delete)</t>
  </si>
  <si>
    <t xml:space="preserve">Note 2: </t>
  </si>
  <si>
    <t xml:space="preserve">Note 3: </t>
  </si>
  <si>
    <t xml:space="preserve">Note 4: </t>
  </si>
  <si>
    <t xml:space="preserve">Note 5: </t>
  </si>
  <si>
    <t>Initiate Ad Hoc Report</t>
  </si>
  <si>
    <t>Click Save Button Report if desired (To save current report)</t>
  </si>
  <si>
    <t>User goes to the Other Cases-&gt;Congressionals (CI)-&gt;Start New Congressional menu option</t>
  </si>
  <si>
    <t>Upload required documents if necessary on the CI Documents tab</t>
  </si>
  <si>
    <t xml:space="preserve">Routing Options:
-Complete
-Cancel Case
-RWOA to Medical Officer 
</t>
  </si>
  <si>
    <t>User has Medical Technician or HQ AFRC Technician access.</t>
  </si>
  <si>
    <t>Click the Lookup Button</t>
  </si>
  <si>
    <t>Required documents include:
-Narrative Summary (to include prognosis)
-Non Emergent Surgery Request Memorandum
-Current Orders
- Miscellaneous (optional)</t>
  </si>
  <si>
    <t>Routing Options:
-Forward to HQ AFRC/SGP
-Cancel Non Emergent Surgery Request</t>
  </si>
  <si>
    <t>Click on the Case Comments tab</t>
  </si>
  <si>
    <t>Check the Add Comment checkbox</t>
  </si>
  <si>
    <t>Enter your comment in the Add Comment box</t>
  </si>
  <si>
    <t>Click the OK button</t>
  </si>
  <si>
    <t>Note 1:</t>
  </si>
  <si>
    <t>Comments can be sorted by checking the Newest on Top checkbox</t>
  </si>
  <si>
    <t>Note 2:</t>
  </si>
  <si>
    <t>Wing level users can only view wing level comments. Board users can see all comments.</t>
  </si>
  <si>
    <t>If user has multiple roles continue at step 7. If user has a single role, continue at step 10.</t>
  </si>
  <si>
    <t>Options are:
-Approve Non-Emergent Surgery Request
-Deny Non-Emergent Surgery Request</t>
  </si>
  <si>
    <t>Complete Decision Explanation box (required)</t>
  </si>
  <si>
    <t>Routing Options:
-Forward to HQ AFRC Tech
-RWOA to HQ AFRC Tech (Comments Required)</t>
  </si>
  <si>
    <t>Routing Options:
-Complete Case (Approved) if case is Approved
-Complete Case (Denied) if case is Denied
-RWOA to Medical Officer (Comments Required)
-RWOA to Med Tech (Comments Required)</t>
  </si>
  <si>
    <t>If yes is selected, the Special Instructions (SpINs) is a required document category:</t>
  </si>
  <si>
    <t>Required documents include:
-Narrative Summary 
-Current Return to Duty Memorandum
-AF 422/469
-Supporting Medical Documents
-Medical Special Instructions (SpINs)(Only Required if Simulated Deployment question answered yes on the initiation screen)
-Checklist (Required only if "CENTCOM" or "SOUTHCOM" chosen from MAJCOM drop down on the initiation screen)
-Gaining MAJCOM Disposition (required on Final Review step once case approved (pending MAJCOM) option selected
-Miscellaneous</t>
  </si>
  <si>
    <t>Routing Options:
-Forward to AFRC/SGP
-Cancel Deployment Waiver Case</t>
  </si>
  <si>
    <t>Routing Options:
-Forward to Medical Officer
-RWOA to Medical  Technician (Comments Required)</t>
  </si>
  <si>
    <t>Options are:
-Approve Deployment Waiver
-Deny Deployment Waiver</t>
  </si>
  <si>
    <t>Routing Options (#2):
-Approved - Case is closed
-Denied  - Case is completed
-RWOA to Medical Officer (See Note 18)
-RWOA to Med Tech (comments required)</t>
  </si>
  <si>
    <t>Med Tech selects an existing case or "Admin Mod" from the drop down list
*ALOD displays all completed specialty cases (Approved or Disapproved) for the member, not including LOD cases in the Associated Case drop down</t>
  </si>
  <si>
    <t>Case Type Selection Choices Are:
-Pwaiver, WWD, MEB, IRILO, NE, PEPP, DW, MH, INCAP., ect.</t>
  </si>
  <si>
    <t>Routing Options (if Medical Technician Initiated case):
-Forward to AFRC/SGP
-Cancel Modification
Routing Options (if HQ AFRC Technician Initiated case):
-Forward to Medical Officer
-Cancel Modification</t>
  </si>
  <si>
    <t>Note 14:</t>
  </si>
  <si>
    <t>HQ AFRC Technician should be able to modify the ICD-9 selection on the MO Med Tech tab</t>
  </si>
  <si>
    <t>Options are:
-Approve Modification
-Deny Modification</t>
  </si>
  <si>
    <t>Routing Options:
-Complete (Approved or Denied)
-RWOA to Medical Officer (Comments Required)
-RWOA to Med Tech (Comments Required)</t>
  </si>
  <si>
    <t>User has Med Tech, Med Officer, Board, or Sys Admin access.</t>
  </si>
  <si>
    <t>Tool tip should appear when user hovers over AFI 41-210 that will display "IAW AFI 41-210 para.4.75 Is the member within final six months of service?"</t>
  </si>
  <si>
    <t>Applicable memos/letters for the WWD/IRILO/MEB workflows are generated when necessary</t>
  </si>
  <si>
    <t>BT31RTDWD</t>
  </si>
  <si>
    <t>This case will generate one of the Return to Duty memos/letters.</t>
  </si>
  <si>
    <t>Test Member SSN: 010-00-0002</t>
  </si>
  <si>
    <t>User goes to the Other Cases-&gt;Worldwide Duty (WWD)-&gt;Start New WWD menu option</t>
  </si>
  <si>
    <t>Select Associated LOD: No Associated LOD</t>
  </si>
  <si>
    <t>Select Associated WWD: No Associated WWD</t>
  </si>
  <si>
    <t>Complete the WD Med Tech tab</t>
  </si>
  <si>
    <t>Select a diagnosis using the tertiary drop downs</t>
  </si>
  <si>
    <t>Enter Diagnosis Text</t>
  </si>
  <si>
    <t>Enter Certified Mail (PS 3811) Request Date</t>
  </si>
  <si>
    <t>Enter PS 3811 Signature Date</t>
  </si>
  <si>
    <t>Select Yes for PS 3811 (uploaded)</t>
  </si>
  <si>
    <t>Enter First Class Mailing Date</t>
  </si>
  <si>
    <t>Select No for Attempts to Contact Member included in Cover Letter</t>
  </si>
  <si>
    <t>Select Yes for Copy of Letter to member &amp; Attachment List (uploaded)</t>
  </si>
  <si>
    <t>Go to the WD Documents tab</t>
  </si>
  <si>
    <t>Go to the WD Next Action Tab</t>
  </si>
  <si>
    <t>Select Forward to AFRC/SGP routing option</t>
  </si>
  <si>
    <t>BT31WDPKG</t>
  </si>
  <si>
    <t>WD Package Review</t>
  </si>
  <si>
    <t>User has HQ AFRC Tech access.  
WWD case is in HQ AFRC Tech inbox.</t>
  </si>
  <si>
    <t>User goes to the Other Cases-&gt;Worldwide Duty (WWD)-&gt;My WWDs menu option</t>
  </si>
  <si>
    <t>User selects WWD case from My Cases</t>
  </si>
  <si>
    <t>User reviews WD Med Tech tab for Quality Assurance</t>
  </si>
  <si>
    <t>User reviews WD Documents tab for Quality Assurance</t>
  </si>
  <si>
    <t>Select Forward to Medical Officer option</t>
  </si>
  <si>
    <t>BT31WDMED</t>
  </si>
  <si>
    <t>WD Medical Review</t>
  </si>
  <si>
    <t>User has Board Medical access.  
WWD case is in Board Medical inbox.</t>
  </si>
  <si>
    <t>Select Qualify for Return to Duty option</t>
  </si>
  <si>
    <t>Complete Decision Explanation if Desired</t>
  </si>
  <si>
    <t>Complete DQ Paragraph if Disqualify</t>
  </si>
  <si>
    <t>Select Expiration/Renewal Date</t>
  </si>
  <si>
    <t>Select No Limitations for Assignment Limitation Code</t>
  </si>
  <si>
    <t>Select a Return to Duty Memo/Letter option</t>
  </si>
  <si>
    <t>There are four possible Return to Duty memos/letters:
- WWD 4 (Non ALC-C)
- WWD 4-2 RTD
- WWD RTD SAF
- WWD RTD SG</t>
  </si>
  <si>
    <t>Select Forward to HQ AFRC Technicial routing option</t>
  </si>
  <si>
    <t>BT31WDFINAL</t>
  </si>
  <si>
    <t>WD Final Review</t>
  </si>
  <si>
    <t>User reviews WD Board Med tab for Quality Assurance</t>
  </si>
  <si>
    <t>User selects WD Documents tab to generate WWD 4 (Non ALC-C) Letter/Memo</t>
  </si>
  <si>
    <t>User clicks on green arrow under letter/memo heading</t>
  </si>
  <si>
    <t>User verifies Return to Duty memo/letter comes up in dialog box</t>
  </si>
  <si>
    <t>If WWD 4 (Non ALC-C) was created, verify that:
- unit name merged for RMU
- member's full name &amp; SSN is merged
- expiration date from Board Medical tab is listed in paragraph 3
- Board Medical Officer signature shown in signature block</t>
  </si>
  <si>
    <t>If WWD 4-2 RTD was created, verify that:
- unit name merged for RMU
- member's full name &amp; SSN is merged
- Board Medical Officer signature shown in signature block</t>
  </si>
  <si>
    <t>If WWD RTD SAF was created, verify that:
- Unit name merged for Unit
- member's full name and SSN merged
- chosen C code is merged in first paragraph
- chosen C code is merged in paragraph 2a
- chosen C code paragraph is displayed in paragraph 2c
- expiration date from Board Medical tab is listed in paragraph 5
- Board Medical Officer signature shown in signature block</t>
  </si>
  <si>
    <t>If WWD RTD SG was created, verify that:
- Unit name merged for Unit
- member's full name and SSN merged
- chosen C code is merged in first paragraph
- chosen C code is merged in paragraph 2a
- chosen C code paragraph is displayed in paragraph 2c
- expiration date from Board Medical tab is listed in paragraph 5
- Board Medical Officer signature shown in signature block</t>
  </si>
  <si>
    <t>User selects Save and Close</t>
  </si>
  <si>
    <t>Verify newly created memo is listed on Documents Tab</t>
  </si>
  <si>
    <t>Select Close Case Approved routing option</t>
  </si>
  <si>
    <t>BT31WDAdmin</t>
  </si>
  <si>
    <t>Initiate WWD Admin Case</t>
  </si>
  <si>
    <t>This case will generate the Admin LOD and MEB Disqualification Memo/Letter</t>
  </si>
  <si>
    <t>Refer to CVT BT31NewWD</t>
  </si>
  <si>
    <t>BT31WDAdminPKG</t>
  </si>
  <si>
    <t>WD Package Admin Review</t>
  </si>
  <si>
    <t>Refer to CVT BT31WDPKG</t>
  </si>
  <si>
    <t>BT31WDAdminMED</t>
  </si>
  <si>
    <t>WD Medical Admin Review</t>
  </si>
  <si>
    <t>Select Admin LOD option</t>
  </si>
  <si>
    <t>Enter Decision Explanation</t>
  </si>
  <si>
    <t>Select the WWD Admin LOD LOD AFPC Memo/Letter option</t>
  </si>
  <si>
    <t>Select RWOA to HQ AFRC Technicial routing option</t>
  </si>
  <si>
    <t>Select Other for Reason for return</t>
  </si>
  <si>
    <t>Type "Needs to be a full MEB" in RWOA comments</t>
  </si>
  <si>
    <t>BT31WDAdminFINAL</t>
  </si>
  <si>
    <t>WD Final Admin Review</t>
  </si>
  <si>
    <t>User selects WD Documents tab to generate WWD Admin LOD and MEB Disqualification Letter/Memo</t>
  </si>
  <si>
    <t>User clicks on first green arrow to merge the WWD Admin LOD AFPC letter</t>
  </si>
  <si>
    <t>User verifies WWD Admin LOD comes up in dialog box</t>
  </si>
  <si>
    <t>User clicks on second green arrow to merge the MEB Disqualification Letter/Memo</t>
  </si>
  <si>
    <t>User verifies MEB Disqualification Letter/Memo comes up in dialog box</t>
  </si>
  <si>
    <t>For the WWD Admin LOD memo/letter, verify that:
- Current date is merged for Date
- member's full name,rank,  &amp; SSN is merged
- Diagnosis from free text on WD Board Med tab is merged for Diagnosis
- Board Medical Officer signature shown in signature block</t>
  </si>
  <si>
    <t>For the MEB Disqualification memo/letter, verify that:
- Current date is merged for Date
- unit name merged for RMU name
- member's full name,rank,  &amp; SSN is merged
- Board Medical Officer signature shown in signature block                                -Active Duty Medical Treatment Facility is merged for AD MTF</t>
  </si>
  <si>
    <t>Select RWOA Medical Technicial routing option</t>
  </si>
  <si>
    <t>Select Cancel Case as Reason for return</t>
  </si>
  <si>
    <t>BT31WDDQ</t>
  </si>
  <si>
    <t>Initiate WWD DQ Case</t>
  </si>
  <si>
    <t>This case will generate the WWD Disqualification Memos/Letters</t>
  </si>
  <si>
    <t>Refer to CVT BT31RTDWD</t>
  </si>
  <si>
    <t>BT31WDDQPKG</t>
  </si>
  <si>
    <t>WD Package DQ Review</t>
  </si>
  <si>
    <t>BT31WDDQMED</t>
  </si>
  <si>
    <t>WD Medical DQ Review</t>
  </si>
  <si>
    <t>Modify diagnosis using the tertiary drop downs, if needed</t>
  </si>
  <si>
    <t>Modify Diagnosis Text, if needed</t>
  </si>
  <si>
    <t>Select Disqualify option</t>
  </si>
  <si>
    <t>Enter DQ Paragraph</t>
  </si>
  <si>
    <t>Select the WWD Disqualification Memo/Letter option</t>
  </si>
  <si>
    <t>BT31WDDQFINAL</t>
  </si>
  <si>
    <t>WD Final DQ Review</t>
  </si>
  <si>
    <t>User selects WD Documents tab to generate WWD Disqualification Letters/Memos</t>
  </si>
  <si>
    <t>User verifies WWD Disqualification memos/letters comes up in dialog box</t>
  </si>
  <si>
    <t>For the WWD Disqualification memo/letter, verify that:                                     - The memo/letter is 2 pages
- Current date is merged for Date (Both Pages)                                                                                  
- member's full name,rank,  &amp; SSN is merged (Both Pages)
- Paragraph Info is merged from the Disqualification paragraph                          - Diagnosis from free text on WD Board Med tab is merged for Diagnosis
- Board Medical Officer signature shown in signature block (Both Pages)   - Unit is merged for unit</t>
  </si>
  <si>
    <t>Verify newly created memos are listed on Documents Tab</t>
  </si>
  <si>
    <t>Select Case Disqualified (Pending Adjudication) routing option</t>
  </si>
  <si>
    <t>BT31WDHIV</t>
  </si>
  <si>
    <t>Initiate WWD HIV Case</t>
  </si>
  <si>
    <t>This case will generate the WWD HIV Memos/Letters</t>
  </si>
  <si>
    <t>BT31WDHIVPKG</t>
  </si>
  <si>
    <t>WD Package HIV Review</t>
  </si>
  <si>
    <t>BT31WD HIVMED</t>
  </si>
  <si>
    <t>WD Medical HIV Review</t>
  </si>
  <si>
    <t>Select a HIV diagnosis using the tertiary drop downs</t>
  </si>
  <si>
    <t>Enter HIV Diagnosis Text</t>
  </si>
  <si>
    <t>Select C1, C2, or C3 for Assignment Limitation Code</t>
  </si>
  <si>
    <t>Select the WWD HIV Memo/Letter option</t>
  </si>
  <si>
    <t>BT31WDHIVFINAL</t>
  </si>
  <si>
    <t>WD Final HIV Review</t>
  </si>
  <si>
    <t>User selects WD Documents tab to generate WWD HIV Letters/Memos</t>
  </si>
  <si>
    <t>User verifies WWD HIV memos/letters comes up in dialog box</t>
  </si>
  <si>
    <t xml:space="preserve">For the WWD HIV memo/letter, verify that:                   
- Unit is merged for unit
- Current date is merged for Date                                                                                  
- member's full name,rank,  &amp; SSN is merged 
- Comments are merged from the ALC Code selected (paragraphs 1, 2a, 2c)
- Date is merged from expiration date
- Board Medical Officer signature shown in signature block   </t>
  </si>
  <si>
    <t>Select Case Closed Approved routing option - Unit is merged for unit</t>
  </si>
  <si>
    <t xml:space="preserve"> </t>
  </si>
  <si>
    <t>Go to the IR Next Action Tab</t>
  </si>
  <si>
    <t xml:space="preserve">For the IRILO HIV memo/letter, verify that:                   
- Unit is merged for unit
- Current date is merged for Date                                                                                  
- member's full name,rank,  &amp; SSN is merged 
- Comments are merged from the ALC Code selected (paragraphs 1, 2a, 2c)
- Date is merged from expiration date
- Board Medical Officer signature shown in signature block   </t>
  </si>
  <si>
    <t>User verifies IRILO HIV memos/letters comes up in dialog box</t>
  </si>
  <si>
    <t>User selects IR Documents tab to generate IRILO HIV Letters/Memos</t>
  </si>
  <si>
    <t>User reviews IR Board Med tab for Quality Assurance</t>
  </si>
  <si>
    <t>User has HQ AFRC Tech access.  
IRILO case is in HQ AFRC Tech inbox.</t>
  </si>
  <si>
    <t>IRILO Final HIV Review</t>
  </si>
  <si>
    <t>BT31IRHIVFINAL</t>
  </si>
  <si>
    <t>Go to the IRILO Next Action Tab</t>
  </si>
  <si>
    <t>Select the IRILO HIV Memo/Letter option</t>
  </si>
  <si>
    <t>User selects IRILO case from My Cases</t>
  </si>
  <si>
    <t>User goes to the Other Cases-&gt;Initial Review In Lieu Of(IRILO)-&gt;My IRILOs menu option</t>
  </si>
  <si>
    <t>User has Board Medical access.  
IRILO case is in Board Medical inbox.</t>
  </si>
  <si>
    <t>IRILO Medical HIV Review</t>
  </si>
  <si>
    <t>BT31IRHIVMED</t>
  </si>
  <si>
    <t>Refer to CVT BT31IRPKG</t>
  </si>
  <si>
    <t>IRILO Package HIV Review</t>
  </si>
  <si>
    <t>BT31IRHIVPKG</t>
  </si>
  <si>
    <t>Refer to CVT BT31NEWIR</t>
  </si>
  <si>
    <t>This case will generate the IRILO HIV Memos/Letters</t>
  </si>
  <si>
    <t>Initiate IRILO HIV Case</t>
  </si>
  <si>
    <t>BT31IRHIV</t>
  </si>
  <si>
    <t>IRILO Final DQ Review</t>
  </si>
  <si>
    <t>BT31IRDQFINAL</t>
  </si>
  <si>
    <t>Enter Decision Explanation, if needed</t>
  </si>
  <si>
    <t>IRILO Medical DQ Review</t>
  </si>
  <si>
    <t>BT31IRDQMED</t>
  </si>
  <si>
    <t>IRILO Package DQ Review</t>
  </si>
  <si>
    <t>BT31IRDQPKG</t>
  </si>
  <si>
    <t>This case will generate the IRILO Disqualification Memos/Letters</t>
  </si>
  <si>
    <t>Initiate IRILO DQ Case</t>
  </si>
  <si>
    <t>BT31IRDQ</t>
  </si>
  <si>
    <t>For the MEB Disqualification memo/letter, verify that:
- Current date is merged for Date
- unit name merged for RMU name
- member's full name,rank,  &amp; SSN is merged
- Board Medical Officer signature shown in signature block
-Active Duty Medical Treatment Facility is merged for AD MTF</t>
  </si>
  <si>
    <t>For the IRILO Admin LOD memo/letter, verify that:
- Current date is merged for Date
- member's full name,rank,  &amp; SSN is merged
- Diagnosis from free text on WD Board Med tab is merged for Diagnosis
- Board Medical Officer signature shown in signature block</t>
  </si>
  <si>
    <t>IRILO Final Admin Review</t>
  </si>
  <si>
    <t>BT31IRAdminFINAL</t>
  </si>
  <si>
    <t>Select the IRILO Admin LOD AFPC Memo/Letter option</t>
  </si>
  <si>
    <t>Enter Diagnosis Text, if needed</t>
  </si>
  <si>
    <t>Select a diagnosis using the tertiary drop downs, if needed</t>
  </si>
  <si>
    <t>IRILO Medical Admin Review</t>
  </si>
  <si>
    <t>BT31IRAdminMED</t>
  </si>
  <si>
    <t>IRILO Package Admin Review</t>
  </si>
  <si>
    <t>BT31IRAdminPKG</t>
  </si>
  <si>
    <t>Refer to CVT BT31NewIR</t>
  </si>
  <si>
    <t>Initiate IRILO Admin Case</t>
  </si>
  <si>
    <t>BT31IRAdmin</t>
  </si>
  <si>
    <t>If IRILO RTD SG was created, verify that:
- Unit name merged for Unit
-current date is merged for Date
- member's rank, full name and SSN merged
- chosen C code is merged in first paragraph
- chosen C code is merged in paragraph 2a
- chosen C code paragraph is displayed in paragraph 2c
- expiration date from Board Medical tab is listed in paragraph 5
- Board Medical Officer signature shown in signature block</t>
  </si>
  <si>
    <t>If IRILO RTD SAF was created, verify that:
- Unit name merged for Unit
-current date is merged for Date
- member's rank, full name and SSN merged
- chosen C code is merged in first paragraph
- chosen C code is merged in paragraph 2a
- chosen C code paragraph is displayed in paragraph 2c
- expiration date from Board Medical tab is listed in paragraph 5
- Board Medical Officer signature shown in signature block</t>
  </si>
  <si>
    <t>If IRILO 4-2 RTD was created, verify that:
- unit name merged for RMU
-current date is merged for Date
- member's rank, full name &amp; SSN is merged
- Board Medical Officer signature shown in signature block</t>
  </si>
  <si>
    <t>If IRILO 4 (Non ALC-C) was created, verify that:
- unit name merged for RMU
-current date is merged for Date
- member's rank, full name &amp; SSN is merged
- expiration date from Board Medical tab is listed in paragraph 3
- Board Medical Officer signature shown in signature block</t>
  </si>
  <si>
    <t>User selects IR Documents tab to generate IRILO Letter/Memo</t>
  </si>
  <si>
    <t>Review IR Med Off tab for quality assurance</t>
  </si>
  <si>
    <t>Review IR  Med Tech tab for quality assurance</t>
  </si>
  <si>
    <t>IRILO Final Review</t>
  </si>
  <si>
    <t>BT31IRFINAL</t>
  </si>
  <si>
    <t>Select Forward to HQ AFRC Tech (Final Review) option</t>
  </si>
  <si>
    <t xml:space="preserve">There are four possible Return to Duty memos/letters:
-IRILO 4 (Non ALC-C)
-IRILO 4-2 RTD
-IRILO RTD SAF
-IRILO RTD SG
</t>
  </si>
  <si>
    <t>Note 3:</t>
  </si>
  <si>
    <t>Select a Return to Duty Memo/Letter</t>
  </si>
  <si>
    <t>Select Assignment Limitation</t>
  </si>
  <si>
    <t>Select Return to Duty Date</t>
  </si>
  <si>
    <t>Enter DQ Paragraph, if needed</t>
  </si>
  <si>
    <t>Select Qualify for Return to Duty</t>
  </si>
  <si>
    <t xml:space="preserve">Go to the IR Med Off tab </t>
  </si>
  <si>
    <t>IRILO Board Medical Review</t>
  </si>
  <si>
    <t>BT31IRMED</t>
  </si>
  <si>
    <t>User reviews IR Documents tab for Quality Assurance</t>
  </si>
  <si>
    <t>User reviews IR Med Tech tab for Quality Assurance</t>
  </si>
  <si>
    <t>IRILO Package Review</t>
  </si>
  <si>
    <t>BT31IRPKG</t>
  </si>
  <si>
    <t>Select Forward to HQ AFRC Technician routing option</t>
  </si>
  <si>
    <t>Go to the IR Documents tab</t>
  </si>
  <si>
    <t>Enter Medications/Dosage, if needed</t>
  </si>
  <si>
    <t>Enter Treatment, if needed</t>
  </si>
  <si>
    <t>Enter Prognosis, if needed</t>
  </si>
  <si>
    <t>Select DX interferes with in-garrison duties, if needed</t>
  </si>
  <si>
    <t>Enter Diagnosis, if needed</t>
  </si>
  <si>
    <t>Select DAWG Recommendation, if needed</t>
  </si>
  <si>
    <t>Select Recommended Follow-up Interval, if needed</t>
  </si>
  <si>
    <t>Select Risk for Sudden Incapacitation, if needed</t>
  </si>
  <si>
    <t>Enter Hospitalizations (Details), if needed</t>
  </si>
  <si>
    <t>Select Hospitalizations, if needed</t>
  </si>
  <si>
    <t>Enter ER or Urgent Care Visits(Details), if needed</t>
  </si>
  <si>
    <t>Select ER or Urgent Care Visits, if needed</t>
  </si>
  <si>
    <t>Select Specialist required for Management, if needed</t>
  </si>
  <si>
    <t>Enter Missed Work Days, if needed</t>
  </si>
  <si>
    <t>Enter BMI, if needed</t>
  </si>
  <si>
    <t>Select Years Satisfactory Service</t>
  </si>
  <si>
    <t>Select IRILO Date</t>
  </si>
  <si>
    <t>Complete the IR Med Tech tab</t>
  </si>
  <si>
    <t>User goes to the Other Cases-&gt;Initial Review In Lieu Of (IRILO)-&gt;Start New IRILO menu option</t>
  </si>
  <si>
    <t>This case will generate one of the IRILO Return to Duty memos/letters.</t>
  </si>
  <si>
    <t>Initiate IRILO Return to Duty (RTD) Case</t>
  </si>
  <si>
    <t>BT31NEWIR</t>
  </si>
  <si>
    <t>Go to the MB Next Action Tab</t>
  </si>
  <si>
    <t xml:space="preserve">If MEB DQ AGR was created, verify that:
-active duty medical treatment facility merged for AD MTF
- current date is merged for Date
- member's rank, name, &amp; SSN are merged
- Board Medical Officer signature shown in signature block
</t>
  </si>
  <si>
    <t>If MEB DQ was created, verify that:
- unit name merged for RMU
- current date is merged for Date
- member's rank, name, &amp; SSN are merged
- Board Medical Officer signature shown in signature block
-active duty medical treatment facility merged for AD MTF</t>
  </si>
  <si>
    <t>User selects MB Documents tab to generate MEB Letter/Memo</t>
  </si>
  <si>
    <t>Review MB Med Off tab for quality assurance</t>
  </si>
  <si>
    <t>Review MB HQ AFRC tab for quality assurance</t>
  </si>
  <si>
    <t>User selects MEB case from My Cases</t>
  </si>
  <si>
    <t>User goes to the Other Cases-&gt;Medical Evaluation Board (MEB)-&gt;My MEBs menu option</t>
  </si>
  <si>
    <t>MEB Final Review</t>
  </si>
  <si>
    <t>BT31MBDQFINAL</t>
  </si>
  <si>
    <t>There are two possible MEB DQ memos/letters:
-MEB DQ
-MEB DQ AGR</t>
  </si>
  <si>
    <t>Select Return to Duty</t>
  </si>
  <si>
    <t>Select Concur with DAWG Recommendation</t>
  </si>
  <si>
    <t xml:space="preserve">Go to the MB Med Off tab </t>
  </si>
  <si>
    <t>User has Board Medical access.  
MEB case is in Board Medical inbox.</t>
  </si>
  <si>
    <t>MEB DQ Board Medical Review</t>
  </si>
  <si>
    <t>BT31MBDQMED</t>
  </si>
  <si>
    <t>Select Forward to Medical Officer routing option</t>
  </si>
  <si>
    <t>Go to the MB Documents tab</t>
  </si>
  <si>
    <t>Enter Forward Date</t>
  </si>
  <si>
    <t>Enter Effective Date</t>
  </si>
  <si>
    <t>Enter Return to Duty Date</t>
  </si>
  <si>
    <t>Enter Expiration/Renewal Date</t>
  </si>
  <si>
    <t>Select Approving Authority</t>
  </si>
  <si>
    <t>Enter Assignment Limitation</t>
  </si>
  <si>
    <t>Enter DAWG Recommendation</t>
  </si>
  <si>
    <t>Select Member Status</t>
  </si>
  <si>
    <t>Select RMU Name</t>
  </si>
  <si>
    <t>Select Med Group Name</t>
  </si>
  <si>
    <t>Complete the MB HQ AFRC Tech tab</t>
  </si>
  <si>
    <t>Select Associated LOD</t>
  </si>
  <si>
    <t>User goes to the Other Cases-&gt;Medical Evaluation Board (MEB)-&gt;Start New MEB menu option</t>
  </si>
  <si>
    <t>User has HQ AFRC Technician access.</t>
  </si>
  <si>
    <t>This case will generate one of the MEB Return to Duty memos/letters.</t>
  </si>
  <si>
    <t>Initiate MEB DQ Case</t>
  </si>
  <si>
    <t>BT31MBDQ</t>
  </si>
  <si>
    <t>If MEB RTD SG was created, verify that:
-active duty medical treatment facility merged for AD MTF
- current date is merged for Date
- member's rank, name, &amp; SSN are merged
- chosen C code is merged in first paragraph
- chosen C code is merged in paragraph 2a
- chosen C code paragraph is displayed in paragraph 2b
- expiration date from Board Medical tab is listed in paragraph 5
- Unit name merged for RMU on page 2
- Board Medical Officer signature shown in signature block</t>
  </si>
  <si>
    <t>If MEB RTD SAF was created, verify that:
-active duty medical treatment facility merged for AD MTF
- current date is merged for Date
- member's rank, name, &amp; SSN are merged
- chosen C code is merged in first paragraph
- chosen C code is merged in paragraph 2a
- chosen C code paragraph is displayed in paragraph 2b
- expiration date from Board Medical tab is listed in paragraph 5
- Unit name merged for RMU on page 2
- Board Medical Officer signature shown in signature block</t>
  </si>
  <si>
    <t>Form formatting issues:
- after merge, address not aligned with "HQ" in address block
-space between line 2a.and additional comments 
-indent additional comments under 2a. and 2b.
-space between line 3 and line a 
-indent lines 3a. - 3e.
-RILO Date Format should be: DD-MONTH-YYYY
- after merge, HQ AFRC Tech name is showing in signature block and it should be Board Medical instead
- after merge, signature block is not showing right justified</t>
  </si>
  <si>
    <t>If MEB RTD HIV SG was created, verify that:
-active duty medical treatment facility merged for AD MTF
- current date is merged for Date
- member's rank, name, &amp; SSN are merged
- chosen C code is merged in first paragraph
- chosen C code is merged in paragraph 2a
- chosen C code paragraph is displayed in paragraph 2b
- expiration date from Board Medical tab is listed in paragraph 6
- Unit name merged for RMU on page 2
- Board Medical Officer signature shown in signature block</t>
  </si>
  <si>
    <t>If MEB RTD HIV SAF was created, verify that:
-active duty medical treatment facility merged for AD MTF
- current date is merged for Date
- member's rank, name, &amp; SSN are merged
- chosen C code is merged in first paragraph
- chosen C code is merged in paragraph 2a
- chosen C code paragraph is displayed in paragraph 2b
- expiration date from Board Medical tab is listed in paragraph 6
- Unit name merged for RMU on page 2
- Board Medical Officer signature shown in signature block</t>
  </si>
  <si>
    <t>If MEB RTD HIV AGR SG was created, verify that:
-active duty medical treatment facility merged for AD MTF
- current date is merged for Date
- member's name &amp; SSN are merged
-Assignment Limitation Code is merged
-active duty medical treatment facility merged for AD MTF in section 5
-RILO Due Date is merged from Expiration date
- Board Medical Officer signature shown in signature block</t>
  </si>
  <si>
    <t>If MEB RTD HIV AGR SAF was created, verify that:
-active duty medical treatment facility merged for AD MTF
- current date is merged for Date
- member's name &amp; SSN are merged
-Assignment Limitation Code is merged
-active duty medical treatment facility merged for AD MTF in section 5
-RILO Due Date is merged from Expiration date
- Board Medical Officer signature shown in signature block</t>
  </si>
  <si>
    <t>If MEB RTD AGR SG was created, verify that:
-active duty medical treatment facility merged for AD MTF
- current date is merged for Date
- member's name &amp; SSN are merged
-Assignment Limitation Code is merged
-active duty medical treatment facility merged for AD MTF in section 3
-RILO Due Date is merged from Expiration date
- Board Medical Officer signature shown in signature block</t>
  </si>
  <si>
    <t>If MEB RTD AGR SAF was created, verify that:
-active duty medical treatment facility merged for AD MTF
- current date is merged for Date
- member's name &amp; SSN are merged
-Assignment Limitation Code is merged
-active duty medical treatment facility merged for AD MTF in section 3
-RILO Due Date is merged from Expiration date
- Board Medical Officer signature shown in signature block</t>
  </si>
  <si>
    <t>If MEB 4 (Non ALC-C) SG was created, verify that:
-active duty medical treatment facility merged for AD MTF
- current date is merged for Date
- member's rank, name, &amp; SSN are merged
- Board Medical Officer signature shown in signature block
- unit name merged for RMU</t>
  </si>
  <si>
    <t>If MEB 4 (Non ALC-C) SAF was created, verify that:
-active duty medical treatment facility merged for AD MTF
- current date is merged for Date
- member's rank, name, &amp; SSN are merged
- Board Medical Officer signature shown in signature block
- unit name merged for RMU</t>
  </si>
  <si>
    <t>BT31MBFINAL</t>
  </si>
  <si>
    <t xml:space="preserve">There are ten possible Return to Duty memos/letters:
-MEB 4 (Non ALC-C) SAF
-MEB 4 (Non ALC-C) SG
-MEB RTD AGR SAF
-MEB RTD AGR SG
-MEB RTD HIV AGR SAF
-MEB RTD HIV AGR SG
-MEB RTD HIV SAF
-MEB RTD HIV SG
-MEB RTD SAF
-MEB RTD SG
</t>
  </si>
  <si>
    <t>MEB Board Medical Review</t>
  </si>
  <si>
    <t>BT31MBMED</t>
  </si>
  <si>
    <t>Initiate MEB Return to Duty (RTD) Case</t>
  </si>
  <si>
    <t>BT31MBRTD</t>
  </si>
  <si>
    <t>User should see running history of expiration dates on tracking tab</t>
  </si>
  <si>
    <t>User should see the new expiration date on the MH Board Med tab</t>
  </si>
  <si>
    <t>Select Change Expiration Date routing option</t>
  </si>
  <si>
    <t>Go to the MH Next Action tab</t>
  </si>
  <si>
    <t>Update the expiration date using the calendar picker</t>
  </si>
  <si>
    <t>Go to the MH Board Med tab</t>
  </si>
  <si>
    <t>Click on the MH case id number</t>
  </si>
  <si>
    <t>The case status should be MH Override</t>
  </si>
  <si>
    <t>User selects the same case as in step 3.</t>
  </si>
  <si>
    <t>User should be routed back to the Welcome Screen</t>
  </si>
  <si>
    <t>Select the Re-open to Change Expiration Date routing option</t>
  </si>
  <si>
    <t>Use the case number from BT44MHMEDYES</t>
  </si>
  <si>
    <t>User selects a completed approved case</t>
  </si>
  <si>
    <t>Refer to Common Tools TOOLS1 to log in to ALOD as HQ AFRC Technician</t>
  </si>
  <si>
    <t>MH case has been completed as approved</t>
  </si>
  <si>
    <t>HQ AFRC Tech will renew the expiration date</t>
  </si>
  <si>
    <t>MH Renew Expiration Date</t>
  </si>
  <si>
    <t>BT44MHRENEWEXP</t>
  </si>
  <si>
    <t>Enter your comments</t>
  </si>
  <si>
    <t>Select MH Started in error by Tech reason for cancellation</t>
  </si>
  <si>
    <t>Select the Cancel Medical Hold case routing option</t>
  </si>
  <si>
    <t>Go to the MH Next Action Tab to view RWOA reason</t>
  </si>
  <si>
    <t>User selects desired MH case from My Cases</t>
  </si>
  <si>
    <t>User goes to the Other Cases-&gt;Medical Holds (MH)-&gt;My MHs</t>
  </si>
  <si>
    <t>HQ AFRC Tech will cancel the case</t>
  </si>
  <si>
    <t>MH Cancel - HQ AFRC Technician</t>
  </si>
  <si>
    <t>BT44MHCANCELHQ</t>
  </si>
  <si>
    <t>Enter your RWOA comments</t>
  </si>
  <si>
    <t>Select the Cancel Case reason for return</t>
  </si>
  <si>
    <t>Select the RWOA to HQ AFRC Technician routing option</t>
  </si>
  <si>
    <t>Go to the MH Next Action Tab</t>
  </si>
  <si>
    <t>Refer to BT44MHMEDYES steps 2-4</t>
  </si>
  <si>
    <t>Refer to Common Tools TOOLS1 to log in to ALOD as Board Medical</t>
  </si>
  <si>
    <t>User has has initiated a new MH case following the steps in BT44MHINITIATE</t>
  </si>
  <si>
    <t>Board Medical will direct cancellation of MH case</t>
  </si>
  <si>
    <t>MH Cancel - Board Medical</t>
  </si>
  <si>
    <t>BT44MHCANCELMED</t>
  </si>
  <si>
    <t>Click on the MH Next Action tab</t>
  </si>
  <si>
    <t>User selects MH Documents tab</t>
  </si>
  <si>
    <t>HQ AFRC Tech should have the ability to modify the expiration date on the MH Board Medical tab</t>
  </si>
  <si>
    <t>Review MH Board Med tab for quality assurance</t>
  </si>
  <si>
    <t>Review MH HQ AFRC tab for quality assurance</t>
  </si>
  <si>
    <t xml:space="preserve">User has HQ AFRC Tech access.  </t>
  </si>
  <si>
    <t>BT44IRFINAL</t>
  </si>
  <si>
    <t>Continue to BT44FINAL steps</t>
  </si>
  <si>
    <t>Select Forward to HQ AFRC Technician option</t>
  </si>
  <si>
    <t>Select Disapprove Med Hold Request</t>
  </si>
  <si>
    <t>Board Medical will disapprove the Medical Hold case</t>
  </si>
  <si>
    <t>MH Board Medical Review - Disapprove</t>
  </si>
  <si>
    <t>BT44MHMEDNO</t>
  </si>
  <si>
    <t>Select Expiration Date from calendar picker</t>
  </si>
  <si>
    <t>Select Approve Med Hold Request</t>
  </si>
  <si>
    <t>Case should open at the MH Board Med tab</t>
  </si>
  <si>
    <t>User selects the desired MH case from My Cases</t>
  </si>
  <si>
    <t>User clicks on the Medicald Holds (MH) link in the Other/Special Cases module on the Welcome Screen</t>
  </si>
  <si>
    <t xml:space="preserve">User has Board Medical access.  </t>
  </si>
  <si>
    <t>Board Medical will approve the Medical Hold case</t>
  </si>
  <si>
    <t>MH Board Medical Review - Approve</t>
  </si>
  <si>
    <t>BT44MHMEDYES</t>
  </si>
  <si>
    <t>Upload a document in each category</t>
  </si>
  <si>
    <t>Go to the MH Documents tab</t>
  </si>
  <si>
    <t>Enter the High Tenure Date (HYTD/MSD) using the calendar picker</t>
  </si>
  <si>
    <t>Complete the MH HQ AFRC Tech tab</t>
  </si>
  <si>
    <t>User goes to the Other Cases-&gt;Medical Holds (MH)-&gt;Start New MH menu option</t>
  </si>
  <si>
    <t>Test Member SSN: 010-00-0005</t>
  </si>
  <si>
    <t>To initiate a Medical Holds Case</t>
  </si>
  <si>
    <t>Initiate Medical Holds (MH) Case</t>
  </si>
  <si>
    <t>BT44MHINITIATE</t>
  </si>
  <si>
    <t>User will be able to process case(s) of Medical Hold type</t>
  </si>
  <si>
    <t>Test Case BT44 - Medical Holds Worfklow</t>
  </si>
  <si>
    <t>Select Yes for Documents Included with WWD Case</t>
  </si>
  <si>
    <t>Select Yes for Cover Letter (updated)</t>
  </si>
  <si>
    <t>Select Yes for AF Form 469 (Uploaded)</t>
  </si>
  <si>
    <t>Select Initial Date of Code 37 Date (Required) - Calendar Picker cannot go into future</t>
  </si>
  <si>
    <t>Select Yes for Narrative Summary (Uploaded)</t>
  </si>
  <si>
    <t>Select Yes for IPEB Election</t>
  </si>
  <si>
    <t>Select NO for IPEB Refusal</t>
  </si>
  <si>
    <t>Enter IPEB Signature date (Election or Refusal)</t>
  </si>
  <si>
    <t>Enter Member Utilization Questionaire (MUQ) Request Date</t>
  </si>
  <si>
    <t>Enter MUQ Upload Date</t>
  </si>
  <si>
    <t>Select Yes for Is Statement Included in Cover Letter (If MUQ not Valid/Received)</t>
  </si>
  <si>
    <t>Select Yes for Unit Commander Memorandum (Attached)</t>
  </si>
  <si>
    <t>Enter Medical Evaluation Fact Sheet Signature Date</t>
  </si>
  <si>
    <t>Enter ME Fact Sheet Waiver - Signature Date</t>
  </si>
  <si>
    <t>Select Yes for Private Physician Documentation (Attached)</t>
  </si>
  <si>
    <t>*Initial Date of Code 37 Date Must Be Added to Search Criteria</t>
  </si>
  <si>
    <t xml:space="preserve">Note 6: </t>
  </si>
  <si>
    <t>Select Memo/Letter</t>
  </si>
  <si>
    <t xml:space="preserve">Initiate WWD Return to Duty (RTD) Case </t>
  </si>
  <si>
    <t>If option 1, Continue to 10</t>
  </si>
  <si>
    <t>If option 2, Skip to 24</t>
  </si>
  <si>
    <t>(BT44) Medical Holds WF</t>
  </si>
  <si>
    <r>
      <rPr>
        <sz val="11"/>
        <color theme="5" tint="0.59999389629810485"/>
        <rFont val="Calibri"/>
        <family val="2"/>
        <scheme val="minor"/>
      </rPr>
      <t>Pink</t>
    </r>
    <r>
      <rPr>
        <sz val="11"/>
        <color theme="1"/>
        <rFont val="Calibri"/>
        <family val="2"/>
        <scheme val="minor"/>
      </rPr>
      <t xml:space="preserve"> Tab = Index</t>
    </r>
  </si>
  <si>
    <r>
      <rPr>
        <sz val="11"/>
        <color rgb="FF00B0F0"/>
        <rFont val="Calibri"/>
        <family val="2"/>
        <scheme val="minor"/>
      </rPr>
      <t>Blue</t>
    </r>
    <r>
      <rPr>
        <sz val="11"/>
        <color theme="1"/>
        <rFont val="Calibri"/>
        <family val="2"/>
        <scheme val="minor"/>
      </rPr>
      <t xml:space="preserve"> Tab = CVT Master</t>
    </r>
  </si>
  <si>
    <r>
      <rPr>
        <sz val="11"/>
        <color theme="9" tint="-0.499984740745262"/>
        <rFont val="Calibri"/>
        <family val="2"/>
        <scheme val="minor"/>
      </rPr>
      <t>Brown</t>
    </r>
    <r>
      <rPr>
        <sz val="11"/>
        <color theme="1"/>
        <rFont val="Calibri"/>
        <family val="2"/>
        <scheme val="minor"/>
      </rPr>
      <t xml:space="preserve"> Tab = Common Tools</t>
    </r>
  </si>
  <si>
    <t>p</t>
  </si>
  <si>
    <t>Test Pass Date</t>
  </si>
  <si>
    <t>Release Date</t>
  </si>
  <si>
    <t>Most commonly used steps within ALOD</t>
  </si>
  <si>
    <t xml:space="preserve">Email to:  jenet.taylor.ctr@us.af.mil
</t>
  </si>
  <si>
    <t>Pre-Test Preparations/ Prerequisites:</t>
  </si>
  <si>
    <t>User needs to have Medical Technician, HQ AFRC Technician and Board Medical roles.</t>
  </si>
  <si>
    <t>Expected Results:</t>
  </si>
  <si>
    <t>The application provides system generated memos</t>
  </si>
  <si>
    <t>Email to:</t>
  </si>
  <si>
    <t>Jenet.taylor.ctr@us.af.mil</t>
  </si>
  <si>
    <t>Form formatting issues:
- after merge, address not aligned with "HQ" in address block
-Date Format should be: DD-MONTH-YYYY
- after merge, HQ AFRC Tech name is showing in signature block and it should be Board Medical instead
- after merge, signature block is not showing right justified</t>
  </si>
  <si>
    <t>Form formatting issues:
- after merge, address not aligned with "HQ" in address block
-comma after first name 
- after merge, HQ AFRC Tech name is showing in signature block and it should be Board Medical instead
- after merge, signature block is not showing right justified</t>
  </si>
  <si>
    <t>Form formatting issues:
- after merge, address not aligned with "HQ" in address block
-comma after first name 
-indent comments after 2a.
-indent C paragraph after 2b.
-indent 3a.-3e.
-Date Format should be: DD-MONTH-YYYY
- after merge, HQ AFRC Tech name is showing in signature block and it should be Board Medical instead
- after merge, signature block is not showing right justified</t>
  </si>
  <si>
    <t>Form formatting issues:
- after merge, address not aligned with "HQ" in address block
-comma after first name 
-indent comments after 2a.
-indent C paragraph after 2b.
-period after C paragraph
-indent 3a.-3e.
-Date Format should be: DD-MONTH-YYYY
- after merge, HQ AFRC Tech name is showing in signature block and it should be Board Medical instead
- after merge, signature block is not showing right justified</t>
  </si>
  <si>
    <t>The routing options are wrong for this step. They should be:
- Forward to HQ AFRC Technician
- RWOA to HQ AFRC Technician
It seems to be a new routing option of Admin LOD listed that's not supposed to be there.</t>
  </si>
  <si>
    <t>Nothing happens when I click on the second green plus. I tried going to another tab and then coming back, and it still did not pull up the memo dialog box</t>
  </si>
  <si>
    <t>Formatting Errors:
- Signature Block shows HQ AFRC Tech signature and not the Board Medical signature
- Signature block not right justified</t>
  </si>
  <si>
    <t>Validation says that I need to select the MEB Disqualification Letter, but the WWD Disqualification letter is the choice of memo when the Board Medical selects DQ</t>
  </si>
  <si>
    <t>BT31WDSAF</t>
  </si>
  <si>
    <t>WD SAF Disposition</t>
  </si>
  <si>
    <t>User has HQ AFRC Tech access.  
WD case is in HQ AFRC Tech inbox.</t>
  </si>
  <si>
    <t>User selects WD case from My Cases</t>
  </si>
  <si>
    <t>Review WD HQ AFRC tab for quality assurance</t>
  </si>
  <si>
    <t>Review WD Med Off tab for quality assurance</t>
  </si>
  <si>
    <t>Routing options will be: 
1) Create RTD memo
2) Close case</t>
  </si>
  <si>
    <t>This case will stay in the HQ AFRC Tech's inbox until the next action is taken</t>
  </si>
  <si>
    <t>Routing options will be: 
1) Forward to Medical Officer
2) Complete - Approved
3) Complete - Denied
4) RWOA to Medical Technician</t>
  </si>
  <si>
    <t>BT31WDMEDRTD</t>
  </si>
  <si>
    <t>WD Board Medical Review - Select RTD Memo - SAF</t>
  </si>
  <si>
    <t>User has Board Medical access.  
WD case is in Board Medical inbox.</t>
  </si>
  <si>
    <t xml:space="preserve">Go to the WD Med Off tab </t>
  </si>
  <si>
    <t>WD Final Review - Generate Memo - SAF</t>
  </si>
  <si>
    <t>User selects WD Documents tab to generate MEB Letter/Memo</t>
  </si>
  <si>
    <t>Routing options will be: 
1) Complete - Return To Duty (if Return To Duty is selected by Board Medical Officer) or Complete - Disqualified (if Disqualify is selected by Board Medical Officer) 
2) RWOA Medical Officer
3) RWOA to Medical Technician</t>
  </si>
  <si>
    <t>Note 4:</t>
  </si>
  <si>
    <t>WD Completed Email Notification Sent to Med Tech</t>
  </si>
  <si>
    <t>Please remove the routing option Admin LOD:RWOA HQ Technician. This is not a valid option</t>
  </si>
  <si>
    <t>Refer to Common Tools TOOLS4 for Reminder Notifications</t>
  </si>
  <si>
    <t>Routing options will be: 
1) Complete - Return To Duty (if Return To Duty is selected by Board Medical Officer) or Complete - Disqualified (if Disqualify is selected by Board Medical Officer) 
2) RWOA to Medical Technician</t>
  </si>
  <si>
    <t>words not italicized</t>
  </si>
  <si>
    <t>CC missing in the attachment section</t>
  </si>
  <si>
    <t>Select RWOA Medical Technician routing option</t>
  </si>
  <si>
    <t>Remove validation for Memo/Letter; There is no memo/letter to go with disqualification finding</t>
  </si>
  <si>
    <t>Form formatting issues:
- after merge, address not aligned with "HQ" in address block
-comma after first name 
-indent comments after 2a.
-indent C paragraph after 2b.
-space between 3c. and merged C paragraph
-indent 3a.-3e.
-Date Format should be: DD-MONTH-YYYY
- after merge, HQ AFRC Tech name is showing in signature block and it should be Board Medical instead
- after merge, signature block is not showing right justified</t>
  </si>
  <si>
    <t>User has HQ AFRC Tech access.  
MEB case is in Board HQ AFRC Tech inbox.</t>
  </si>
  <si>
    <t>Form formatting issues:
- after merge, address not aligned with "HQ" in address block
-RILO Date Format should be: DD-MONTH-YYYY
- after merge, HQ AFRC Tech name is showing in signature block and it should be Board Medical instead
- after merge, signature block is not showing right justified</t>
  </si>
  <si>
    <t>Form formatting issues:
*This memo is calling MEB RTD HIV AGR SG instead of MEB RTD HIV AGR SAF*
- after merge, address not aligned with "HQ" in address block
-RILO Date Format should be: DD-MONTH-YYYY
- after merge, HQ AFRC Tech name is showing in signature block and it should be Board Medical instead
- after merge, signature block is not showing right justified</t>
  </si>
  <si>
    <t>Form formatting issues:
*This memo is calling MEB RTD HIV AGR SAF instead of MEB RTD HIV AGR SG*
- after merge, address not aligned with "HQ" in address block
-RILO Date Format should be: DD-MONTH-YYYY
- after merge, HQ AFRC Tech name is showing in signature block and it should be Board Medical instead
- after merge, signature block is not showing right justified</t>
  </si>
  <si>
    <t>Form formatting issues:
- after merge, address not aligned with "HQ" in address block
-space between line 2a.and additional comments 
-space between 2b. and additional comments
-indent additional comments under 2a. and 2b. 
-indent lines 3a. - 3e.
-RILO Date Format should be: DD-MONTH-YYYY
- after merge, HQ AFRC Tech name is showing in signature block and it should be Board Medical instead
- after merge, signature block is not showing right justified</t>
  </si>
  <si>
    <t>Form formatting issues:
- after merge, address not aligned with "HQ" in address block
-space between line 2 and line a
-space between line 2a.and additional comments
-indent additional comments under 2a. and 2b.
-indent lines 3a. - 3e.
- after merge, HQ AFRC Tech name is showing in signature block and it should be Board Medical instead
- after merge, signature block is not showing right justified</t>
  </si>
  <si>
    <t>Form formatting issues:
- after merge, address not aligned with "HQ" in address block
-indent additional comments under 2a. and 2b.
-indent lines 3a. - 3e
- after merge, HQ AFRC Tech name is showing in signature block and it should be Board Medical instead
- after merge, signature block is not showing right justified</t>
  </si>
  <si>
    <t>Routing options will be: 
1) Complete - Return To Duty (if Return To Duty is selected by Board Medical Officer) or Complete - Disqualified (if Disqualify is selected by Board Medical Officer) 
2) RWOA Medical Officer</t>
  </si>
  <si>
    <t>MEB Completed Email Notification Sent to Med Tech</t>
  </si>
  <si>
    <t>User has HQ AFRC Tech access.  
MEB case is in HQ AFRC Tech inbox.</t>
  </si>
  <si>
    <t>Form formatting issues:
- after merge, address not aligned with "HQ" in address block
- after merge, HQ AFRC Tech name is showing in signature block and it should be Board Medical instead
- after merge, signature block is not showing right justified</t>
  </si>
  <si>
    <t>BT31MBRWOA</t>
  </si>
  <si>
    <t>MEB Return Without Action</t>
  </si>
  <si>
    <t>Routing options will be: 
1) Forward to Medical Officer
2) Cancel MEB Case</t>
  </si>
  <si>
    <t>BT31MBAFPC</t>
  </si>
  <si>
    <t>MEB AFPC Disposition</t>
  </si>
  <si>
    <t>Routing options will be: 
1) Forward to Medical Officer
2) Complete - Approved
3) Complete - Denied</t>
  </si>
  <si>
    <t>BT31MBMEDRTD</t>
  </si>
  <si>
    <t>MEB Board Medical Review - Select RTD Memo - AFPC</t>
  </si>
  <si>
    <t>MEB Final Review - Generate Memo - AFPC</t>
  </si>
  <si>
    <t>Routing options will be: 
1) Complete - Return To Duty (if Return To Duty is selected by Board Medical Officer) or Complete - Disqualified (if Disqualify is selected by Board Medical Officer) 
2) RWOA Medical Officer
3) RWOA Medical Technician</t>
  </si>
  <si>
    <t>User needs to have HQ AFRC Technician and Board Medical roles.</t>
  </si>
  <si>
    <t>Processes Basic Military Training Waivers(BMT)/Military Entrance Processing Station (MEPS) Case</t>
  </si>
  <si>
    <t>Basic Military Training Waivers(BMT)/Military Entrance Processing Station (MEPS) Cases are Approved or Denied</t>
  </si>
  <si>
    <t>BT31BTWF</t>
  </si>
  <si>
    <t>Initiate BMT Case</t>
  </si>
  <si>
    <t>This case will approve or deny Basic Military Training Waivers(BMT)/Military Entrance Processing Station (MEPS).</t>
  </si>
  <si>
    <t>User goes to the Other Cases-&gt;Basic Military Training Waivers(BMT)/Military Entrance Processing Station (MEPS) Case-&gt;Start New BMT Waiver/MEPS option</t>
  </si>
  <si>
    <t>Complete the HQ AFRC Tech Tech tab</t>
  </si>
  <si>
    <t>Enter Comments on HQ AFRC Tech Tab if desired</t>
  </si>
  <si>
    <t>Go to the BT Documents tab</t>
  </si>
  <si>
    <t>Go to the BT Next Action Tab</t>
  </si>
  <si>
    <t>Routing Options:
-Forward to Medical Officer
-Cancel BMT/MEPS Case</t>
  </si>
  <si>
    <t>BT31BTMED</t>
  </si>
  <si>
    <t>BT Medical Review</t>
  </si>
  <si>
    <t>User has Board Medical access.  
BT case is in Board Medical inbox.</t>
  </si>
  <si>
    <t>User goes to the Other Cases-&gt;Basic Military Training Waivers(BMT)/Military Entrance Processing Station (MEPS) Case-&gt;My BMTs/MEPS option</t>
  </si>
  <si>
    <t>User selects BT case from My Cases</t>
  </si>
  <si>
    <t>Complete the BT Board Med tab</t>
  </si>
  <si>
    <t>Select Medical Officer BMT Decision</t>
  </si>
  <si>
    <t>Options are:
-Approve BMT Request
-Denial of BMT Request</t>
  </si>
  <si>
    <t>Complete Decision Explanation box if desired</t>
  </si>
  <si>
    <t>Routing Options:
-Forward to HQ AFRC Technician (to Complete)</t>
  </si>
  <si>
    <t>BT31BTFINAL</t>
  </si>
  <si>
    <t>BT Final Review</t>
  </si>
  <si>
    <t>User has HQ AFRC Tech access.  
BT case is in HQ AFRC Tech inbox.</t>
  </si>
  <si>
    <t>User reviews BT Board Med tab for Quality Assurance</t>
  </si>
  <si>
    <t xml:space="preserve">Routing options will be: 
1) Complete - Approve (if Approve BMT Request is selected by Board Medical Officer) or Complete - Denied (if Denial of BMT Request is selected by Board Medical Officer) </t>
  </si>
  <si>
    <t>User will be able to process an Approved, Disapproved, Cancelled and Extend Expiration Dates for Medical Holds cases</t>
  </si>
  <si>
    <t>Select the routing option</t>
  </si>
  <si>
    <t>Routing options will be: 
1) Complete - MH Approved (if Approved by Board Medical Officer) or Complete -  MH Disapproved (if Disapproved by Board Medical Officer) 
2) RWOA Medical Officer</t>
  </si>
  <si>
    <r>
      <rPr>
        <sz val="11"/>
        <color rgb="FFFF0000"/>
        <rFont val="Calibri"/>
        <family val="2"/>
        <scheme val="minor"/>
      </rPr>
      <t>Orange</t>
    </r>
    <r>
      <rPr>
        <sz val="11"/>
        <color theme="1"/>
        <rFont val="Calibri"/>
        <family val="2"/>
        <scheme val="minor"/>
      </rPr>
      <t xml:space="preserve"> Tabs = Workflows: WWD Memos, IRILO Memos, MEB Memos, BMT, Informal LOD,</t>
    </r>
  </si>
  <si>
    <t>User needs to have Med Tech, Med Officer, Unit Commander, Wing JA, Wing Commander, and Board roles.</t>
  </si>
  <si>
    <t>Processes Informal LOD Case</t>
  </si>
  <si>
    <t>Informal LOD Cases are Approved or Denied</t>
  </si>
  <si>
    <t>BT31INFORMAL</t>
  </si>
  <si>
    <t>Initiate Informal LOD Case</t>
  </si>
  <si>
    <t>This case will approve or deny Informal LOD case.</t>
  </si>
  <si>
    <t xml:space="preserve">User has Med Tech access.  </t>
  </si>
  <si>
    <t>User goes to the LOD-&gt;Start New LOD</t>
  </si>
  <si>
    <t>Complete the Medical tab</t>
  </si>
  <si>
    <t>Select member status from drop down</t>
  </si>
  <si>
    <t>Select Diagnosis from tertiary drop downs</t>
  </si>
  <si>
    <t>Select Nature of Incident from drop down</t>
  </si>
  <si>
    <t>Enter diagnosis text</t>
  </si>
  <si>
    <t>Select Type of Medical Facility from drop down</t>
  </si>
  <si>
    <t>Enter Name and Location of Initial treating facility text</t>
  </si>
  <si>
    <t>Enter Date and Time of Initial Treatment</t>
  </si>
  <si>
    <t>Enter Details of Accident or History of Disease (how, where, when) text</t>
  </si>
  <si>
    <t>Select Yes or No for Does this case involve death?</t>
  </si>
  <si>
    <t>Select Yes or No for Does this case involve a Motor Vehicle Accident (MVA)?</t>
  </si>
  <si>
    <t>Go to the Documents tab</t>
  </si>
  <si>
    <t>Upload documents if needed</t>
  </si>
  <si>
    <t>Go to the Next Action Tab</t>
  </si>
  <si>
    <t>Routing Options:
-Forward to Medical Officer</t>
  </si>
  <si>
    <t>BT31MEDOFF</t>
  </si>
  <si>
    <t>Medical Officer Review</t>
  </si>
  <si>
    <t xml:space="preserve">User has Med Officer access.  </t>
  </si>
  <si>
    <t>User goes to the LOD-&gt;My LODs</t>
  </si>
  <si>
    <t>User selects LOD case from my cases</t>
  </si>
  <si>
    <t>Select EPST (Existing Prior To Service) option</t>
  </si>
  <si>
    <t>Enter Local Medical Opinion text</t>
  </si>
  <si>
    <t>Routing Options:
-Forward to Unit Commander
-Return to Med Tech for Corrections
-Cancel Informal Investigation</t>
  </si>
  <si>
    <t>BT31UNITCC</t>
  </si>
  <si>
    <t>Unit Commander Review</t>
  </si>
  <si>
    <t xml:space="preserve">User has Unit Commander access.  </t>
  </si>
  <si>
    <t>Complete the Unit CC tab</t>
  </si>
  <si>
    <t>Select Yes or No for Was member activated</t>
  </si>
  <si>
    <t xml:space="preserve">Select Duty Status </t>
  </si>
  <si>
    <t>Select Start Date</t>
  </si>
  <si>
    <t>Select End Date</t>
  </si>
  <si>
    <t>Enter Other text if applicable</t>
  </si>
  <si>
    <t>Enter Details of Accident (Who, what, where, when) text</t>
  </si>
  <si>
    <t>Select Recommended Finding</t>
  </si>
  <si>
    <t>Upload Required Documents</t>
  </si>
  <si>
    <t>Upload Proof of Military Status document</t>
  </si>
  <si>
    <t>Routing Options:
-Forward to Wing JA for Legal Review
-Return to Medical Officer</t>
  </si>
  <si>
    <t>BT31WINGJA</t>
  </si>
  <si>
    <t>Wing Judge Advocate Review</t>
  </si>
  <si>
    <t xml:space="preserve">User has Wing Judge Advocate access.  </t>
  </si>
  <si>
    <t>Complete the Wing JA tab</t>
  </si>
  <si>
    <t>Select Decision</t>
  </si>
  <si>
    <t>Select Findings if Applicable</t>
  </si>
  <si>
    <t>Enter Comments</t>
  </si>
  <si>
    <t>Upload Required Documents if applicable</t>
  </si>
  <si>
    <t>Routing Options:
-Forward to Appointing Authority
-Return to Medical Officer
-Return to Medical Technician
-Return to Unit Commander</t>
  </si>
  <si>
    <t>BT31WINGCC</t>
  </si>
  <si>
    <t>Wing Commander Review</t>
  </si>
  <si>
    <t xml:space="preserve">User has Wing Commander access.  </t>
  </si>
  <si>
    <t>Complete the Wing CC tab</t>
  </si>
  <si>
    <t xml:space="preserve">Select Findings </t>
  </si>
  <si>
    <t>Enter Remarks if desired</t>
  </si>
  <si>
    <t>Routing Options:
-Forward to LOD Board Review
-Return to Medical Technician
-Return to Wing JA
-Return to Unit Commander
-Return to Medical Officer</t>
  </si>
  <si>
    <t>BT31LODBOARD</t>
  </si>
  <si>
    <t>LOD Board Review</t>
  </si>
  <si>
    <t xml:space="preserve">User has Board Tech access.  </t>
  </si>
  <si>
    <t>Complete the LOD Board tab</t>
  </si>
  <si>
    <t>Select AFRC LOD Board Action</t>
  </si>
  <si>
    <t>Go To Lessons Learned tab</t>
  </si>
  <si>
    <t>Enter Lessons learned if desired</t>
  </si>
  <si>
    <t>Processes Participation Waiver Request Cases</t>
  </si>
  <si>
    <t>Participation Waivers are Approved or Denied</t>
  </si>
  <si>
    <t>BT31PWWF</t>
  </si>
  <si>
    <t>Initiate Participation Waiver Case</t>
  </si>
  <si>
    <t>This case will approve or deny Participation Waiver.</t>
  </si>
  <si>
    <t>User goes to the Other Cases-&gt;Participation Waiver (PWaiver)-&gt;Start New PWaiver menu option</t>
  </si>
  <si>
    <t>Complete the PW Med Tech tab</t>
  </si>
  <si>
    <t>Select a Category</t>
  </si>
  <si>
    <t>Select a Diagnosis from the ICD-9 tertiary drop downs</t>
  </si>
  <si>
    <t>Enter Diagnosis text</t>
  </si>
  <si>
    <t xml:space="preserve">Required documents include:
-AF Form 469 
-Narrative Summary
</t>
  </si>
  <si>
    <t>Go to the PW Next Action Tab</t>
  </si>
  <si>
    <t>Routing Options:
-Forward to AFRC/SGP
-Cancel PW Case</t>
  </si>
  <si>
    <t>BT31PWPKG</t>
  </si>
  <si>
    <t>PW Package Review</t>
  </si>
  <si>
    <t>User has HQ AFRC Tech access.  
PW case is in HQ AFRC Tech inbox.</t>
  </si>
  <si>
    <t>User goes to the Other Cases-&gt;Participation Waiver (PWaiver)-&gt;My PWaivers menu option</t>
  </si>
  <si>
    <t>User selects PW case from My Cases</t>
  </si>
  <si>
    <t>User reviews PW Med Tech tab for Quality Assurance</t>
  </si>
  <si>
    <t>User reviews PW Documents tab for Quality Assurance</t>
  </si>
  <si>
    <t>Routing Options:
-Forward to Medical Officer
-RWOA to Medical  Technician (Deny)</t>
  </si>
  <si>
    <t>BT31PWMED</t>
  </si>
  <si>
    <t>PW Medical Review</t>
  </si>
  <si>
    <t>User has Board Medical access.  
PW case is in Board Medical inbox.</t>
  </si>
  <si>
    <t>Complete the PW Board Med tab</t>
  </si>
  <si>
    <t>Select Medical Officer PW Determination</t>
  </si>
  <si>
    <t>Options are:
-Approve Participation Waiver
-Deny Participation Waiver</t>
  </si>
  <si>
    <t xml:space="preserve">Complete Determination Explanation box </t>
  </si>
  <si>
    <t>Select Participation Waiver Date</t>
  </si>
  <si>
    <t>Select Participation Waiver Expiration Date</t>
  </si>
  <si>
    <t xml:space="preserve">Routing Options:
-Forward to HQ AFRC Technician 
</t>
  </si>
  <si>
    <t>BT31PWFINAL</t>
  </si>
  <si>
    <t>PW Final Review</t>
  </si>
  <si>
    <t>User reviews PW Board Med tab for Quality Assurance</t>
  </si>
  <si>
    <t xml:space="preserve">Routing Options:
-Complete (Approved or Denied)
-RWOA Board Medical
-RWOA HQ AFRC Tech
-RWOA Medical Technician
</t>
  </si>
  <si>
    <t>Deployment Waivers are Approved or Denied</t>
  </si>
  <si>
    <t>Non Emergent Surgeries are Approved or Denied</t>
  </si>
  <si>
    <t>Modifications are Approved or Denied</t>
  </si>
  <si>
    <t>Board for Military Corrections on Records Tracks Completed BCMR Processes</t>
  </si>
  <si>
    <t>Congressionals Tracks Completed BCMR Processes</t>
  </si>
  <si>
    <t>User needs to have HQ AFRC Technician and Med Tech roles.</t>
  </si>
  <si>
    <t>Physical Examination Processing Program</t>
  </si>
  <si>
    <t>Processes Physical Examination Program</t>
  </si>
  <si>
    <t>BT31PEPPWF</t>
  </si>
  <si>
    <t>PEPP Initiate</t>
  </si>
  <si>
    <t>This case will process the Physical Examination Program.</t>
  </si>
  <si>
    <t>User goes to the Other Cases-&gt;Physical Examination Processing Program (PEEPP)-&gt;Start New PEPP menu option</t>
  </si>
  <si>
    <t>Select PEPP case type (Mandatory)</t>
  </si>
  <si>
    <t xml:space="preserve">PEPP Case Type Options are:
-IFC I, IFC II, IFC III, Enlisted, Commissioning, SOD, Flying Waiver
</t>
  </si>
  <si>
    <t>Select Type from drop down (Required)</t>
  </si>
  <si>
    <t xml:space="preserve">Type Options are:
-Comm, Enl, I, IA, II, III, Other, IIA, IIB, IIC, IIU
</t>
  </si>
  <si>
    <t>Select Rating from drop down (Required)</t>
  </si>
  <si>
    <t xml:space="preserve">Rating Options are:
-Flight Engineer, Pilot, Nav, LM, BO, AE, PJ/SERE, FLT ATT, Gunner, Weather, TACP, Intel, FS, RPA, FN, GBC, ATC, Other
</t>
  </si>
  <si>
    <t>Select Disposition from drop down (Required)</t>
  </si>
  <si>
    <t xml:space="preserve">Disposition Options are:
-RWOA, Forward, Hold, Pending, ACC Comment, Qualified, Disqualified, Waiver 
</t>
  </si>
  <si>
    <t>Select Renewal from Radio Buttons: Yes or No (Required)</t>
  </si>
  <si>
    <t>Select Base Assign from drop down (Unit drop down currently being used in LODs)</t>
  </si>
  <si>
    <t>Select Completed By from drop down (Unit drop down currently being used in LODs)</t>
  </si>
  <si>
    <t>Select Sent To from drop down (Unit drop down currently being used in LODs)</t>
  </si>
  <si>
    <t>Select Date Received (Calendar Picker; Cannot go into the future: Required)</t>
  </si>
  <si>
    <t>Select Date Out (Calendar Picker; Cannot go into the future: Required)</t>
  </si>
  <si>
    <t>Select Expire Date (Calendar Picker;Can got into the past: Required)</t>
  </si>
  <si>
    <t xml:space="preserve">Add indefinite option similar to MEB for Expire Date
</t>
  </si>
  <si>
    <t>Select ACL-C from drop down (ALC drop down currently being used in Special Cases)</t>
  </si>
  <si>
    <t xml:space="preserve">Select a diagnosis using the tertiary drop downs (ICD-9)
</t>
  </si>
  <si>
    <t>Complete Diagnosis Text box</t>
  </si>
  <si>
    <t>Upload required documents/ Miscellaneous if necessary</t>
  </si>
  <si>
    <t>Go to the PEPP Next Action Tab</t>
  </si>
  <si>
    <t>Routing Options:
-RWOA to Med Tech
-Complete (There are no steps required before closure happens, so leave this option enabled always)</t>
  </si>
  <si>
    <t xml:space="preserve">*Case doesn't leave the HQ AFRC Tech.  Will need special case tracking showing the case is in RWOA status, if this option is selected
*They will need the text box for RWOA comments so that it can be usef for historical reference
</t>
  </si>
  <si>
    <t>*The HQ AFRC Tech will need the ability to add a member into ALOD.  The same ability that the Sys Admin has, but they only need this feature for PEPP and BMT/MEPS cases.</t>
  </si>
  <si>
    <t>User needs to have ALOD access with Med Tech, Med Officer, Board, or Sys Admin Permissions.</t>
  </si>
  <si>
    <t>User will be able to view LOD cases and Speciaty cases in Single search environment</t>
  </si>
  <si>
    <t>*After criteria is selected, criteria can be edited by selecting the edit link at the end of the criteria row</t>
  </si>
  <si>
    <t xml:space="preserve">Note 7: </t>
  </si>
  <si>
    <t xml:space="preserve">Required documents include:
-AHLTA Notes 
-MEPS 
</t>
  </si>
  <si>
    <t>Routing Options:
-LOD Board Medical Review
-LOD Board Legal Review
-Approving Authority Action
-Return to Medical Technician
-Return to Medical Officer
-Return to Unit Commander
-Return Appointing Authority
-Return to Wing JA Rview
-Direct Formal Investigation (Fwd To Appointing Authority) (If this routing option is selected, a free text box should appear to allow comments to be entered by the user)</t>
  </si>
  <si>
    <t>Email Notification  sent to the Med Tech for Completed cases (Approved or Denied)(Diagnosis merged into the Participation Waiver Approved Email must be from Diagnosis text on the PW Med Tech tab)</t>
  </si>
  <si>
    <t>All PAL Data, LOD, Specialty cases for that member are displayed</t>
  </si>
  <si>
    <t>1) The top portion of output displays PAL Data
2) The middle portion of output displays "Member Case History" will show all LOD cases
3) The bottom portion of output displays "Member Other/Speciality Cases" will show all non LOD cases</t>
  </si>
  <si>
    <t xml:space="preserve"> Modifications, BCMR, Congressionals, PEPP, Full Search</t>
  </si>
  <si>
    <t xml:space="preserve"> Participation Waiver, Medical Holds, Deployment Waiver, Non Emergent Surgery,</t>
  </si>
  <si>
    <t>ECT - Electronic Case Tracking</t>
  </si>
  <si>
    <t>(BT44) WWD Memos</t>
  </si>
  <si>
    <t>(BT44) IRILO Memos</t>
  </si>
  <si>
    <t>(BT44) MEB Memos</t>
  </si>
  <si>
    <t>(BT44) BMT WF</t>
  </si>
  <si>
    <t>(BT44) Participation Waiver WF</t>
  </si>
  <si>
    <t>(BT44) Deployment Waiver WF</t>
  </si>
  <si>
    <t>(BT44) Non Emergent Surgery WF</t>
  </si>
  <si>
    <t>(BT44) Modification WF</t>
  </si>
  <si>
    <t>(BT44) BCMR WF</t>
  </si>
  <si>
    <t>(BT44) Congressionals WF</t>
  </si>
  <si>
    <t>(BT44) PEPP WF</t>
  </si>
  <si>
    <t>Full Search</t>
  </si>
  <si>
    <t>Informal LOD</t>
  </si>
  <si>
    <t>(BT44) WWD MEMOS</t>
  </si>
  <si>
    <t>(BT44) MEB MEMOS</t>
  </si>
  <si>
    <t xml:space="preserve">Full Search </t>
  </si>
  <si>
    <t>Test Case BT44 - Forms/Letters added for WWD/IRILOS/MEBs</t>
  </si>
  <si>
    <t>Test Case BT44 - Deployment Waivers</t>
  </si>
  <si>
    <t>Test Case - Informal LOD Case</t>
  </si>
  <si>
    <t>Test Case BT44 - Participation Waivers</t>
  </si>
  <si>
    <t>Test Case BT44 - Non Emergent Surgery</t>
  </si>
  <si>
    <t>Test Case BT44 - Modifications</t>
  </si>
  <si>
    <t>Test Case BT44 - Board for Corrections on Military Records</t>
  </si>
  <si>
    <t>Test Case BT44 - Congressionals</t>
  </si>
  <si>
    <t>Test Case BT44 -Physical Examination Processing Program</t>
  </si>
  <si>
    <t>Test Case - Full Search Capability (Case History/AD HOC)</t>
  </si>
</sst>
</file>

<file path=xl/styles.xml><?xml version="1.0" encoding="utf-8"?>
<styleSheet xmlns="http://schemas.openxmlformats.org/spreadsheetml/2006/main">
  <numFmts count="2">
    <numFmt numFmtId="164" formatCode="[$-409]d\ mmm\ yy;@"/>
    <numFmt numFmtId="165" formatCode="0.0"/>
  </numFmts>
  <fonts count="94">
    <font>
      <sz val="11"/>
      <color theme="1"/>
      <name val="Calibri"/>
      <family val="2"/>
      <scheme val="minor"/>
    </font>
    <font>
      <sz val="11"/>
      <color indexed="8"/>
      <name val="Calibri"/>
      <family val="2"/>
    </font>
    <font>
      <sz val="10"/>
      <name val="Arial"/>
      <family val="2"/>
    </font>
    <font>
      <b/>
      <sz val="12"/>
      <name val="Times New Roman"/>
      <family val="1"/>
    </font>
    <font>
      <sz val="12"/>
      <name val="Times New Roman"/>
      <family val="1"/>
    </font>
    <font>
      <sz val="12"/>
      <color indexed="8"/>
      <name val="Times New Roman"/>
      <family val="1"/>
    </font>
    <font>
      <sz val="11"/>
      <name val="Calibri"/>
      <family val="2"/>
    </font>
    <font>
      <b/>
      <sz val="11"/>
      <name val="Calibri"/>
      <family val="2"/>
    </font>
    <font>
      <sz val="11"/>
      <color indexed="10"/>
      <name val="Calibri"/>
      <family val="2"/>
    </font>
    <font>
      <strike/>
      <sz val="11"/>
      <color indexed="10"/>
      <name val="Calibri"/>
      <family val="2"/>
    </font>
    <font>
      <sz val="7"/>
      <color indexed="8"/>
      <name val="Times New Roman"/>
      <family val="1"/>
    </font>
    <font>
      <b/>
      <sz val="11"/>
      <color indexed="8"/>
      <name val="Calibri"/>
      <family val="2"/>
    </font>
    <font>
      <b/>
      <sz val="11"/>
      <color indexed="10"/>
      <name val="Calibri"/>
      <family val="2"/>
    </font>
    <font>
      <b/>
      <strike/>
      <sz val="11"/>
      <color indexed="10"/>
      <name val="Calibri"/>
      <family val="2"/>
    </font>
    <font>
      <b/>
      <sz val="11"/>
      <name val="Times New Roman"/>
      <family val="1"/>
    </font>
    <font>
      <sz val="11"/>
      <name val="Times New Roman"/>
      <family val="1"/>
    </font>
    <font>
      <sz val="11"/>
      <color indexed="8"/>
      <name val="Calibri"/>
      <family val="2"/>
    </font>
    <font>
      <b/>
      <sz val="11"/>
      <color indexed="8"/>
      <name val="Calibri"/>
      <family val="2"/>
    </font>
    <font>
      <sz val="11"/>
      <color indexed="10"/>
      <name val="Calibri"/>
      <family val="2"/>
    </font>
    <font>
      <b/>
      <sz val="12"/>
      <name val="Calibri"/>
      <family val="2"/>
    </font>
    <font>
      <sz val="12"/>
      <color indexed="8"/>
      <name val="Calibri"/>
      <family val="2"/>
    </font>
    <font>
      <sz val="12"/>
      <color indexed="8"/>
      <name val="Calibri"/>
      <family val="2"/>
    </font>
    <font>
      <sz val="11"/>
      <name val="Calibri"/>
      <family val="2"/>
    </font>
    <font>
      <sz val="12"/>
      <color indexed="8"/>
      <name val="Times New Roman"/>
      <family val="1"/>
    </font>
    <font>
      <sz val="11"/>
      <color indexed="8"/>
      <name val="Calibri"/>
      <family val="2"/>
    </font>
    <font>
      <sz val="8"/>
      <color indexed="23"/>
      <name val="Calibri"/>
      <family val="2"/>
    </font>
    <font>
      <b/>
      <sz val="11"/>
      <name val="Calibri"/>
      <family val="2"/>
    </font>
    <font>
      <sz val="11"/>
      <color indexed="8"/>
      <name val="Calibri"/>
      <family val="2"/>
    </font>
    <font>
      <b/>
      <sz val="11"/>
      <color indexed="8"/>
      <name val="Calibri"/>
      <family val="2"/>
    </font>
    <font>
      <sz val="12"/>
      <name val="Calibri"/>
      <family val="2"/>
    </font>
    <font>
      <strike/>
      <sz val="11"/>
      <color indexed="10"/>
      <name val="Calibri"/>
      <family val="2"/>
    </font>
    <font>
      <b/>
      <sz val="11"/>
      <color indexed="10"/>
      <name val="Calibri"/>
      <family val="2"/>
    </font>
    <font>
      <sz val="11"/>
      <color indexed="8"/>
      <name val="Calibri"/>
      <family val="2"/>
    </font>
    <font>
      <b/>
      <sz val="11"/>
      <color indexed="8"/>
      <name val="Times New Roman"/>
      <family val="1"/>
    </font>
    <font>
      <sz val="10.5"/>
      <color indexed="8"/>
      <name val="Calibri"/>
      <family val="2"/>
    </font>
    <font>
      <b/>
      <sz val="12"/>
      <color indexed="8"/>
      <name val="Calibri"/>
      <family val="2"/>
    </font>
    <font>
      <sz val="11"/>
      <color indexed="8"/>
      <name val="Calibri"/>
      <family val="2"/>
    </font>
    <font>
      <b/>
      <sz val="11"/>
      <color indexed="8"/>
      <name val="Calibri"/>
      <family val="2"/>
    </font>
    <font>
      <b/>
      <sz val="11"/>
      <color indexed="9"/>
      <name val="Calibri"/>
      <family val="2"/>
    </font>
    <font>
      <b/>
      <sz val="11"/>
      <name val="Calibri"/>
      <family val="2"/>
    </font>
    <font>
      <sz val="11"/>
      <name val="Calibri"/>
      <family val="2"/>
    </font>
    <font>
      <b/>
      <sz val="11"/>
      <color indexed="8"/>
      <name val="Calibri"/>
      <family val="2"/>
    </font>
    <font>
      <sz val="11"/>
      <color indexed="8"/>
      <name val="Calibri"/>
      <family val="2"/>
    </font>
    <font>
      <sz val="11"/>
      <color indexed="8"/>
      <name val="Arial"/>
      <family val="2"/>
    </font>
    <font>
      <b/>
      <sz val="11"/>
      <color indexed="9"/>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theme="1"/>
      <name val="Calibri"/>
      <family val="2"/>
      <scheme val="minor"/>
    </font>
    <font>
      <b/>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1"/>
      <color theme="10"/>
      <name val="Calibri"/>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theme="1"/>
      <name val="Times New Roman"/>
      <family val="2"/>
    </font>
    <font>
      <sz val="9"/>
      <color theme="1"/>
      <name val="Calibri"/>
      <family val="2"/>
      <scheme val="minor"/>
    </font>
    <font>
      <b/>
      <sz val="11"/>
      <color rgb="FF3F3F3F"/>
      <name val="Calibri"/>
      <family val="2"/>
      <scheme val="minor"/>
    </font>
    <font>
      <b/>
      <sz val="18"/>
      <color theme="3"/>
      <name val="Cambria"/>
      <family val="2"/>
      <scheme val="major"/>
    </font>
    <font>
      <sz val="11"/>
      <color rgb="FFFF0000"/>
      <name val="Calibri"/>
      <family val="2"/>
      <scheme val="minor"/>
    </font>
    <font>
      <sz val="11"/>
      <name val="Calibri"/>
      <family val="2"/>
      <scheme val="minor"/>
    </font>
    <font>
      <b/>
      <sz val="11"/>
      <color theme="0"/>
      <name val="Calibri"/>
      <family val="2"/>
    </font>
    <font>
      <sz val="11"/>
      <color theme="5" tint="0.59999389629810485"/>
      <name val="Calibri"/>
      <family val="2"/>
      <scheme val="minor"/>
    </font>
    <font>
      <sz val="11"/>
      <color rgb="FF00B0F0"/>
      <name val="Calibri"/>
      <family val="2"/>
      <scheme val="minor"/>
    </font>
    <font>
      <sz val="11"/>
      <color theme="9" tint="-0.499984740745262"/>
      <name val="Calibri"/>
      <family val="2"/>
      <scheme val="minor"/>
    </font>
    <font>
      <sz val="11"/>
      <name val="Arial"/>
      <family val="2"/>
    </font>
    <font>
      <sz val="11"/>
      <color rgb="FFFF0000"/>
      <name val="Calibri"/>
      <family val="2"/>
    </font>
    <font>
      <b/>
      <sz val="11"/>
      <color rgb="FFFF0000"/>
      <name val="Calibri"/>
      <family val="2"/>
    </font>
    <font>
      <sz val="11"/>
      <color theme="0"/>
      <name val="Calibri"/>
      <family val="2"/>
    </font>
  </fonts>
  <fills count="6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indexed="22"/>
        <bgColor indexed="64"/>
      </patternFill>
    </fill>
    <fill>
      <patternFill patternType="solid">
        <fgColor indexed="41"/>
        <bgColor indexed="64"/>
      </patternFill>
    </fill>
    <fill>
      <patternFill patternType="solid">
        <fgColor indexed="44"/>
        <bgColor indexed="64"/>
      </patternFill>
    </fill>
    <fill>
      <patternFill patternType="solid">
        <fgColor indexed="13"/>
        <bgColor indexed="64"/>
      </patternFill>
    </fill>
    <fill>
      <patternFill patternType="solid">
        <fgColor indexed="9"/>
        <bgColor indexed="64"/>
      </patternFill>
    </fill>
    <fill>
      <patternFill patternType="solid">
        <fgColor indexed="55"/>
        <bgColor indexed="64"/>
      </patternFill>
    </fill>
    <fill>
      <patternFill patternType="solid">
        <fgColor indexed="42"/>
        <bgColor indexed="64"/>
      </patternFill>
    </fill>
    <fill>
      <patternFill patternType="solid">
        <fgColor indexed="47"/>
        <bgColor indexed="64"/>
      </patternFill>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50"/>
        <bgColor indexed="64"/>
      </patternFill>
    </fill>
    <fill>
      <patternFill patternType="solid">
        <fgColor indexed="10"/>
        <bgColor indexed="64"/>
      </patternFill>
    </fill>
    <fill>
      <patternFill patternType="solid">
        <fgColor indexed="53"/>
        <bgColor indexed="64"/>
      </patternFill>
    </fill>
    <fill>
      <patternFill patternType="solid">
        <fgColor indexed="49"/>
        <bgColor indexed="64"/>
      </patternFill>
    </fill>
    <fill>
      <patternFill patternType="solid">
        <fgColor indexed="62"/>
        <bgColor indexed="64"/>
      </patternFill>
    </fill>
    <fill>
      <patternFill patternType="solid">
        <fgColor indexed="30"/>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5" tint="0.39997558519241921"/>
        <bgColor indexed="64"/>
      </patternFill>
    </fill>
    <fill>
      <patternFill patternType="solid">
        <fgColor theme="6" tint="0.39997558519241921"/>
        <bgColor indexed="64"/>
      </patternFill>
    </fill>
    <fill>
      <patternFill patternType="solid">
        <fgColor theme="9" tint="-0.499984740745262"/>
        <bgColor indexed="64"/>
      </patternFill>
    </fill>
    <fill>
      <patternFill patternType="solid">
        <fgColor rgb="FF92D050"/>
        <bgColor indexed="64"/>
      </patternFill>
    </fill>
    <fill>
      <patternFill patternType="solid">
        <fgColor rgb="FF0070C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style="thin">
        <color theme="0"/>
      </left>
      <right/>
      <top style="thin">
        <color theme="0"/>
      </top>
      <bottom style="thin">
        <color theme="0"/>
      </bottom>
      <diagonal/>
    </border>
    <border>
      <left/>
      <right style="thin">
        <color indexed="64"/>
      </right>
      <top style="thin">
        <color theme="0"/>
      </top>
      <bottom style="thin">
        <color theme="0"/>
      </bottom>
      <diagonal/>
    </border>
    <border>
      <left style="thin">
        <color theme="0"/>
      </left>
      <right style="thin">
        <color theme="0"/>
      </right>
      <top style="thin">
        <color theme="0"/>
      </top>
      <bottom/>
      <diagonal/>
    </border>
  </borders>
  <cellStyleXfs count="1409">
    <xf numFmtId="0" fontId="0" fillId="0" borderId="0"/>
    <xf numFmtId="0" fontId="64" fillId="26" borderId="0" applyNumberFormat="0" applyBorder="0" applyAlignment="0" applyProtection="0"/>
    <xf numFmtId="0" fontId="64" fillId="2" borderId="0" applyNumberFormat="0" applyBorder="0" applyAlignment="0" applyProtection="0"/>
    <xf numFmtId="0" fontId="64" fillId="27" borderId="0" applyNumberFormat="0" applyBorder="0" applyAlignment="0" applyProtection="0"/>
    <xf numFmtId="0" fontId="64" fillId="3" borderId="0" applyNumberFormat="0" applyBorder="0" applyAlignment="0" applyProtection="0"/>
    <xf numFmtId="0" fontId="64" fillId="28" borderId="0" applyNumberFormat="0" applyBorder="0" applyAlignment="0" applyProtection="0"/>
    <xf numFmtId="0" fontId="64" fillId="4" borderId="0" applyNumberFormat="0" applyBorder="0" applyAlignment="0" applyProtection="0"/>
    <xf numFmtId="0" fontId="64" fillId="29" borderId="0" applyNumberFormat="0" applyBorder="0" applyAlignment="0" applyProtection="0"/>
    <xf numFmtId="0" fontId="64" fillId="5" borderId="0" applyNumberFormat="0" applyBorder="0" applyAlignment="0" applyProtection="0"/>
    <xf numFmtId="0" fontId="64" fillId="30" borderId="0" applyNumberFormat="0" applyBorder="0" applyAlignment="0" applyProtection="0"/>
    <xf numFmtId="0" fontId="64" fillId="31" borderId="0" applyNumberFormat="0" applyBorder="0" applyAlignment="0" applyProtection="0"/>
    <xf numFmtId="0" fontId="64" fillId="32" borderId="0" applyNumberFormat="0" applyBorder="0" applyAlignment="0" applyProtection="0"/>
    <xf numFmtId="0" fontId="64" fillId="33" borderId="0" applyNumberFormat="0" applyBorder="0" applyAlignment="0" applyProtection="0"/>
    <xf numFmtId="0" fontId="64" fillId="34" borderId="0" applyNumberFormat="0" applyBorder="0" applyAlignment="0" applyProtection="0"/>
    <xf numFmtId="0" fontId="64" fillId="6" borderId="0" applyNumberFormat="0" applyBorder="0" applyAlignment="0" applyProtection="0"/>
    <xf numFmtId="0" fontId="64" fillId="35" borderId="0" applyNumberFormat="0" applyBorder="0" applyAlignment="0" applyProtection="0"/>
    <xf numFmtId="0" fontId="64" fillId="36" borderId="0" applyNumberFormat="0" applyBorder="0" applyAlignment="0" applyProtection="0"/>
    <xf numFmtId="0" fontId="64" fillId="37" borderId="0" applyNumberFormat="0" applyBorder="0" applyAlignment="0" applyProtection="0"/>
    <xf numFmtId="0" fontId="66" fillId="38" borderId="0" applyNumberFormat="0" applyBorder="0" applyAlignment="0" applyProtection="0"/>
    <xf numFmtId="0" fontId="66" fillId="39" borderId="0" applyNumberFormat="0" applyBorder="0" applyAlignment="0" applyProtection="0"/>
    <xf numFmtId="0" fontId="66" fillId="40" borderId="0" applyNumberFormat="0" applyBorder="0" applyAlignment="0" applyProtection="0"/>
    <xf numFmtId="0" fontId="66" fillId="6" borderId="0" applyNumberFormat="0" applyBorder="0" applyAlignment="0" applyProtection="0"/>
    <xf numFmtId="0" fontId="66" fillId="41" borderId="0" applyNumberFormat="0" applyBorder="0" applyAlignment="0" applyProtection="0"/>
    <xf numFmtId="0" fontId="66" fillId="7" borderId="0" applyNumberFormat="0" applyBorder="0" applyAlignment="0" applyProtection="0"/>
    <xf numFmtId="0" fontId="66" fillId="42" borderId="0" applyNumberFormat="0" applyBorder="0" applyAlignment="0" applyProtection="0"/>
    <xf numFmtId="0" fontId="66" fillId="43" borderId="0" applyNumberFormat="0" applyBorder="0" applyAlignment="0" applyProtection="0"/>
    <xf numFmtId="0" fontId="66" fillId="8" borderId="0" applyNumberFormat="0" applyBorder="0" applyAlignment="0" applyProtection="0"/>
    <xf numFmtId="0" fontId="66" fillId="44" borderId="0" applyNumberFormat="0" applyBorder="0" applyAlignment="0" applyProtection="0"/>
    <xf numFmtId="0" fontId="66" fillId="45" borderId="0" applyNumberFormat="0" applyBorder="0" applyAlignment="0" applyProtection="0"/>
    <xf numFmtId="0" fontId="66" fillId="46" borderId="0" applyNumberFormat="0" applyBorder="0" applyAlignment="0" applyProtection="0"/>
    <xf numFmtId="0" fontId="66" fillId="47" borderId="0" applyNumberFormat="0" applyBorder="0" applyAlignment="0" applyProtection="0"/>
    <xf numFmtId="0" fontId="66" fillId="48" borderId="0" applyNumberFormat="0" applyBorder="0" applyAlignment="0" applyProtection="0"/>
    <xf numFmtId="0" fontId="66" fillId="49" borderId="0" applyNumberFormat="0" applyBorder="0" applyAlignment="0" applyProtection="0"/>
    <xf numFmtId="0" fontId="67" fillId="50" borderId="0" applyNumberFormat="0" applyBorder="0" applyAlignment="0" applyProtection="0"/>
    <xf numFmtId="0" fontId="68" fillId="51" borderId="39" applyNumberFormat="0" applyAlignment="0" applyProtection="0"/>
    <xf numFmtId="0" fontId="69" fillId="52" borderId="40" applyNumberFormat="0" applyAlignment="0" applyProtection="0"/>
    <xf numFmtId="0" fontId="70" fillId="0" borderId="0" applyNumberFormat="0" applyFill="0" applyBorder="0" applyAlignment="0" applyProtection="0"/>
    <xf numFmtId="0" fontId="71" fillId="53" borderId="0" applyNumberFormat="0" applyBorder="0" applyAlignment="0" applyProtection="0"/>
    <xf numFmtId="0" fontId="72" fillId="0" borderId="41" applyNumberFormat="0" applyFill="0" applyAlignment="0" applyProtection="0"/>
    <xf numFmtId="0" fontId="73" fillId="0" borderId="42" applyNumberFormat="0" applyFill="0" applyAlignment="0" applyProtection="0"/>
    <xf numFmtId="0" fontId="74" fillId="0" borderId="43" applyNumberFormat="0" applyFill="0" applyAlignment="0" applyProtection="0"/>
    <xf numFmtId="0" fontId="74" fillId="0" borderId="0" applyNumberFormat="0" applyFill="0" applyBorder="0" applyAlignment="0" applyProtection="0"/>
    <xf numFmtId="0" fontId="75" fillId="0" borderId="0" applyNumberFormat="0" applyFill="0" applyBorder="0" applyAlignment="0" applyProtection="0"/>
    <xf numFmtId="164" fontId="76" fillId="0" borderId="0" applyNumberFormat="0" applyFill="0" applyBorder="0" applyAlignment="0" applyProtection="0">
      <alignment vertical="top"/>
      <protection locked="0"/>
    </xf>
    <xf numFmtId="164" fontId="76" fillId="0" borderId="0" applyNumberFormat="0" applyFill="0" applyBorder="0" applyAlignment="0" applyProtection="0">
      <alignment vertical="top"/>
      <protection locked="0"/>
    </xf>
    <xf numFmtId="164" fontId="76" fillId="0" borderId="0" applyNumberFormat="0" applyFill="0" applyBorder="0" applyAlignment="0" applyProtection="0">
      <alignment vertical="top"/>
      <protection locked="0"/>
    </xf>
    <xf numFmtId="0" fontId="77" fillId="54" borderId="39" applyNumberFormat="0" applyAlignment="0" applyProtection="0"/>
    <xf numFmtId="0" fontId="78" fillId="0" borderId="44" applyNumberFormat="0" applyFill="0" applyAlignment="0" applyProtection="0"/>
    <xf numFmtId="0" fontId="79" fillId="55" borderId="0" applyNumberFormat="0" applyBorder="0" applyAlignment="0" applyProtection="0"/>
    <xf numFmtId="0" fontId="80" fillId="0" borderId="0"/>
    <xf numFmtId="0" fontId="64" fillId="0" borderId="0"/>
    <xf numFmtId="0" fontId="64" fillId="0" borderId="0"/>
    <xf numFmtId="164" fontId="64" fillId="0" borderId="0"/>
    <xf numFmtId="164" fontId="80" fillId="0" borderId="0"/>
    <xf numFmtId="164" fontId="80" fillId="0" borderId="0"/>
    <xf numFmtId="164" fontId="80" fillId="0" borderId="0"/>
    <xf numFmtId="0"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64" fillId="0" borderId="0"/>
    <xf numFmtId="164" fontId="64" fillId="0" borderId="0"/>
    <xf numFmtId="164" fontId="64" fillId="0" borderId="0"/>
    <xf numFmtId="0" fontId="64" fillId="0" borderId="0"/>
    <xf numFmtId="164" fontId="64" fillId="0" borderId="0"/>
    <xf numFmtId="0" fontId="64" fillId="0" borderId="0"/>
    <xf numFmtId="164"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164" fontId="64" fillId="0" borderId="0"/>
    <xf numFmtId="164" fontId="64" fillId="0" borderId="0"/>
    <xf numFmtId="164" fontId="64" fillId="0" borderId="0"/>
    <xf numFmtId="0" fontId="64" fillId="0" borderId="0"/>
    <xf numFmtId="164" fontId="64" fillId="0" borderId="0"/>
    <xf numFmtId="0" fontId="64" fillId="0" borderId="0"/>
    <xf numFmtId="164"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64" fillId="0" borderId="0"/>
    <xf numFmtId="164" fontId="64" fillId="0" borderId="0"/>
    <xf numFmtId="164" fontId="64" fillId="0" borderId="0"/>
    <xf numFmtId="164"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2" fillId="0" borderId="0"/>
    <xf numFmtId="164" fontId="2" fillId="0" borderId="0"/>
    <xf numFmtId="0" fontId="2" fillId="0" borderId="0"/>
    <xf numFmtId="164" fontId="64" fillId="0" borderId="0"/>
    <xf numFmtId="0" fontId="2" fillId="0" borderId="0">
      <alignment vertical="center"/>
    </xf>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64" fillId="0" borderId="0"/>
    <xf numFmtId="0" fontId="80" fillId="0" borderId="0"/>
    <xf numFmtId="164" fontId="64" fillId="0" borderId="0"/>
    <xf numFmtId="0" fontId="80" fillId="0" borderId="0"/>
    <xf numFmtId="164" fontId="64" fillId="0" borderId="0"/>
    <xf numFmtId="164" fontId="80" fillId="0" borderId="0"/>
    <xf numFmtId="164" fontId="80" fillId="0" borderId="0"/>
    <xf numFmtId="164" fontId="80" fillId="0" borderId="0"/>
    <xf numFmtId="0"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64" fillId="0" borderId="0"/>
    <xf numFmtId="0" fontId="80" fillId="0" borderId="0"/>
    <xf numFmtId="164" fontId="80" fillId="0" borderId="0"/>
    <xf numFmtId="0"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64" fillId="0" borderId="0"/>
    <xf numFmtId="0" fontId="80" fillId="0" borderId="0"/>
    <xf numFmtId="164" fontId="80" fillId="0" borderId="0"/>
    <xf numFmtId="0"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1" fillId="0" borderId="0"/>
    <xf numFmtId="0" fontId="81" fillId="0" borderId="0"/>
    <xf numFmtId="0" fontId="81" fillId="0" borderId="0"/>
    <xf numFmtId="164" fontId="81" fillId="0" borderId="0"/>
    <xf numFmtId="0" fontId="81" fillId="0" borderId="0"/>
    <xf numFmtId="0" fontId="81" fillId="0" borderId="0"/>
    <xf numFmtId="164" fontId="81" fillId="0" borderId="0"/>
    <xf numFmtId="0" fontId="81" fillId="0" borderId="0"/>
    <xf numFmtId="0" fontId="81" fillId="0" borderId="0"/>
    <xf numFmtId="164" fontId="81" fillId="0" borderId="0"/>
    <xf numFmtId="0" fontId="64" fillId="0" borderId="0"/>
    <xf numFmtId="0" fontId="64" fillId="0" borderId="0"/>
    <xf numFmtId="164" fontId="64" fillId="0" borderId="0"/>
    <xf numFmtId="0" fontId="64" fillId="0" borderId="0"/>
    <xf numFmtId="0" fontId="64" fillId="0" borderId="0"/>
    <xf numFmtId="164" fontId="64" fillId="0" borderId="0"/>
    <xf numFmtId="0" fontId="64" fillId="0" borderId="0"/>
    <xf numFmtId="0" fontId="64" fillId="0" borderId="0"/>
    <xf numFmtId="164" fontId="64" fillId="0" borderId="0"/>
    <xf numFmtId="0" fontId="64" fillId="0" borderId="0"/>
    <xf numFmtId="0" fontId="64" fillId="0" borderId="0"/>
    <xf numFmtId="164" fontId="64" fillId="0" borderId="0"/>
    <xf numFmtId="0" fontId="81" fillId="0" borderId="0"/>
    <xf numFmtId="0" fontId="81" fillId="0" borderId="0"/>
    <xf numFmtId="164" fontId="64" fillId="0" borderId="0"/>
    <xf numFmtId="164" fontId="64" fillId="0" borderId="0"/>
    <xf numFmtId="0" fontId="64" fillId="0" borderId="0"/>
    <xf numFmtId="0" fontId="81" fillId="0" borderId="0"/>
    <xf numFmtId="0" fontId="81" fillId="0" borderId="0"/>
    <xf numFmtId="164" fontId="81" fillId="0" borderId="0"/>
    <xf numFmtId="0" fontId="64" fillId="0" borderId="0"/>
    <xf numFmtId="164" fontId="64" fillId="0" borderId="0"/>
    <xf numFmtId="0" fontId="81" fillId="0" borderId="0"/>
    <xf numFmtId="0" fontId="64" fillId="0" borderId="0"/>
    <xf numFmtId="0" fontId="64" fillId="0" borderId="0"/>
    <xf numFmtId="164" fontId="64" fillId="0" borderId="0"/>
    <xf numFmtId="0" fontId="64" fillId="0" borderId="0"/>
    <xf numFmtId="0" fontId="64" fillId="0" borderId="0"/>
    <xf numFmtId="164" fontId="64" fillId="0" borderId="0"/>
    <xf numFmtId="0" fontId="64" fillId="0" borderId="0"/>
    <xf numFmtId="0" fontId="64" fillId="0" borderId="0"/>
    <xf numFmtId="164" fontId="64" fillId="0" borderId="0"/>
    <xf numFmtId="0" fontId="64" fillId="0" borderId="0"/>
    <xf numFmtId="0" fontId="64" fillId="0" borderId="0"/>
    <xf numFmtId="164" fontId="64" fillId="0" borderId="0"/>
    <xf numFmtId="0" fontId="64" fillId="0" borderId="0"/>
    <xf numFmtId="0" fontId="64" fillId="0" borderId="0"/>
    <xf numFmtId="164" fontId="64" fillId="0" borderId="0"/>
    <xf numFmtId="0" fontId="81" fillId="0" borderId="0"/>
    <xf numFmtId="164" fontId="81" fillId="0" borderId="0"/>
    <xf numFmtId="0" fontId="64" fillId="0" borderId="0"/>
    <xf numFmtId="0" fontId="64" fillId="0" borderId="0"/>
    <xf numFmtId="164" fontId="64" fillId="0" borderId="0"/>
    <xf numFmtId="0" fontId="64" fillId="0" borderId="0"/>
    <xf numFmtId="0" fontId="64" fillId="0" borderId="0"/>
    <xf numFmtId="164" fontId="64" fillId="0" borderId="0"/>
    <xf numFmtId="0" fontId="64" fillId="0" borderId="0"/>
    <xf numFmtId="0" fontId="64" fillId="0" borderId="0"/>
    <xf numFmtId="164" fontId="64" fillId="0" borderId="0"/>
    <xf numFmtId="0" fontId="64" fillId="0" borderId="0"/>
    <xf numFmtId="0" fontId="64" fillId="0" borderId="0"/>
    <xf numFmtId="164" fontId="64" fillId="0" borderId="0"/>
    <xf numFmtId="0" fontId="81" fillId="0" borderId="0"/>
    <xf numFmtId="0" fontId="81" fillId="0" borderId="0"/>
    <xf numFmtId="164" fontId="81" fillId="0" borderId="0"/>
    <xf numFmtId="0" fontId="81" fillId="0" borderId="0"/>
    <xf numFmtId="0" fontId="81" fillId="0" borderId="0"/>
    <xf numFmtId="164" fontId="81" fillId="0" borderId="0"/>
    <xf numFmtId="0" fontId="81" fillId="0" borderId="0"/>
    <xf numFmtId="0" fontId="81" fillId="0" borderId="0"/>
    <xf numFmtId="164" fontId="81" fillId="0" borderId="0"/>
    <xf numFmtId="0" fontId="64" fillId="0" borderId="0"/>
    <xf numFmtId="0" fontId="64" fillId="0" borderId="0"/>
    <xf numFmtId="164" fontId="64" fillId="0" borderId="0"/>
    <xf numFmtId="0" fontId="80" fillId="0" borderId="0"/>
    <xf numFmtId="0" fontId="64" fillId="0" borderId="0"/>
    <xf numFmtId="0" fontId="64" fillId="0" borderId="0"/>
    <xf numFmtId="164" fontId="64" fillId="0" borderId="0"/>
    <xf numFmtId="0" fontId="64" fillId="0" borderId="0"/>
    <xf numFmtId="0" fontId="64" fillId="0" borderId="0"/>
    <xf numFmtId="164" fontId="64" fillId="0" borderId="0"/>
    <xf numFmtId="0" fontId="64" fillId="0" borderId="0"/>
    <xf numFmtId="0" fontId="64" fillId="0" borderId="0"/>
    <xf numFmtId="164" fontId="64" fillId="0" borderId="0"/>
    <xf numFmtId="0" fontId="64" fillId="0" borderId="0"/>
    <xf numFmtId="0" fontId="64" fillId="0" borderId="0"/>
    <xf numFmtId="164" fontId="64" fillId="0" borderId="0"/>
    <xf numFmtId="0" fontId="64" fillId="0" borderId="0"/>
    <xf numFmtId="0" fontId="64" fillId="0" borderId="0"/>
    <xf numFmtId="164" fontId="64" fillId="0" borderId="0"/>
    <xf numFmtId="0" fontId="64" fillId="0" borderId="0"/>
    <xf numFmtId="0" fontId="81" fillId="0" borderId="0"/>
    <xf numFmtId="0" fontId="81" fillId="0" borderId="0"/>
    <xf numFmtId="164" fontId="81" fillId="0" borderId="0"/>
    <xf numFmtId="0" fontId="81" fillId="0" borderId="0"/>
    <xf numFmtId="0" fontId="81" fillId="0" borderId="0"/>
    <xf numFmtId="164" fontId="81" fillId="0" borderId="0"/>
    <xf numFmtId="0" fontId="81" fillId="0" borderId="0"/>
    <xf numFmtId="0" fontId="81" fillId="0" borderId="0"/>
    <xf numFmtId="164" fontId="81" fillId="0" borderId="0"/>
    <xf numFmtId="0" fontId="81" fillId="0" borderId="0"/>
    <xf numFmtId="0" fontId="81" fillId="0" borderId="0"/>
    <xf numFmtId="164" fontId="81" fillId="0" borderId="0"/>
    <xf numFmtId="0" fontId="81" fillId="0" borderId="0"/>
    <xf numFmtId="0" fontId="81" fillId="0" borderId="0"/>
    <xf numFmtId="164" fontId="81" fillId="0" borderId="0"/>
    <xf numFmtId="0" fontId="64" fillId="0" borderId="0"/>
    <xf numFmtId="164" fontId="64" fillId="0" borderId="0"/>
    <xf numFmtId="0" fontId="64" fillId="0" borderId="0"/>
    <xf numFmtId="0" fontId="80" fillId="0" borderId="0"/>
    <xf numFmtId="164" fontId="80" fillId="0" borderId="0"/>
    <xf numFmtId="0"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0" fontId="64" fillId="0" borderId="0"/>
    <xf numFmtId="0"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0" fontId="64" fillId="0" borderId="0"/>
    <xf numFmtId="0" fontId="64" fillId="0" borderId="0"/>
    <xf numFmtId="164" fontId="64" fillId="0" borderId="0"/>
    <xf numFmtId="164" fontId="64" fillId="0" borderId="0"/>
    <xf numFmtId="164" fontId="64" fillId="0" borderId="0"/>
    <xf numFmtId="0" fontId="64" fillId="0" borderId="0"/>
    <xf numFmtId="164" fontId="64" fillId="0" borderId="0"/>
    <xf numFmtId="0" fontId="64" fillId="0" borderId="0"/>
    <xf numFmtId="164" fontId="64" fillId="0" borderId="0"/>
    <xf numFmtId="164" fontId="64" fillId="0" borderId="0"/>
    <xf numFmtId="0"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0" fontId="80" fillId="0" borderId="0"/>
    <xf numFmtId="164"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164" fontId="64" fillId="0" borderId="0"/>
    <xf numFmtId="0" fontId="80" fillId="0" borderId="0"/>
    <xf numFmtId="164" fontId="64" fillId="0" borderId="0"/>
    <xf numFmtId="164" fontId="64" fillId="0" borderId="0"/>
    <xf numFmtId="0" fontId="64" fillId="0" borderId="0"/>
    <xf numFmtId="164" fontId="64" fillId="0" borderId="0"/>
    <xf numFmtId="164" fontId="64" fillId="0" borderId="0"/>
    <xf numFmtId="0" fontId="64" fillId="0" borderId="0"/>
    <xf numFmtId="164" fontId="64" fillId="0" borderId="0"/>
    <xf numFmtId="164" fontId="64" fillId="0" borderId="0"/>
    <xf numFmtId="0" fontId="64" fillId="0" borderId="0"/>
    <xf numFmtId="164" fontId="64" fillId="0" borderId="0"/>
    <xf numFmtId="164" fontId="64" fillId="0" borderId="0"/>
    <xf numFmtId="0" fontId="64" fillId="0" borderId="0"/>
    <xf numFmtId="164" fontId="64" fillId="0" borderId="0"/>
    <xf numFmtId="164" fontId="64" fillId="0" borderId="0"/>
    <xf numFmtId="0" fontId="64" fillId="0" borderId="0"/>
    <xf numFmtId="164"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0" fontId="64" fillId="0" borderId="0"/>
    <xf numFmtId="0" fontId="80"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0" fontId="64" fillId="0" borderId="0"/>
    <xf numFmtId="0" fontId="80" fillId="0" borderId="0"/>
    <xf numFmtId="0"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80" fillId="0" borderId="0"/>
    <xf numFmtId="0" fontId="80" fillId="0" borderId="0"/>
    <xf numFmtId="164" fontId="80" fillId="0" borderId="0"/>
    <xf numFmtId="0" fontId="80" fillId="0" borderId="0"/>
    <xf numFmtId="164" fontId="80" fillId="0" borderId="0"/>
    <xf numFmtId="164" fontId="80" fillId="0" borderId="0"/>
    <xf numFmtId="164" fontId="80" fillId="0" borderId="0"/>
    <xf numFmtId="164" fontId="80" fillId="0" borderId="0"/>
    <xf numFmtId="0" fontId="64" fillId="0" borderId="0"/>
    <xf numFmtId="0" fontId="80" fillId="0" borderId="0"/>
    <xf numFmtId="0"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164" fontId="64" fillId="0" borderId="0"/>
    <xf numFmtId="0" fontId="16"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36" fillId="56" borderId="45" applyNumberFormat="0" applyFont="0" applyAlignment="0" applyProtection="0"/>
    <xf numFmtId="0" fontId="1" fillId="56" borderId="45" applyNumberFormat="0" applyFont="0" applyAlignment="0" applyProtection="0"/>
    <xf numFmtId="0" fontId="45" fillId="56" borderId="45" applyNumberFormat="0" applyFont="0" applyAlignment="0" applyProtection="0"/>
    <xf numFmtId="0" fontId="62" fillId="56" borderId="45" applyNumberFormat="0" applyFont="0" applyAlignment="0" applyProtection="0"/>
    <xf numFmtId="0" fontId="1" fillId="56" borderId="45" applyNumberFormat="0" applyFont="0" applyAlignment="0" applyProtection="0"/>
    <xf numFmtId="0" fontId="63" fillId="56" borderId="45" applyNumberFormat="0" applyFont="0" applyAlignment="0" applyProtection="0"/>
    <xf numFmtId="0" fontId="1" fillId="56" borderId="45" applyNumberFormat="0" applyFont="0" applyAlignment="0" applyProtection="0"/>
    <xf numFmtId="0" fontId="46" fillId="56" borderId="45" applyNumberFormat="0" applyFont="0" applyAlignment="0" applyProtection="0"/>
    <xf numFmtId="0" fontId="47" fillId="56" borderId="45" applyNumberFormat="0" applyFont="0" applyAlignment="0" applyProtection="0"/>
    <xf numFmtId="0" fontId="1" fillId="56" borderId="45" applyNumberFormat="0" applyFont="0" applyAlignment="0" applyProtection="0"/>
    <xf numFmtId="0" fontId="48"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51" fillId="56" borderId="45" applyNumberFormat="0" applyFont="0" applyAlignment="0" applyProtection="0"/>
    <xf numFmtId="0" fontId="52" fillId="56" borderId="45" applyNumberFormat="0" applyFont="0" applyAlignment="0" applyProtection="0"/>
    <xf numFmtId="0" fontId="1" fillId="56" borderId="45" applyNumberFormat="0" applyFont="0" applyAlignment="0" applyProtection="0"/>
    <xf numFmtId="0" fontId="54" fillId="56" borderId="45" applyNumberFormat="0" applyFont="0" applyAlignment="0" applyProtection="0"/>
    <xf numFmtId="0" fontId="56" fillId="56" borderId="45" applyNumberFormat="0" applyFont="0" applyAlignment="0" applyProtection="0"/>
    <xf numFmtId="0" fontId="1" fillId="56" borderId="45" applyNumberFormat="0" applyFont="0" applyAlignment="0" applyProtection="0"/>
    <xf numFmtId="0" fontId="57"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60" fillId="56" borderId="45" applyNumberFormat="0" applyFont="0" applyAlignment="0" applyProtection="0"/>
    <xf numFmtId="0" fontId="1" fillId="56" borderId="45" applyNumberFormat="0" applyFont="0" applyAlignment="0" applyProtection="0"/>
    <xf numFmtId="0" fontId="6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49" fillId="56" borderId="45" applyNumberFormat="0" applyFont="0" applyAlignment="0" applyProtection="0"/>
    <xf numFmtId="0" fontId="1" fillId="56" borderId="45" applyNumberFormat="0" applyFont="0" applyAlignment="0" applyProtection="0"/>
    <xf numFmtId="0" fontId="52" fillId="56" borderId="45" applyNumberFormat="0" applyFont="0" applyAlignment="0" applyProtection="0"/>
    <xf numFmtId="0" fontId="1" fillId="56" borderId="45" applyNumberFormat="0" applyFont="0" applyAlignment="0" applyProtection="0"/>
    <xf numFmtId="0" fontId="55" fillId="56" borderId="45" applyNumberFormat="0" applyFont="0" applyAlignment="0" applyProtection="0"/>
    <xf numFmtId="0" fontId="1" fillId="56" borderId="45" applyNumberFormat="0" applyFont="0" applyAlignment="0" applyProtection="0"/>
    <xf numFmtId="0" fontId="59"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53" fillId="56" borderId="45" applyNumberFormat="0" applyFont="0" applyAlignment="0" applyProtection="0"/>
    <xf numFmtId="0" fontId="1" fillId="56" borderId="45" applyNumberFormat="0" applyFont="0" applyAlignment="0" applyProtection="0"/>
    <xf numFmtId="0" fontId="36" fillId="56" borderId="45" applyNumberFormat="0" applyFont="0" applyAlignment="0" applyProtection="0"/>
    <xf numFmtId="0" fontId="45" fillId="56" borderId="45" applyNumberFormat="0" applyFont="0" applyAlignment="0" applyProtection="0"/>
    <xf numFmtId="0" fontId="62" fillId="56" borderId="45" applyNumberFormat="0" applyFont="0" applyAlignment="0" applyProtection="0"/>
    <xf numFmtId="0" fontId="1" fillId="56" borderId="45" applyNumberFormat="0" applyFont="0" applyAlignment="0" applyProtection="0"/>
    <xf numFmtId="0" fontId="63" fillId="56" borderId="45" applyNumberFormat="0" applyFont="0" applyAlignment="0" applyProtection="0"/>
    <xf numFmtId="0" fontId="1" fillId="56" borderId="45" applyNumberFormat="0" applyFont="0" applyAlignment="0" applyProtection="0"/>
    <xf numFmtId="0" fontId="46" fillId="56" borderId="45" applyNumberFormat="0" applyFont="0" applyAlignment="0" applyProtection="0"/>
    <xf numFmtId="0" fontId="47" fillId="56" borderId="45" applyNumberFormat="0" applyFont="0" applyAlignment="0" applyProtection="0"/>
    <xf numFmtId="0" fontId="1" fillId="56" borderId="45" applyNumberFormat="0" applyFont="0" applyAlignment="0" applyProtection="0"/>
    <xf numFmtId="0" fontId="48"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51" fillId="56" borderId="45" applyNumberFormat="0" applyFont="0" applyAlignment="0" applyProtection="0"/>
    <xf numFmtId="0" fontId="52" fillId="56" borderId="45" applyNumberFormat="0" applyFont="0" applyAlignment="0" applyProtection="0"/>
    <xf numFmtId="0" fontId="1" fillId="56" borderId="45" applyNumberFormat="0" applyFont="0" applyAlignment="0" applyProtection="0"/>
    <xf numFmtId="0" fontId="54" fillId="56" borderId="45" applyNumberFormat="0" applyFont="0" applyAlignment="0" applyProtection="0"/>
    <xf numFmtId="0" fontId="56" fillId="56" borderId="45" applyNumberFormat="0" applyFont="0" applyAlignment="0" applyProtection="0"/>
    <xf numFmtId="0" fontId="1" fillId="56" borderId="45" applyNumberFormat="0" applyFont="0" applyAlignment="0" applyProtection="0"/>
    <xf numFmtId="0" fontId="57"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60" fillId="56" borderId="45" applyNumberFormat="0" applyFont="0" applyAlignment="0" applyProtection="0"/>
    <xf numFmtId="0" fontId="1" fillId="56" borderId="45" applyNumberFormat="0" applyFont="0" applyAlignment="0" applyProtection="0"/>
    <xf numFmtId="0" fontId="6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49" fillId="56" borderId="45" applyNumberFormat="0" applyFont="0" applyAlignment="0" applyProtection="0"/>
    <xf numFmtId="0" fontId="1" fillId="56" borderId="45" applyNumberFormat="0" applyFont="0" applyAlignment="0" applyProtection="0"/>
    <xf numFmtId="0" fontId="52" fillId="56" borderId="45" applyNumberFormat="0" applyFont="0" applyAlignment="0" applyProtection="0"/>
    <xf numFmtId="0" fontId="1" fillId="56" borderId="45" applyNumberFormat="0" applyFont="0" applyAlignment="0" applyProtection="0"/>
    <xf numFmtId="0" fontId="55" fillId="56" borderId="45" applyNumberFormat="0" applyFont="0" applyAlignment="0" applyProtection="0"/>
    <xf numFmtId="0" fontId="1" fillId="56" borderId="45" applyNumberFormat="0" applyFont="0" applyAlignment="0" applyProtection="0"/>
    <xf numFmtId="0" fontId="59"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50" fillId="56" borderId="45" applyNumberFormat="0" applyFont="0" applyAlignment="0" applyProtection="0"/>
    <xf numFmtId="0" fontId="1" fillId="56" borderId="45" applyNumberFormat="0" applyFont="0" applyAlignment="0" applyProtection="0"/>
    <xf numFmtId="0" fontId="51" fillId="56" borderId="45" applyNumberFormat="0" applyFont="0" applyAlignment="0" applyProtection="0"/>
    <xf numFmtId="0" fontId="52" fillId="56" borderId="45" applyNumberFormat="0" applyFont="0" applyAlignment="0" applyProtection="0"/>
    <xf numFmtId="0" fontId="1" fillId="56" borderId="45" applyNumberFormat="0" applyFont="0" applyAlignment="0" applyProtection="0"/>
    <xf numFmtId="0" fontId="54" fillId="56" borderId="45" applyNumberFormat="0" applyFont="0" applyAlignment="0" applyProtection="0"/>
    <xf numFmtId="0" fontId="56" fillId="56" borderId="45" applyNumberFormat="0" applyFont="0" applyAlignment="0" applyProtection="0"/>
    <xf numFmtId="0" fontId="1" fillId="56" borderId="45" applyNumberFormat="0" applyFont="0" applyAlignment="0" applyProtection="0"/>
    <xf numFmtId="0" fontId="57"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60" fillId="56" borderId="45" applyNumberFormat="0" applyFont="0" applyAlignment="0" applyProtection="0"/>
    <xf numFmtId="0" fontId="1" fillId="56" borderId="45" applyNumberFormat="0" applyFont="0" applyAlignment="0" applyProtection="0"/>
    <xf numFmtId="0" fontId="6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53" fillId="56" borderId="45" applyNumberFormat="0" applyFont="0" applyAlignment="0" applyProtection="0"/>
    <xf numFmtId="0" fontId="1" fillId="56" borderId="45" applyNumberFormat="0" applyFont="0" applyAlignment="0" applyProtection="0"/>
    <xf numFmtId="0" fontId="55"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45" fillId="56" borderId="45" applyNumberFormat="0" applyFont="0" applyAlignment="0" applyProtection="0"/>
    <xf numFmtId="0" fontId="62" fillId="56" borderId="45" applyNumberFormat="0" applyFont="0" applyAlignment="0" applyProtection="0"/>
    <xf numFmtId="0" fontId="1" fillId="56" borderId="45" applyNumberFormat="0" applyFont="0" applyAlignment="0" applyProtection="0"/>
    <xf numFmtId="0" fontId="63" fillId="56" borderId="45" applyNumberFormat="0" applyFont="0" applyAlignment="0" applyProtection="0"/>
    <xf numFmtId="0" fontId="1" fillId="56" borderId="45" applyNumberFormat="0" applyFont="0" applyAlignment="0" applyProtection="0"/>
    <xf numFmtId="0" fontId="46" fillId="56" borderId="45" applyNumberFormat="0" applyFont="0" applyAlignment="0" applyProtection="0"/>
    <xf numFmtId="0" fontId="47" fillId="56" borderId="45" applyNumberFormat="0" applyFont="0" applyAlignment="0" applyProtection="0"/>
    <xf numFmtId="0" fontId="1" fillId="56" borderId="45" applyNumberFormat="0" applyFont="0" applyAlignment="0" applyProtection="0"/>
    <xf numFmtId="0" fontId="48"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51" fillId="56" borderId="45" applyNumberFormat="0" applyFont="0" applyAlignment="0" applyProtection="0"/>
    <xf numFmtId="0" fontId="52" fillId="56" borderId="45" applyNumberFormat="0" applyFont="0" applyAlignment="0" applyProtection="0"/>
    <xf numFmtId="0" fontId="1" fillId="56" borderId="45" applyNumberFormat="0" applyFont="0" applyAlignment="0" applyProtection="0"/>
    <xf numFmtId="0" fontId="54" fillId="56" borderId="45" applyNumberFormat="0" applyFont="0" applyAlignment="0" applyProtection="0"/>
    <xf numFmtId="0" fontId="56" fillId="56" borderId="45" applyNumberFormat="0" applyFont="0" applyAlignment="0" applyProtection="0"/>
    <xf numFmtId="0" fontId="1" fillId="56" borderId="45" applyNumberFormat="0" applyFont="0" applyAlignment="0" applyProtection="0"/>
    <xf numFmtId="0" fontId="57"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60" fillId="56" borderId="45" applyNumberFormat="0" applyFont="0" applyAlignment="0" applyProtection="0"/>
    <xf numFmtId="0" fontId="1" fillId="56" borderId="45" applyNumberFormat="0" applyFont="0" applyAlignment="0" applyProtection="0"/>
    <xf numFmtId="0" fontId="6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49" fillId="56" borderId="45" applyNumberFormat="0" applyFont="0" applyAlignment="0" applyProtection="0"/>
    <xf numFmtId="0" fontId="1" fillId="56" borderId="45" applyNumberFormat="0" applyFont="0" applyAlignment="0" applyProtection="0"/>
    <xf numFmtId="0" fontId="52" fillId="56" borderId="45" applyNumberFormat="0" applyFont="0" applyAlignment="0" applyProtection="0"/>
    <xf numFmtId="0" fontId="1" fillId="56" borderId="45" applyNumberFormat="0" applyFont="0" applyAlignment="0" applyProtection="0"/>
    <xf numFmtId="0" fontId="55" fillId="56" borderId="45" applyNumberFormat="0" applyFont="0" applyAlignment="0" applyProtection="0"/>
    <xf numFmtId="0" fontId="1" fillId="56" borderId="45" applyNumberFormat="0" applyFont="0" applyAlignment="0" applyProtection="0"/>
    <xf numFmtId="0" fontId="59"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50" fillId="56" borderId="45" applyNumberFormat="0" applyFont="0" applyAlignment="0" applyProtection="0"/>
    <xf numFmtId="0" fontId="1" fillId="56" borderId="45" applyNumberFormat="0" applyFont="0" applyAlignment="0" applyProtection="0"/>
    <xf numFmtId="0" fontId="51" fillId="56" borderId="45" applyNumberFormat="0" applyFont="0" applyAlignment="0" applyProtection="0"/>
    <xf numFmtId="0" fontId="52" fillId="56" borderId="45" applyNumberFormat="0" applyFont="0" applyAlignment="0" applyProtection="0"/>
    <xf numFmtId="0" fontId="1" fillId="56" borderId="45" applyNumberFormat="0" applyFont="0" applyAlignment="0" applyProtection="0"/>
    <xf numFmtId="0" fontId="54" fillId="56" borderId="45" applyNumberFormat="0" applyFont="0" applyAlignment="0" applyProtection="0"/>
    <xf numFmtId="0" fontId="56" fillId="56" borderId="45" applyNumberFormat="0" applyFont="0" applyAlignment="0" applyProtection="0"/>
    <xf numFmtId="0" fontId="1" fillId="56" borderId="45" applyNumberFormat="0" applyFont="0" applyAlignment="0" applyProtection="0"/>
    <xf numFmtId="0" fontId="57"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60" fillId="56" borderId="45" applyNumberFormat="0" applyFont="0" applyAlignment="0" applyProtection="0"/>
    <xf numFmtId="0" fontId="1" fillId="56" borderId="45" applyNumberFormat="0" applyFont="0" applyAlignment="0" applyProtection="0"/>
    <xf numFmtId="0" fontId="6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55"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36" fillId="56" borderId="45" applyNumberFormat="0" applyFont="0" applyAlignment="0" applyProtection="0"/>
    <xf numFmtId="0" fontId="45" fillId="56" borderId="45" applyNumberFormat="0" applyFont="0" applyAlignment="0" applyProtection="0"/>
    <xf numFmtId="0" fontId="62" fillId="56" borderId="45" applyNumberFormat="0" applyFont="0" applyAlignment="0" applyProtection="0"/>
    <xf numFmtId="0" fontId="1" fillId="56" borderId="45" applyNumberFormat="0" applyFont="0" applyAlignment="0" applyProtection="0"/>
    <xf numFmtId="0" fontId="63" fillId="56" borderId="45" applyNumberFormat="0" applyFont="0" applyAlignment="0" applyProtection="0"/>
    <xf numFmtId="0" fontId="1" fillId="56" borderId="45" applyNumberFormat="0" applyFont="0" applyAlignment="0" applyProtection="0"/>
    <xf numFmtId="0" fontId="46" fillId="56" borderId="45" applyNumberFormat="0" applyFont="0" applyAlignment="0" applyProtection="0"/>
    <xf numFmtId="0" fontId="47" fillId="56" borderId="45" applyNumberFormat="0" applyFont="0" applyAlignment="0" applyProtection="0"/>
    <xf numFmtId="0" fontId="1" fillId="56" borderId="45" applyNumberFormat="0" applyFont="0" applyAlignment="0" applyProtection="0"/>
    <xf numFmtId="0" fontId="48"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51" fillId="56" borderId="45" applyNumberFormat="0" applyFont="0" applyAlignment="0" applyProtection="0"/>
    <xf numFmtId="0" fontId="52" fillId="56" borderId="45" applyNumberFormat="0" applyFont="0" applyAlignment="0" applyProtection="0"/>
    <xf numFmtId="0" fontId="1" fillId="56" borderId="45" applyNumberFormat="0" applyFont="0" applyAlignment="0" applyProtection="0"/>
    <xf numFmtId="0" fontId="54" fillId="56" borderId="45" applyNumberFormat="0" applyFont="0" applyAlignment="0" applyProtection="0"/>
    <xf numFmtId="0" fontId="56" fillId="56" borderId="45" applyNumberFormat="0" applyFont="0" applyAlignment="0" applyProtection="0"/>
    <xf numFmtId="0" fontId="1" fillId="56" borderId="45" applyNumberFormat="0" applyFont="0" applyAlignment="0" applyProtection="0"/>
    <xf numFmtId="0" fontId="57"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60" fillId="56" borderId="45" applyNumberFormat="0" applyFont="0" applyAlignment="0" applyProtection="0"/>
    <xf numFmtId="0" fontId="1" fillId="56" borderId="45" applyNumberFormat="0" applyFont="0" applyAlignment="0" applyProtection="0"/>
    <xf numFmtId="0" fontId="6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49" fillId="56" borderId="45" applyNumberFormat="0" applyFont="0" applyAlignment="0" applyProtection="0"/>
    <xf numFmtId="0" fontId="1" fillId="56" borderId="45" applyNumberFormat="0" applyFont="0" applyAlignment="0" applyProtection="0"/>
    <xf numFmtId="0" fontId="52" fillId="56" borderId="45" applyNumberFormat="0" applyFont="0" applyAlignment="0" applyProtection="0"/>
    <xf numFmtId="0" fontId="1" fillId="56" borderId="45" applyNumberFormat="0" applyFont="0" applyAlignment="0" applyProtection="0"/>
    <xf numFmtId="0" fontId="55" fillId="56" borderId="45" applyNumberFormat="0" applyFont="0" applyAlignment="0" applyProtection="0"/>
    <xf numFmtId="0" fontId="1" fillId="56" borderId="45" applyNumberFormat="0" applyFont="0" applyAlignment="0" applyProtection="0"/>
    <xf numFmtId="0" fontId="59"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50" fillId="56" borderId="45" applyNumberFormat="0" applyFont="0" applyAlignment="0" applyProtection="0"/>
    <xf numFmtId="0" fontId="1" fillId="56" borderId="45" applyNumberFormat="0" applyFont="0" applyAlignment="0" applyProtection="0"/>
    <xf numFmtId="0" fontId="51" fillId="56" borderId="45" applyNumberFormat="0" applyFont="0" applyAlignment="0" applyProtection="0"/>
    <xf numFmtId="0" fontId="52" fillId="56" borderId="45" applyNumberFormat="0" applyFont="0" applyAlignment="0" applyProtection="0"/>
    <xf numFmtId="0" fontId="1" fillId="56" borderId="45" applyNumberFormat="0" applyFont="0" applyAlignment="0" applyProtection="0"/>
    <xf numFmtId="0" fontId="54" fillId="56" borderId="45" applyNumberFormat="0" applyFont="0" applyAlignment="0" applyProtection="0"/>
    <xf numFmtId="0" fontId="56" fillId="56" borderId="45" applyNumberFormat="0" applyFont="0" applyAlignment="0" applyProtection="0"/>
    <xf numFmtId="0" fontId="1" fillId="56" borderId="45" applyNumberFormat="0" applyFont="0" applyAlignment="0" applyProtection="0"/>
    <xf numFmtId="0" fontId="57"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60" fillId="56" borderId="45" applyNumberFormat="0" applyFont="0" applyAlignment="0" applyProtection="0"/>
    <xf numFmtId="0" fontId="1" fillId="56" borderId="45" applyNumberFormat="0" applyFont="0" applyAlignment="0" applyProtection="0"/>
    <xf numFmtId="0" fontId="6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53" fillId="56" borderId="45" applyNumberFormat="0" applyFont="0" applyAlignment="0" applyProtection="0"/>
    <xf numFmtId="0" fontId="1" fillId="56" borderId="45" applyNumberFormat="0" applyFont="0" applyAlignment="0" applyProtection="0"/>
    <xf numFmtId="0" fontId="55"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45" fillId="56" borderId="45" applyNumberFormat="0" applyFont="0" applyAlignment="0" applyProtection="0"/>
    <xf numFmtId="0" fontId="62" fillId="56" borderId="45" applyNumberFormat="0" applyFont="0" applyAlignment="0" applyProtection="0"/>
    <xf numFmtId="0" fontId="1" fillId="56" borderId="45" applyNumberFormat="0" applyFont="0" applyAlignment="0" applyProtection="0"/>
    <xf numFmtId="0" fontId="63" fillId="56" borderId="45" applyNumberFormat="0" applyFont="0" applyAlignment="0" applyProtection="0"/>
    <xf numFmtId="0" fontId="1" fillId="56" borderId="45" applyNumberFormat="0" applyFont="0" applyAlignment="0" applyProtection="0"/>
    <xf numFmtId="0" fontId="46" fillId="56" borderId="45" applyNumberFormat="0" applyFont="0" applyAlignment="0" applyProtection="0"/>
    <xf numFmtId="0" fontId="47" fillId="56" borderId="45" applyNumberFormat="0" applyFont="0" applyAlignment="0" applyProtection="0"/>
    <xf numFmtId="0" fontId="1" fillId="56" borderId="45" applyNumberFormat="0" applyFont="0" applyAlignment="0" applyProtection="0"/>
    <xf numFmtId="0" fontId="48"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51" fillId="56" borderId="45" applyNumberFormat="0" applyFont="0" applyAlignment="0" applyProtection="0"/>
    <xf numFmtId="0" fontId="52" fillId="56" borderId="45" applyNumberFormat="0" applyFont="0" applyAlignment="0" applyProtection="0"/>
    <xf numFmtId="0" fontId="1" fillId="56" borderId="45" applyNumberFormat="0" applyFont="0" applyAlignment="0" applyProtection="0"/>
    <xf numFmtId="0" fontId="54" fillId="56" borderId="45" applyNumberFormat="0" applyFont="0" applyAlignment="0" applyProtection="0"/>
    <xf numFmtId="0" fontId="56" fillId="56" borderId="45" applyNumberFormat="0" applyFont="0" applyAlignment="0" applyProtection="0"/>
    <xf numFmtId="0" fontId="1" fillId="56" borderId="45" applyNumberFormat="0" applyFont="0" applyAlignment="0" applyProtection="0"/>
    <xf numFmtId="0" fontId="57"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60" fillId="56" borderId="45" applyNumberFormat="0" applyFont="0" applyAlignment="0" applyProtection="0"/>
    <xf numFmtId="0" fontId="1" fillId="56" borderId="45" applyNumberFormat="0" applyFont="0" applyAlignment="0" applyProtection="0"/>
    <xf numFmtId="0" fontId="6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49" fillId="56" borderId="45" applyNumberFormat="0" applyFont="0" applyAlignment="0" applyProtection="0"/>
    <xf numFmtId="0" fontId="1" fillId="56" borderId="45" applyNumberFormat="0" applyFont="0" applyAlignment="0" applyProtection="0"/>
    <xf numFmtId="0" fontId="52" fillId="56" borderId="45" applyNumberFormat="0" applyFont="0" applyAlignment="0" applyProtection="0"/>
    <xf numFmtId="0" fontId="1" fillId="56" borderId="45" applyNumberFormat="0" applyFont="0" applyAlignment="0" applyProtection="0"/>
    <xf numFmtId="0" fontId="55" fillId="56" borderId="45" applyNumberFormat="0" applyFont="0" applyAlignment="0" applyProtection="0"/>
    <xf numFmtId="0" fontId="1" fillId="56" borderId="45" applyNumberFormat="0" applyFont="0" applyAlignment="0" applyProtection="0"/>
    <xf numFmtId="0" fontId="59"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50" fillId="56" borderId="45" applyNumberFormat="0" applyFont="0" applyAlignment="0" applyProtection="0"/>
    <xf numFmtId="0" fontId="1" fillId="56" borderId="45" applyNumberFormat="0" applyFont="0" applyAlignment="0" applyProtection="0"/>
    <xf numFmtId="0" fontId="51" fillId="56" borderId="45" applyNumberFormat="0" applyFont="0" applyAlignment="0" applyProtection="0"/>
    <xf numFmtId="0" fontId="52" fillId="56" borderId="45" applyNumberFormat="0" applyFont="0" applyAlignment="0" applyProtection="0"/>
    <xf numFmtId="0" fontId="1" fillId="56" borderId="45" applyNumberFormat="0" applyFont="0" applyAlignment="0" applyProtection="0"/>
    <xf numFmtId="0" fontId="54" fillId="56" borderId="45" applyNumberFormat="0" applyFont="0" applyAlignment="0" applyProtection="0"/>
    <xf numFmtId="0" fontId="56" fillId="56" borderId="45" applyNumberFormat="0" applyFont="0" applyAlignment="0" applyProtection="0"/>
    <xf numFmtId="0" fontId="1" fillId="56" borderId="45" applyNumberFormat="0" applyFont="0" applyAlignment="0" applyProtection="0"/>
    <xf numFmtId="0" fontId="57"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60" fillId="56" borderId="45" applyNumberFormat="0" applyFont="0" applyAlignment="0" applyProtection="0"/>
    <xf numFmtId="0" fontId="1" fillId="56" borderId="45" applyNumberFormat="0" applyFont="0" applyAlignment="0" applyProtection="0"/>
    <xf numFmtId="0" fontId="61" fillId="56" borderId="45" applyNumberFormat="0" applyFont="0" applyAlignment="0" applyProtection="0"/>
    <xf numFmtId="0" fontId="1" fillId="56" borderId="45" applyNumberFormat="0" applyFont="0" applyAlignment="0" applyProtection="0"/>
    <xf numFmtId="0" fontId="1" fillId="56" borderId="45" applyNumberFormat="0" applyFont="0" applyAlignment="0" applyProtection="0"/>
    <xf numFmtId="0" fontId="55" fillId="56" borderId="45" applyNumberFormat="0" applyFont="0" applyAlignment="0" applyProtection="0"/>
    <xf numFmtId="0" fontId="1" fillId="56" borderId="45" applyNumberFormat="0" applyFont="0" applyAlignment="0" applyProtection="0"/>
    <xf numFmtId="0" fontId="82" fillId="51" borderId="46" applyNumberFormat="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6" fillId="0" borderId="0" applyFont="0" applyFill="0" applyBorder="0" applyAlignment="0" applyProtection="0"/>
    <xf numFmtId="9" fontId="1" fillId="0" borderId="0" applyFont="0" applyFill="0" applyBorder="0" applyAlignment="0" applyProtection="0"/>
    <xf numFmtId="9" fontId="45" fillId="0" borderId="0" applyFont="0" applyFill="0" applyBorder="0" applyAlignment="0" applyProtection="0"/>
    <xf numFmtId="9" fontId="62"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46" fillId="0" borderId="0" applyFont="0" applyFill="0" applyBorder="0" applyAlignment="0" applyProtection="0"/>
    <xf numFmtId="9" fontId="47" fillId="0" borderId="0" applyFont="0" applyFill="0" applyBorder="0" applyAlignment="0" applyProtection="0"/>
    <xf numFmtId="9" fontId="1" fillId="0" borderId="0" applyFont="0" applyFill="0" applyBorder="0" applyAlignment="0" applyProtection="0"/>
    <xf numFmtId="9" fontId="4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1"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4" fillId="0" borderId="0" applyFont="0" applyFill="0" applyBorder="0" applyAlignment="0" applyProtection="0"/>
    <xf numFmtId="9" fontId="56" fillId="0" borderId="0" applyFont="0" applyFill="0" applyBorder="0" applyAlignment="0" applyProtection="0"/>
    <xf numFmtId="9" fontId="1"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0"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9" fillId="0" borderId="0" applyFont="0" applyFill="0" applyBorder="0" applyAlignment="0" applyProtection="0"/>
    <xf numFmtId="9" fontId="1"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5" fillId="0" borderId="0" applyFont="0" applyFill="0" applyBorder="0" applyAlignment="0" applyProtection="0"/>
    <xf numFmtId="9" fontId="1" fillId="0" borderId="0" applyFont="0" applyFill="0" applyBorder="0" applyAlignment="0" applyProtection="0"/>
    <xf numFmtId="9" fontId="5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3" fillId="0" borderId="0" applyFont="0" applyFill="0" applyBorder="0" applyAlignment="0" applyProtection="0"/>
    <xf numFmtId="9" fontId="1" fillId="0" borderId="0" applyFont="0" applyFill="0" applyBorder="0" applyAlignment="0" applyProtection="0"/>
    <xf numFmtId="9" fontId="36" fillId="0" borderId="0" applyFont="0" applyFill="0" applyBorder="0" applyAlignment="0" applyProtection="0"/>
    <xf numFmtId="9" fontId="45" fillId="0" borderId="0" applyFont="0" applyFill="0" applyBorder="0" applyAlignment="0" applyProtection="0"/>
    <xf numFmtId="9" fontId="62"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46" fillId="0" borderId="0" applyFont="0" applyFill="0" applyBorder="0" applyAlignment="0" applyProtection="0"/>
    <xf numFmtId="9" fontId="47" fillId="0" borderId="0" applyFont="0" applyFill="0" applyBorder="0" applyAlignment="0" applyProtection="0"/>
    <xf numFmtId="9" fontId="1" fillId="0" borderId="0" applyFont="0" applyFill="0" applyBorder="0" applyAlignment="0" applyProtection="0"/>
    <xf numFmtId="9" fontId="4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1"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4" fillId="0" borderId="0" applyFont="0" applyFill="0" applyBorder="0" applyAlignment="0" applyProtection="0"/>
    <xf numFmtId="9" fontId="56" fillId="0" borderId="0" applyFont="0" applyFill="0" applyBorder="0" applyAlignment="0" applyProtection="0"/>
    <xf numFmtId="9" fontId="1"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0"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9" fillId="0" borderId="0" applyFont="0" applyFill="0" applyBorder="0" applyAlignment="0" applyProtection="0"/>
    <xf numFmtId="9" fontId="1"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5" fillId="0" borderId="0" applyFont="0" applyFill="0" applyBorder="0" applyAlignment="0" applyProtection="0"/>
    <xf numFmtId="9" fontId="1" fillId="0" borderId="0" applyFont="0" applyFill="0" applyBorder="0" applyAlignment="0" applyProtection="0"/>
    <xf numFmtId="9" fontId="5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0" fillId="0" borderId="0" applyFont="0" applyFill="0" applyBorder="0" applyAlignment="0" applyProtection="0"/>
    <xf numFmtId="9" fontId="1" fillId="0" borderId="0" applyFont="0" applyFill="0" applyBorder="0" applyAlignment="0" applyProtection="0"/>
    <xf numFmtId="9" fontId="51"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4" fillId="0" borderId="0" applyFont="0" applyFill="0" applyBorder="0" applyAlignment="0" applyProtection="0"/>
    <xf numFmtId="9" fontId="56" fillId="0" borderId="0" applyFont="0" applyFill="0" applyBorder="0" applyAlignment="0" applyProtection="0"/>
    <xf numFmtId="9" fontId="1"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0"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3" fillId="0" borderId="0" applyFont="0" applyFill="0" applyBorder="0" applyAlignment="0" applyProtection="0"/>
    <xf numFmtId="9" fontId="1" fillId="0" borderId="0" applyFont="0" applyFill="0" applyBorder="0" applyAlignment="0" applyProtection="0"/>
    <xf numFmtId="9" fontId="5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5" fillId="0" borderId="0" applyFont="0" applyFill="0" applyBorder="0" applyAlignment="0" applyProtection="0"/>
    <xf numFmtId="9" fontId="62"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46" fillId="0" borderId="0" applyFont="0" applyFill="0" applyBorder="0" applyAlignment="0" applyProtection="0"/>
    <xf numFmtId="9" fontId="47" fillId="0" borderId="0" applyFont="0" applyFill="0" applyBorder="0" applyAlignment="0" applyProtection="0"/>
    <xf numFmtId="9" fontId="1" fillId="0" borderId="0" applyFont="0" applyFill="0" applyBorder="0" applyAlignment="0" applyProtection="0"/>
    <xf numFmtId="9" fontId="4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1"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4" fillId="0" borderId="0" applyFont="0" applyFill="0" applyBorder="0" applyAlignment="0" applyProtection="0"/>
    <xf numFmtId="9" fontId="56" fillId="0" borderId="0" applyFont="0" applyFill="0" applyBorder="0" applyAlignment="0" applyProtection="0"/>
    <xf numFmtId="9" fontId="1"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0"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9" fillId="0" borderId="0" applyFont="0" applyFill="0" applyBorder="0" applyAlignment="0" applyProtection="0"/>
    <xf numFmtId="9" fontId="1"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5" fillId="0" borderId="0" applyFont="0" applyFill="0" applyBorder="0" applyAlignment="0" applyProtection="0"/>
    <xf numFmtId="9" fontId="1" fillId="0" borderId="0" applyFont="0" applyFill="0" applyBorder="0" applyAlignment="0" applyProtection="0"/>
    <xf numFmtId="9" fontId="5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0" fillId="0" borderId="0" applyFont="0" applyFill="0" applyBorder="0" applyAlignment="0" applyProtection="0"/>
    <xf numFmtId="9" fontId="1" fillId="0" borderId="0" applyFont="0" applyFill="0" applyBorder="0" applyAlignment="0" applyProtection="0"/>
    <xf numFmtId="9" fontId="51"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4" fillId="0" borderId="0" applyFont="0" applyFill="0" applyBorder="0" applyAlignment="0" applyProtection="0"/>
    <xf numFmtId="9" fontId="56" fillId="0" borderId="0" applyFont="0" applyFill="0" applyBorder="0" applyAlignment="0" applyProtection="0"/>
    <xf numFmtId="9" fontId="1"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0"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5" fillId="0" borderId="0" applyFont="0" applyFill="0" applyBorder="0" applyAlignment="0" applyProtection="0"/>
    <xf numFmtId="9" fontId="62"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46" fillId="0" borderId="0" applyFont="0" applyFill="0" applyBorder="0" applyAlignment="0" applyProtection="0"/>
    <xf numFmtId="9" fontId="47" fillId="0" borderId="0" applyFont="0" applyFill="0" applyBorder="0" applyAlignment="0" applyProtection="0"/>
    <xf numFmtId="9" fontId="1" fillId="0" borderId="0" applyFont="0" applyFill="0" applyBorder="0" applyAlignment="0" applyProtection="0"/>
    <xf numFmtId="9" fontId="4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1"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4" fillId="0" borderId="0" applyFont="0" applyFill="0" applyBorder="0" applyAlignment="0" applyProtection="0"/>
    <xf numFmtId="9" fontId="56" fillId="0" borderId="0" applyFont="0" applyFill="0" applyBorder="0" applyAlignment="0" applyProtection="0"/>
    <xf numFmtId="9" fontId="1"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0"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9" fillId="0" borderId="0" applyFont="0" applyFill="0" applyBorder="0" applyAlignment="0" applyProtection="0"/>
    <xf numFmtId="9" fontId="1"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5" fillId="0" borderId="0" applyFont="0" applyFill="0" applyBorder="0" applyAlignment="0" applyProtection="0"/>
    <xf numFmtId="9" fontId="1" fillId="0" borderId="0" applyFont="0" applyFill="0" applyBorder="0" applyAlignment="0" applyProtection="0"/>
    <xf numFmtId="9" fontId="5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3" fillId="0" borderId="0" applyFont="0" applyFill="0" applyBorder="0" applyAlignment="0" applyProtection="0"/>
    <xf numFmtId="9" fontId="1" fillId="0" borderId="0" applyFont="0" applyFill="0" applyBorder="0" applyAlignment="0" applyProtection="0"/>
    <xf numFmtId="9" fontId="36" fillId="0" borderId="0" applyFont="0" applyFill="0" applyBorder="0" applyAlignment="0" applyProtection="0"/>
    <xf numFmtId="9" fontId="45" fillId="0" borderId="0" applyFont="0" applyFill="0" applyBorder="0" applyAlignment="0" applyProtection="0"/>
    <xf numFmtId="9" fontId="62"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46" fillId="0" borderId="0" applyFont="0" applyFill="0" applyBorder="0" applyAlignment="0" applyProtection="0"/>
    <xf numFmtId="9" fontId="47" fillId="0" borderId="0" applyFont="0" applyFill="0" applyBorder="0" applyAlignment="0" applyProtection="0"/>
    <xf numFmtId="9" fontId="1" fillId="0" borderId="0" applyFont="0" applyFill="0" applyBorder="0" applyAlignment="0" applyProtection="0"/>
    <xf numFmtId="9" fontId="4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1"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4" fillId="0" borderId="0" applyFont="0" applyFill="0" applyBorder="0" applyAlignment="0" applyProtection="0"/>
    <xf numFmtId="9" fontId="56" fillId="0" borderId="0" applyFont="0" applyFill="0" applyBorder="0" applyAlignment="0" applyProtection="0"/>
    <xf numFmtId="9" fontId="1"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0"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9" fillId="0" borderId="0" applyFont="0" applyFill="0" applyBorder="0" applyAlignment="0" applyProtection="0"/>
    <xf numFmtId="9" fontId="1"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5" fillId="0" borderId="0" applyFont="0" applyFill="0" applyBorder="0" applyAlignment="0" applyProtection="0"/>
    <xf numFmtId="9" fontId="1" fillId="0" borderId="0" applyFont="0" applyFill="0" applyBorder="0" applyAlignment="0" applyProtection="0"/>
    <xf numFmtId="9" fontId="5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0" fillId="0" borderId="0" applyFont="0" applyFill="0" applyBorder="0" applyAlignment="0" applyProtection="0"/>
    <xf numFmtId="9" fontId="1" fillId="0" borderId="0" applyFont="0" applyFill="0" applyBorder="0" applyAlignment="0" applyProtection="0"/>
    <xf numFmtId="9" fontId="51"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4" fillId="0" borderId="0" applyFont="0" applyFill="0" applyBorder="0" applyAlignment="0" applyProtection="0"/>
    <xf numFmtId="9" fontId="56" fillId="0" borderId="0" applyFont="0" applyFill="0" applyBorder="0" applyAlignment="0" applyProtection="0"/>
    <xf numFmtId="9" fontId="1"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0"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3" fillId="0" borderId="0" applyFont="0" applyFill="0" applyBorder="0" applyAlignment="0" applyProtection="0"/>
    <xf numFmtId="9" fontId="1" fillId="0" borderId="0" applyFont="0" applyFill="0" applyBorder="0" applyAlignment="0" applyProtection="0"/>
    <xf numFmtId="9" fontId="5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83" fillId="0" borderId="0" applyNumberFormat="0" applyFill="0" applyBorder="0" applyAlignment="0" applyProtection="0"/>
    <xf numFmtId="0" fontId="65" fillId="0" borderId="47" applyNumberFormat="0" applyFill="0" applyAlignment="0" applyProtection="0"/>
    <xf numFmtId="0" fontId="84" fillId="0" borderId="0" applyNumberFormat="0" applyFill="0" applyBorder="0" applyAlignment="0" applyProtection="0"/>
  </cellStyleXfs>
  <cellXfs count="550">
    <xf numFmtId="0" fontId="0" fillId="0" borderId="0" xfId="0"/>
    <xf numFmtId="0" fontId="19" fillId="9" borderId="1" xfId="0" applyFont="1" applyFill="1" applyBorder="1" applyAlignment="1">
      <alignment horizontal="center" vertical="center" wrapText="1"/>
    </xf>
    <xf numFmtId="0" fontId="20" fillId="9" borderId="1" xfId="0" applyFont="1" applyFill="1" applyBorder="1" applyAlignment="1">
      <alignment horizontal="left" vertical="center" wrapText="1"/>
    </xf>
    <xf numFmtId="0" fontId="0" fillId="9" borderId="1" xfId="0" applyFont="1" applyFill="1" applyBorder="1" applyAlignment="1">
      <alignment horizontal="left" wrapText="1"/>
    </xf>
    <xf numFmtId="0" fontId="21" fillId="9" borderId="1" xfId="0" applyFont="1" applyFill="1" applyBorder="1" applyAlignment="1">
      <alignment vertical="top" wrapText="1"/>
    </xf>
    <xf numFmtId="0" fontId="0" fillId="0" borderId="0" xfId="0" applyAlignment="1">
      <alignment wrapText="1"/>
    </xf>
    <xf numFmtId="0" fontId="0" fillId="9" borderId="1" xfId="0" applyFont="1" applyFill="1" applyBorder="1" applyAlignment="1">
      <alignment wrapText="1"/>
    </xf>
    <xf numFmtId="0" fontId="0" fillId="0" borderId="1" xfId="0" applyBorder="1" applyAlignment="1">
      <alignment wrapText="1"/>
    </xf>
    <xf numFmtId="0" fontId="0" fillId="0" borderId="0" xfId="0" applyNumberFormat="1" applyAlignment="1">
      <alignment wrapText="1"/>
    </xf>
    <xf numFmtId="0" fontId="0" fillId="0" borderId="0" xfId="0" applyNumberFormat="1" applyAlignment="1">
      <alignment horizontal="center" wrapText="1"/>
    </xf>
    <xf numFmtId="0" fontId="0" fillId="0" borderId="0" xfId="0" applyAlignment="1">
      <alignment horizontal="center" wrapText="1"/>
    </xf>
    <xf numFmtId="0" fontId="0" fillId="0" borderId="1" xfId="0" applyFill="1" applyBorder="1" applyAlignment="1">
      <alignment wrapText="1"/>
    </xf>
    <xf numFmtId="49" fontId="3" fillId="10" borderId="2" xfId="218" applyNumberFormat="1" applyFont="1" applyFill="1" applyBorder="1" applyAlignment="1">
      <alignment horizontal="center" vertical="center" wrapText="1"/>
    </xf>
    <xf numFmtId="0" fontId="3" fillId="10" borderId="3" xfId="218" applyNumberFormat="1" applyFont="1" applyFill="1" applyBorder="1" applyAlignment="1">
      <alignment horizontal="center" vertical="center" wrapText="1"/>
    </xf>
    <xf numFmtId="0" fontId="3" fillId="10" borderId="2" xfId="218" applyNumberFormat="1" applyFont="1" applyFill="1" applyBorder="1" applyAlignment="1">
      <alignment horizontal="center" vertical="center" wrapText="1"/>
    </xf>
    <xf numFmtId="0" fontId="21" fillId="0" borderId="1" xfId="0" applyFont="1" applyFill="1" applyBorder="1" applyAlignment="1">
      <alignment vertical="top" wrapText="1"/>
    </xf>
    <xf numFmtId="49" fontId="0" fillId="0" borderId="0" xfId="0" applyNumberFormat="1" applyAlignment="1">
      <alignment wrapText="1"/>
    </xf>
    <xf numFmtId="49" fontId="3" fillId="10" borderId="4" xfId="218" applyNumberFormat="1" applyFont="1" applyFill="1" applyBorder="1" applyAlignment="1">
      <alignment horizontal="center" vertical="center" wrapText="1"/>
    </xf>
    <xf numFmtId="0" fontId="3" fillId="10" borderId="5" xfId="218" applyNumberFormat="1" applyFont="1" applyFill="1" applyBorder="1" applyAlignment="1">
      <alignment horizontal="center" vertical="center" wrapText="1"/>
    </xf>
    <xf numFmtId="0" fontId="0" fillId="9" borderId="6" xfId="0" applyFont="1" applyFill="1" applyBorder="1" applyAlignment="1">
      <alignment wrapText="1"/>
    </xf>
    <xf numFmtId="0" fontId="0" fillId="0" borderId="6" xfId="0" applyFont="1" applyBorder="1"/>
    <xf numFmtId="0" fontId="20" fillId="9" borderId="6" xfId="0" applyFont="1" applyFill="1" applyBorder="1" applyAlignment="1">
      <alignment horizontal="left" vertical="center" wrapText="1"/>
    </xf>
    <xf numFmtId="0" fontId="0" fillId="0" borderId="6" xfId="0" applyFill="1" applyBorder="1"/>
    <xf numFmtId="0" fontId="0" fillId="9" borderId="6" xfId="0" applyFont="1" applyFill="1" applyBorder="1"/>
    <xf numFmtId="0" fontId="0" fillId="0" borderId="6" xfId="0" applyBorder="1"/>
    <xf numFmtId="0" fontId="0" fillId="9" borderId="6" xfId="0" applyFont="1" applyFill="1" applyBorder="1" applyAlignment="1">
      <alignment horizontal="left" wrapText="1"/>
    </xf>
    <xf numFmtId="49" fontId="0" fillId="0" borderId="6" xfId="0" applyNumberFormat="1" applyBorder="1"/>
    <xf numFmtId="0" fontId="0" fillId="0" borderId="6" xfId="0" applyFill="1" applyBorder="1" applyAlignment="1">
      <alignment horizontal="left" vertical="center" wrapText="1"/>
    </xf>
    <xf numFmtId="0" fontId="0" fillId="0" borderId="6" xfId="0" applyFill="1" applyBorder="1" applyAlignment="1">
      <alignment wrapText="1"/>
    </xf>
    <xf numFmtId="0" fontId="0" fillId="0" borderId="1" xfId="0" applyNumberFormat="1" applyBorder="1" applyAlignment="1">
      <alignment wrapText="1"/>
    </xf>
    <xf numFmtId="0" fontId="0" fillId="0" borderId="1" xfId="0" applyFont="1" applyBorder="1" applyAlignment="1">
      <alignment horizontal="center" wrapText="1"/>
    </xf>
    <xf numFmtId="0" fontId="0" fillId="11" borderId="1" xfId="0" applyNumberFormat="1" applyFill="1" applyBorder="1" applyAlignment="1">
      <alignment wrapText="1"/>
    </xf>
    <xf numFmtId="49" fontId="0" fillId="11" borderId="1" xfId="0" applyNumberFormat="1" applyFill="1" applyBorder="1" applyAlignment="1">
      <alignment wrapText="1"/>
    </xf>
    <xf numFmtId="0" fontId="0" fillId="11" borderId="0" xfId="0" applyFill="1" applyAlignment="1">
      <alignment wrapText="1"/>
    </xf>
    <xf numFmtId="0" fontId="0" fillId="11" borderId="1" xfId="0" applyFont="1" applyFill="1" applyBorder="1" applyAlignment="1">
      <alignment wrapText="1"/>
    </xf>
    <xf numFmtId="0" fontId="0" fillId="11" borderId="0" xfId="0" applyNumberFormat="1" applyFill="1" applyAlignment="1">
      <alignment wrapText="1"/>
    </xf>
    <xf numFmtId="0" fontId="20" fillId="0" borderId="0" xfId="0" applyFont="1"/>
    <xf numFmtId="12" fontId="3" fillId="10" borderId="2" xfId="218" applyNumberFormat="1" applyFont="1" applyFill="1" applyBorder="1" applyAlignment="1">
      <alignment horizontal="center" vertical="top" wrapText="1"/>
    </xf>
    <xf numFmtId="12" fontId="3" fillId="12" borderId="7" xfId="218" applyNumberFormat="1" applyFont="1" applyFill="1" applyBorder="1" applyAlignment="1">
      <alignment horizontal="center" vertical="top" wrapText="1"/>
    </xf>
    <xf numFmtId="12" fontId="4" fillId="0" borderId="0" xfId="218" applyNumberFormat="1" applyFont="1" applyAlignment="1">
      <alignment horizontal="center" vertical="top" wrapText="1"/>
    </xf>
    <xf numFmtId="12" fontId="3" fillId="10" borderId="3" xfId="218" applyNumberFormat="1" applyFont="1" applyFill="1" applyBorder="1" applyAlignment="1">
      <alignment horizontal="center" vertical="top" wrapText="1"/>
    </xf>
    <xf numFmtId="12" fontId="3" fillId="12" borderId="1" xfId="218" applyNumberFormat="1" applyFont="1" applyFill="1" applyBorder="1" applyAlignment="1">
      <alignment horizontal="center" vertical="top" wrapText="1"/>
    </xf>
    <xf numFmtId="12" fontId="3" fillId="12" borderId="3" xfId="218" applyNumberFormat="1" applyFont="1" applyFill="1" applyBorder="1" applyAlignment="1">
      <alignment horizontal="center" vertical="top" wrapText="1"/>
    </xf>
    <xf numFmtId="0" fontId="22" fillId="9" borderId="1" xfId="218" applyFont="1" applyFill="1" applyBorder="1" applyAlignment="1">
      <alignment horizontal="center" vertical="top" wrapText="1"/>
    </xf>
    <xf numFmtId="0" fontId="0" fillId="9" borderId="1" xfId="0" applyFont="1" applyFill="1" applyBorder="1" applyAlignment="1">
      <alignment horizontal="center" vertical="top" wrapText="1"/>
    </xf>
    <xf numFmtId="0" fontId="0" fillId="9" borderId="1" xfId="0" applyFont="1" applyFill="1" applyBorder="1" applyAlignment="1">
      <alignment horizontal="center" vertical="top"/>
    </xf>
    <xf numFmtId="0" fontId="4" fillId="0" borderId="0" xfId="218" applyFont="1" applyFill="1" applyBorder="1" applyAlignment="1">
      <alignment horizontal="center" vertical="top" wrapText="1"/>
    </xf>
    <xf numFmtId="0" fontId="22" fillId="9" borderId="1" xfId="218" applyFont="1" applyFill="1" applyBorder="1" applyAlignment="1">
      <alignment horizontal="left" vertical="top" wrapText="1"/>
    </xf>
    <xf numFmtId="0" fontId="0" fillId="9" borderId="1" xfId="0" applyFill="1" applyBorder="1" applyAlignment="1">
      <alignment horizontal="left" vertical="top" wrapText="1"/>
    </xf>
    <xf numFmtId="0" fontId="23" fillId="0" borderId="0" xfId="0" applyFont="1" applyAlignment="1">
      <alignment horizontal="center" vertical="top" wrapText="1"/>
    </xf>
    <xf numFmtId="0" fontId="23" fillId="0" borderId="0" xfId="0" applyFont="1" applyAlignment="1">
      <alignment horizontal="center" vertical="top"/>
    </xf>
    <xf numFmtId="49" fontId="0" fillId="0" borderId="1" xfId="0" applyNumberFormat="1" applyBorder="1" applyAlignment="1">
      <alignment horizontal="left" vertical="top" wrapText="1"/>
    </xf>
    <xf numFmtId="0" fontId="0" fillId="0" borderId="1" xfId="0" applyBorder="1" applyAlignment="1">
      <alignment horizontal="left" vertical="top" wrapText="1"/>
    </xf>
    <xf numFmtId="0" fontId="23" fillId="0" borderId="0" xfId="0" applyFont="1" applyFill="1" applyBorder="1" applyAlignment="1">
      <alignment horizontal="center" vertical="top"/>
    </xf>
    <xf numFmtId="0" fontId="5" fillId="0" borderId="0" xfId="0" applyFont="1" applyFill="1" applyBorder="1" applyAlignment="1">
      <alignment horizontal="center" vertical="top"/>
    </xf>
    <xf numFmtId="12" fontId="23" fillId="0" borderId="0" xfId="0" applyNumberFormat="1" applyFont="1" applyAlignment="1">
      <alignment horizontal="center" vertical="top"/>
    </xf>
    <xf numFmtId="49" fontId="22" fillId="9" borderId="1" xfId="218" applyNumberFormat="1" applyFont="1" applyFill="1" applyBorder="1" applyAlignment="1">
      <alignment horizontal="center" vertical="top" wrapText="1"/>
    </xf>
    <xf numFmtId="49" fontId="0" fillId="0" borderId="1" xfId="0" applyNumberFormat="1" applyBorder="1" applyAlignment="1">
      <alignment horizontal="center" vertical="top"/>
    </xf>
    <xf numFmtId="14" fontId="0" fillId="0" borderId="1" xfId="0" applyNumberFormat="1" applyBorder="1" applyAlignment="1">
      <alignment horizontal="center" vertical="top"/>
    </xf>
    <xf numFmtId="0" fontId="0" fillId="0" borderId="1" xfId="0" applyFont="1" applyBorder="1" applyAlignment="1">
      <alignment horizontal="center" vertical="top"/>
    </xf>
    <xf numFmtId="0" fontId="0" fillId="0" borderId="1" xfId="0" applyBorder="1" applyAlignment="1">
      <alignment horizontal="center" vertical="top"/>
    </xf>
    <xf numFmtId="0" fontId="23" fillId="0" borderId="1" xfId="0" applyFont="1" applyBorder="1" applyAlignment="1">
      <alignment horizontal="center" vertical="top"/>
    </xf>
    <xf numFmtId="0" fontId="0" fillId="0" borderId="1" xfId="0" applyBorder="1" applyAlignment="1">
      <alignment horizontal="center" vertical="top" wrapText="1"/>
    </xf>
    <xf numFmtId="0" fontId="0" fillId="9" borderId="1" xfId="0" applyFill="1" applyBorder="1" applyAlignment="1">
      <alignment horizontal="center" vertical="top"/>
    </xf>
    <xf numFmtId="0" fontId="0" fillId="9" borderId="1" xfId="0" applyFill="1" applyBorder="1" applyAlignment="1">
      <alignment horizontal="center" vertical="top" wrapText="1"/>
    </xf>
    <xf numFmtId="49" fontId="0" fillId="12" borderId="1" xfId="0" applyNumberFormat="1" applyFill="1" applyBorder="1" applyAlignment="1">
      <alignment horizontal="center" vertical="top"/>
    </xf>
    <xf numFmtId="0" fontId="23" fillId="0" borderId="0" xfId="0" applyFont="1" applyFill="1" applyAlignment="1">
      <alignment horizontal="center" vertical="top"/>
    </xf>
    <xf numFmtId="49" fontId="0" fillId="0" borderId="1" xfId="0" applyNumberFormat="1" applyFont="1" applyBorder="1" applyAlignment="1">
      <alignment horizontal="left" vertical="top" wrapText="1"/>
    </xf>
    <xf numFmtId="49" fontId="0" fillId="0" borderId="1" xfId="0" applyNumberFormat="1" applyFill="1" applyBorder="1" applyAlignment="1">
      <alignment horizontal="center" vertical="top"/>
    </xf>
    <xf numFmtId="49" fontId="0" fillId="0" borderId="1" xfId="0" applyNumberFormat="1" applyFill="1" applyBorder="1" applyAlignment="1">
      <alignment horizontal="left" vertical="top" wrapText="1"/>
    </xf>
    <xf numFmtId="14" fontId="0" fillId="0" borderId="1" xfId="0" applyNumberFormat="1" applyFill="1" applyBorder="1" applyAlignment="1">
      <alignment horizontal="center" vertical="top"/>
    </xf>
    <xf numFmtId="0" fontId="0" fillId="0" borderId="1" xfId="0" applyFont="1" applyFill="1" applyBorder="1" applyAlignment="1">
      <alignment horizontal="center" vertical="top"/>
    </xf>
    <xf numFmtId="0" fontId="0" fillId="0" borderId="1" xfId="0" applyFill="1" applyBorder="1" applyAlignment="1">
      <alignment horizontal="center" vertical="top"/>
    </xf>
    <xf numFmtId="0" fontId="23" fillId="0" borderId="1" xfId="0" applyFont="1" applyFill="1" applyBorder="1" applyAlignment="1">
      <alignment horizontal="center" vertical="top"/>
    </xf>
    <xf numFmtId="0" fontId="0" fillId="0" borderId="1" xfId="0" applyFill="1" applyBorder="1" applyAlignment="1">
      <alignment horizontal="center" vertical="top" wrapText="1"/>
    </xf>
    <xf numFmtId="0" fontId="0" fillId="13" borderId="1" xfId="0" applyFill="1" applyBorder="1" applyAlignment="1">
      <alignment horizontal="left" vertical="top" wrapText="1"/>
    </xf>
    <xf numFmtId="0" fontId="0" fillId="13" borderId="1" xfId="0" applyFill="1" applyBorder="1" applyAlignment="1">
      <alignment horizontal="center" vertical="top"/>
    </xf>
    <xf numFmtId="0" fontId="0" fillId="13" borderId="1" xfId="0" applyFont="1" applyFill="1" applyBorder="1" applyAlignment="1">
      <alignment horizontal="center" vertical="top"/>
    </xf>
    <xf numFmtId="0" fontId="0" fillId="13" borderId="1" xfId="0" applyFill="1" applyBorder="1" applyAlignment="1">
      <alignment horizontal="center" vertical="top" wrapText="1"/>
    </xf>
    <xf numFmtId="0" fontId="20" fillId="13" borderId="1" xfId="0" applyFont="1" applyFill="1" applyBorder="1" applyAlignment="1">
      <alignment horizontal="center" vertical="top"/>
    </xf>
    <xf numFmtId="14" fontId="0" fillId="13" borderId="1" xfId="0" applyNumberFormat="1" applyFill="1" applyBorder="1" applyAlignment="1">
      <alignment horizontal="center" vertical="top"/>
    </xf>
    <xf numFmtId="12" fontId="22" fillId="10" borderId="1" xfId="218" applyNumberFormat="1" applyFont="1" applyFill="1" applyBorder="1" applyAlignment="1">
      <alignment horizontal="center" vertical="center" wrapText="1"/>
    </xf>
    <xf numFmtId="0" fontId="0" fillId="0" borderId="1" xfId="0" applyBorder="1"/>
    <xf numFmtId="0" fontId="24" fillId="0" borderId="1" xfId="0" applyFont="1" applyBorder="1" applyAlignment="1">
      <alignment horizontal="center" vertical="top" wrapText="1"/>
    </xf>
    <xf numFmtId="0" fontId="22" fillId="0" borderId="1" xfId="0" applyFont="1" applyBorder="1" applyAlignment="1">
      <alignment horizontal="center" vertical="top" wrapText="1"/>
    </xf>
    <xf numFmtId="0" fontId="22" fillId="0" borderId="1" xfId="0" applyFont="1" applyBorder="1" applyAlignment="1">
      <alignment horizontal="left" vertical="top" wrapText="1"/>
    </xf>
    <xf numFmtId="0" fontId="18" fillId="0" borderId="1" xfId="0" applyFont="1" applyFill="1" applyBorder="1" applyAlignment="1">
      <alignment horizontal="center" vertical="top"/>
    </xf>
    <xf numFmtId="0" fontId="0" fillId="0" borderId="1" xfId="0" applyBorder="1" applyAlignment="1">
      <alignment horizontal="center"/>
    </xf>
    <xf numFmtId="16" fontId="0" fillId="0" borderId="1" xfId="0" applyNumberFormat="1" applyBorder="1"/>
    <xf numFmtId="0" fontId="25" fillId="0" borderId="1" xfId="0" applyFont="1" applyBorder="1" applyAlignment="1">
      <alignment vertical="top" wrapText="1"/>
    </xf>
    <xf numFmtId="0" fontId="0" fillId="0" borderId="1" xfId="0" applyBorder="1" applyAlignment="1">
      <alignment horizontal="center" vertical="center"/>
    </xf>
    <xf numFmtId="0" fontId="0" fillId="0" borderId="1" xfId="0" applyBorder="1" applyAlignment="1">
      <alignment horizontal="left" wrapText="1"/>
    </xf>
    <xf numFmtId="0" fontId="6" fillId="0" borderId="1" xfId="0" applyFont="1" applyBorder="1" applyAlignment="1">
      <alignment horizontal="center" vertical="top" wrapText="1"/>
    </xf>
    <xf numFmtId="0" fontId="22" fillId="0" borderId="1" xfId="0" applyFont="1" applyBorder="1" applyAlignment="1">
      <alignment horizontal="center" vertical="center" wrapText="1"/>
    </xf>
    <xf numFmtId="0" fontId="0" fillId="0" borderId="1" xfId="0" applyFill="1" applyBorder="1" applyAlignment="1">
      <alignment horizontal="center" vertical="center"/>
    </xf>
    <xf numFmtId="0" fontId="22" fillId="0" borderId="1" xfId="0" applyFont="1" applyBorder="1" applyAlignment="1">
      <alignment vertical="top" wrapText="1"/>
    </xf>
    <xf numFmtId="0" fontId="18" fillId="0" borderId="1" xfId="0" applyFont="1" applyBorder="1" applyAlignment="1">
      <alignment horizontal="center" vertical="top"/>
    </xf>
    <xf numFmtId="0" fontId="22" fillId="0" borderId="0" xfId="0" applyFont="1" applyAlignment="1">
      <alignment horizontal="center" vertical="top" wrapText="1"/>
    </xf>
    <xf numFmtId="0" fontId="0" fillId="0" borderId="0" xfId="0" applyFont="1" applyAlignment="1">
      <alignment horizontal="center" vertical="top"/>
    </xf>
    <xf numFmtId="49" fontId="26" fillId="0" borderId="1" xfId="0" applyNumberFormat="1" applyFont="1" applyFill="1" applyBorder="1" applyAlignment="1">
      <alignment horizontal="center" vertical="center" wrapText="1"/>
    </xf>
    <xf numFmtId="0" fontId="22" fillId="0" borderId="1" xfId="0" applyFont="1" applyFill="1" applyBorder="1" applyAlignment="1">
      <alignment horizontal="center" vertical="top" wrapText="1"/>
    </xf>
    <xf numFmtId="0" fontId="22" fillId="0" borderId="1" xfId="0" applyFont="1" applyFill="1" applyBorder="1" applyAlignment="1">
      <alignment horizontal="center" vertical="top"/>
    </xf>
    <xf numFmtId="0" fontId="22" fillId="13" borderId="1" xfId="0" applyFont="1" applyFill="1" applyBorder="1" applyAlignment="1">
      <alignment horizontal="center" vertical="top" wrapText="1"/>
    </xf>
    <xf numFmtId="49" fontId="22" fillId="0" borderId="1" xfId="0" applyNumberFormat="1" applyFont="1" applyFill="1" applyBorder="1" applyAlignment="1">
      <alignment horizontal="center" vertical="center"/>
    </xf>
    <xf numFmtId="49" fontId="27" fillId="0" borderId="1" xfId="0" applyNumberFormat="1" applyFont="1" applyBorder="1" applyAlignment="1">
      <alignment horizontal="center" vertical="center" wrapText="1"/>
    </xf>
    <xf numFmtId="49" fontId="0" fillId="0" borderId="1" xfId="0" applyNumberFormat="1" applyFont="1" applyFill="1" applyBorder="1" applyAlignment="1">
      <alignment horizontal="center" vertical="center"/>
    </xf>
    <xf numFmtId="0" fontId="22" fillId="0" borderId="1" xfId="0" applyFont="1" applyBorder="1" applyAlignment="1">
      <alignment horizontal="left" vertical="top"/>
    </xf>
    <xf numFmtId="0" fontId="0" fillId="0" borderId="1" xfId="0" applyFont="1" applyBorder="1"/>
    <xf numFmtId="16" fontId="0" fillId="0" borderId="1" xfId="0" applyNumberFormat="1" applyFont="1" applyBorder="1"/>
    <xf numFmtId="14" fontId="0" fillId="0" borderId="1" xfId="0" applyNumberFormat="1" applyFont="1" applyBorder="1" applyAlignment="1">
      <alignment horizontal="center" vertical="top"/>
    </xf>
    <xf numFmtId="0" fontId="0" fillId="0" borderId="1" xfId="0" applyFont="1" applyFill="1" applyBorder="1" applyAlignment="1">
      <alignment vertical="top"/>
    </xf>
    <xf numFmtId="0" fontId="0" fillId="0" borderId="1" xfId="0" applyFont="1" applyBorder="1" applyAlignment="1">
      <alignment vertical="top"/>
    </xf>
    <xf numFmtId="49" fontId="26" fillId="9" borderId="8" xfId="218" applyNumberFormat="1" applyFont="1" applyFill="1" applyBorder="1" applyAlignment="1">
      <alignment horizontal="center" vertical="top" wrapText="1"/>
    </xf>
    <xf numFmtId="0" fontId="26" fillId="9" borderId="8" xfId="0" applyFont="1" applyFill="1" applyBorder="1" applyAlignment="1">
      <alignment horizontal="center"/>
    </xf>
    <xf numFmtId="0" fontId="0" fillId="9" borderId="8" xfId="0" applyFill="1" applyBorder="1" applyAlignment="1">
      <alignment horizontal="center" vertical="top"/>
    </xf>
    <xf numFmtId="49" fontId="28" fillId="9" borderId="8" xfId="0" applyNumberFormat="1" applyFont="1" applyFill="1" applyBorder="1" applyAlignment="1">
      <alignment horizontal="center" vertical="center" wrapText="1"/>
    </xf>
    <xf numFmtId="0" fontId="17" fillId="9" borderId="8" xfId="0" applyFont="1" applyFill="1" applyBorder="1" applyAlignment="1">
      <alignment horizontal="center" vertical="top"/>
    </xf>
    <xf numFmtId="0" fontId="22" fillId="0" borderId="1" xfId="0" applyFont="1" applyBorder="1" applyAlignment="1">
      <alignment horizontal="left" vertical="center" wrapText="1"/>
    </xf>
    <xf numFmtId="0" fontId="0" fillId="0" borderId="1" xfId="0" applyFont="1" applyFill="1" applyBorder="1" applyAlignment="1">
      <alignment horizontal="center" vertical="center"/>
    </xf>
    <xf numFmtId="0" fontId="0" fillId="0" borderId="1" xfId="0" applyBorder="1" applyAlignment="1">
      <alignment vertical="center" wrapText="1"/>
    </xf>
    <xf numFmtId="0" fontId="0" fillId="0" borderId="0" xfId="0" applyAlignment="1">
      <alignment vertical="center"/>
    </xf>
    <xf numFmtId="0" fontId="29" fillId="0" borderId="1" xfId="0" applyFont="1" applyBorder="1" applyAlignment="1">
      <alignment vertical="top" wrapText="1"/>
    </xf>
    <xf numFmtId="0" fontId="17" fillId="14" borderId="1" xfId="0" applyFont="1" applyFill="1" applyBorder="1" applyAlignment="1">
      <alignment horizontal="center" vertical="center"/>
    </xf>
    <xf numFmtId="0" fontId="17" fillId="14" borderId="1" xfId="0" applyFont="1" applyFill="1" applyBorder="1" applyAlignment="1">
      <alignment horizontal="center"/>
    </xf>
    <xf numFmtId="16" fontId="0" fillId="0" borderId="1" xfId="0" applyNumberFormat="1" applyBorder="1" applyAlignment="1">
      <alignment horizontal="center"/>
    </xf>
    <xf numFmtId="14" fontId="0" fillId="0" borderId="1" xfId="0" applyNumberFormat="1" applyBorder="1" applyAlignment="1">
      <alignment horizontal="center" vertical="center"/>
    </xf>
    <xf numFmtId="0" fontId="0" fillId="0" borderId="1" xfId="0" applyFill="1" applyBorder="1" applyAlignment="1">
      <alignment horizontal="center" vertical="center" wrapText="1"/>
    </xf>
    <xf numFmtId="0" fontId="26" fillId="9" borderId="8" xfId="0" applyFont="1" applyFill="1" applyBorder="1" applyAlignment="1">
      <alignment horizontal="center" vertical="center"/>
    </xf>
    <xf numFmtId="0" fontId="0" fillId="0" borderId="1" xfId="0" applyFont="1" applyBorder="1" applyAlignment="1">
      <alignment horizontal="center" vertical="center"/>
    </xf>
    <xf numFmtId="0" fontId="0" fillId="0" borderId="0" xfId="0" applyAlignment="1">
      <alignment horizontal="center" vertical="center"/>
    </xf>
    <xf numFmtId="16" fontId="0" fillId="0" borderId="1" xfId="0" applyNumberFormat="1" applyFont="1" applyBorder="1" applyAlignment="1">
      <alignment horizontal="center" vertical="center"/>
    </xf>
    <xf numFmtId="0" fontId="22" fillId="0" borderId="1" xfId="0" applyFont="1" applyFill="1" applyBorder="1" applyAlignment="1">
      <alignment horizontal="center" vertical="center" wrapText="1"/>
    </xf>
    <xf numFmtId="0" fontId="0" fillId="0" borderId="0" xfId="0" applyAlignment="1">
      <alignment vertical="center" wrapText="1"/>
    </xf>
    <xf numFmtId="0" fontId="22" fillId="0" borderId="3" xfId="0" applyFont="1" applyBorder="1" applyAlignment="1">
      <alignment horizontal="left" vertical="top" wrapText="1"/>
    </xf>
    <xf numFmtId="0" fontId="0" fillId="0"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15" borderId="1" xfId="0" applyFill="1" applyBorder="1" applyAlignment="1">
      <alignment vertical="center" wrapText="1"/>
    </xf>
    <xf numFmtId="0" fontId="0" fillId="16" borderId="1" xfId="0" applyFill="1" applyBorder="1" applyAlignment="1">
      <alignment vertical="center" wrapText="1"/>
    </xf>
    <xf numFmtId="0" fontId="22" fillId="15" borderId="1" xfId="0" applyFont="1" applyFill="1" applyBorder="1" applyAlignment="1">
      <alignment horizontal="center" vertical="top" wrapText="1"/>
    </xf>
    <xf numFmtId="0" fontId="0" fillId="0" borderId="9" xfId="0" applyBorder="1"/>
    <xf numFmtId="0" fontId="0" fillId="0" borderId="10" xfId="0" applyBorder="1"/>
    <xf numFmtId="0" fontId="0" fillId="0" borderId="11" xfId="0" applyBorder="1"/>
    <xf numFmtId="0" fontId="0" fillId="0" borderId="8" xfId="0" applyBorder="1"/>
    <xf numFmtId="0" fontId="0" fillId="0" borderId="8" xfId="0" applyFont="1" applyBorder="1" applyAlignment="1">
      <alignment horizontal="center" vertical="top"/>
    </xf>
    <xf numFmtId="0" fontId="22" fillId="0" borderId="1" xfId="0" applyFont="1" applyBorder="1" applyAlignment="1">
      <alignment horizontal="left" vertical="top" wrapText="1" indent="2"/>
    </xf>
    <xf numFmtId="0" fontId="22" fillId="0" borderId="1" xfId="0" applyFont="1" applyBorder="1" applyAlignment="1">
      <alignment horizontal="left" vertical="top" wrapText="1" readingOrder="1"/>
    </xf>
    <xf numFmtId="0" fontId="18" fillId="0" borderId="1" xfId="0" applyFont="1" applyBorder="1" applyAlignment="1">
      <alignment horizontal="left" vertical="top" wrapText="1" readingOrder="1"/>
    </xf>
    <xf numFmtId="0" fontId="30" fillId="0" borderId="1" xfId="0" applyFont="1" applyBorder="1" applyAlignment="1">
      <alignment horizontal="left" vertical="top" wrapText="1" readingOrder="1"/>
    </xf>
    <xf numFmtId="0" fontId="18" fillId="0" borderId="1" xfId="0" applyFont="1" applyFill="1" applyBorder="1" applyAlignment="1">
      <alignment horizontal="center" vertical="top" wrapText="1"/>
    </xf>
    <xf numFmtId="0" fontId="0" fillId="0" borderId="8" xfId="0" applyBorder="1" applyAlignment="1">
      <alignment horizontal="center" vertical="center"/>
    </xf>
    <xf numFmtId="0" fontId="0" fillId="0" borderId="1" xfId="0" applyBorder="1" applyAlignment="1">
      <alignment horizontal="left" vertical="center"/>
    </xf>
    <xf numFmtId="0" fontId="0" fillId="0" borderId="1" xfId="0" applyFill="1" applyBorder="1"/>
    <xf numFmtId="0" fontId="0" fillId="14" borderId="1" xfId="0" applyFill="1" applyBorder="1" applyAlignment="1">
      <alignment horizontal="center" vertical="center"/>
    </xf>
    <xf numFmtId="49" fontId="26" fillId="9" borderId="1" xfId="0" applyNumberFormat="1" applyFont="1" applyFill="1" applyBorder="1" applyAlignment="1">
      <alignment horizontal="center" vertical="center" wrapText="1"/>
    </xf>
    <xf numFmtId="0" fontId="22" fillId="9" borderId="1" xfId="0" applyFont="1" applyFill="1" applyBorder="1" applyAlignment="1">
      <alignment horizontal="center" vertical="top"/>
    </xf>
    <xf numFmtId="0" fontId="0" fillId="0" borderId="1" xfId="0" applyFill="1" applyBorder="1" applyAlignment="1">
      <alignment horizontal="center"/>
    </xf>
    <xf numFmtId="0" fontId="0" fillId="17" borderId="1" xfId="0" applyFill="1" applyBorder="1"/>
    <xf numFmtId="0" fontId="0" fillId="17" borderId="8" xfId="0" applyFont="1" applyFill="1" applyBorder="1" applyAlignment="1">
      <alignment horizontal="center" vertical="top"/>
    </xf>
    <xf numFmtId="0" fontId="0" fillId="17" borderId="1" xfId="0" applyFill="1" applyBorder="1" applyAlignment="1">
      <alignment horizontal="center" vertical="top"/>
    </xf>
    <xf numFmtId="0" fontId="0" fillId="17" borderId="8" xfId="0" applyFill="1" applyBorder="1" applyAlignment="1">
      <alignment horizontal="center" vertical="center"/>
    </xf>
    <xf numFmtId="49" fontId="27" fillId="17"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xf>
    <xf numFmtId="0" fontId="0" fillId="17" borderId="1" xfId="0" applyFill="1" applyBorder="1" applyAlignment="1">
      <alignment horizontal="center" vertical="center"/>
    </xf>
    <xf numFmtId="0" fontId="0" fillId="17" borderId="1" xfId="0" applyFill="1" applyBorder="1" applyAlignment="1">
      <alignment horizontal="center" vertical="top" wrapText="1"/>
    </xf>
    <xf numFmtId="14" fontId="0" fillId="17" borderId="1" xfId="0" applyNumberFormat="1" applyFont="1" applyFill="1" applyBorder="1" applyAlignment="1">
      <alignment horizontal="center" vertical="center"/>
    </xf>
    <xf numFmtId="0" fontId="22" fillId="17" borderId="1" xfId="0" applyFont="1" applyFill="1" applyBorder="1" applyAlignment="1">
      <alignment horizontal="center" vertical="center" wrapText="1"/>
    </xf>
    <xf numFmtId="0" fontId="0" fillId="17" borderId="0" xfId="0" applyFill="1"/>
    <xf numFmtId="49" fontId="28" fillId="17" borderId="8" xfId="0" applyNumberFormat="1" applyFont="1" applyFill="1" applyBorder="1" applyAlignment="1">
      <alignment horizontal="center" vertical="center" wrapText="1"/>
    </xf>
    <xf numFmtId="0" fontId="0" fillId="17" borderId="1" xfId="0" applyFont="1" applyFill="1" applyBorder="1" applyAlignment="1">
      <alignment horizontal="center" vertical="top"/>
    </xf>
    <xf numFmtId="14" fontId="0" fillId="17" borderId="1" xfId="0" applyNumberFormat="1" applyFont="1" applyFill="1" applyBorder="1" applyAlignment="1">
      <alignment horizontal="center" vertical="top"/>
    </xf>
    <xf numFmtId="0" fontId="22" fillId="17" borderId="1" xfId="0" applyFont="1" applyFill="1" applyBorder="1" applyAlignment="1">
      <alignment horizontal="center" vertical="top" wrapText="1"/>
    </xf>
    <xf numFmtId="0" fontId="22" fillId="17" borderId="1" xfId="0" applyFont="1" applyFill="1" applyBorder="1" applyAlignment="1">
      <alignment horizontal="center" vertical="top"/>
    </xf>
    <xf numFmtId="0" fontId="0" fillId="0" borderId="8" xfId="0" applyBorder="1" applyAlignment="1">
      <alignment horizontal="center" vertical="top"/>
    </xf>
    <xf numFmtId="0" fontId="17" fillId="14" borderId="1" xfId="0" applyFont="1" applyFill="1" applyBorder="1" applyAlignment="1">
      <alignment horizontal="center" vertical="top"/>
    </xf>
    <xf numFmtId="0" fontId="0" fillId="0" borderId="0" xfId="0" applyAlignment="1">
      <alignment horizontal="center" vertical="top"/>
    </xf>
    <xf numFmtId="0" fontId="22" fillId="0" borderId="1" xfId="0" applyFont="1" applyFill="1" applyBorder="1" applyAlignment="1">
      <alignment horizontal="left" vertical="top" wrapText="1" readingOrder="1"/>
    </xf>
    <xf numFmtId="0" fontId="31" fillId="0" borderId="1" xfId="0" applyFont="1" applyBorder="1" applyAlignment="1">
      <alignment horizontal="left" vertical="top" wrapText="1" indent="2"/>
    </xf>
    <xf numFmtId="0" fontId="32" fillId="0" borderId="1" xfId="0" applyFont="1" applyBorder="1" applyAlignment="1">
      <alignment horizontal="left" vertical="top" wrapText="1" readingOrder="1"/>
    </xf>
    <xf numFmtId="0" fontId="22" fillId="0" borderId="1" xfId="0" applyFont="1" applyFill="1" applyBorder="1" applyAlignment="1">
      <alignment horizontal="left" vertical="top" wrapText="1"/>
    </xf>
    <xf numFmtId="0" fontId="22" fillId="0" borderId="1" xfId="0" applyFont="1" applyBorder="1" applyAlignment="1">
      <alignment wrapText="1"/>
    </xf>
    <xf numFmtId="0" fontId="0" fillId="17" borderId="1" xfId="0" applyFill="1" applyBorder="1" applyAlignment="1">
      <alignment wrapText="1"/>
    </xf>
    <xf numFmtId="14" fontId="0" fillId="17" borderId="1" xfId="0" applyNumberFormat="1" applyFill="1" applyBorder="1" applyAlignment="1">
      <alignment horizontal="center" vertical="center"/>
    </xf>
    <xf numFmtId="0" fontId="0" fillId="17" borderId="1" xfId="0" applyFill="1" applyBorder="1" applyAlignment="1">
      <alignment horizontal="center" vertical="center" wrapText="1"/>
    </xf>
    <xf numFmtId="0" fontId="0" fillId="17" borderId="1" xfId="0" applyFill="1" applyBorder="1" applyAlignment="1">
      <alignment vertical="center" wrapText="1"/>
    </xf>
    <xf numFmtId="0" fontId="18" fillId="17" borderId="1" xfId="0" applyFont="1" applyFill="1" applyBorder="1" applyAlignment="1">
      <alignment horizontal="center" vertical="top" wrapText="1"/>
    </xf>
    <xf numFmtId="0" fontId="18" fillId="0" borderId="1" xfId="0" applyFont="1" applyBorder="1" applyAlignment="1">
      <alignment wrapText="1"/>
    </xf>
    <xf numFmtId="0" fontId="0" fillId="0" borderId="1"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top"/>
    </xf>
    <xf numFmtId="49" fontId="0" fillId="0" borderId="1" xfId="0" applyNumberFormat="1" applyBorder="1" applyAlignment="1">
      <alignment horizontal="center" vertical="top"/>
    </xf>
    <xf numFmtId="0" fontId="0" fillId="0" borderId="1" xfId="0" applyBorder="1" applyAlignment="1">
      <alignment horizontal="center" vertical="top" wrapText="1"/>
    </xf>
    <xf numFmtId="0" fontId="0" fillId="9" borderId="1" xfId="0"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wrapText="1"/>
    </xf>
    <xf numFmtId="0" fontId="0" fillId="0" borderId="1" xfId="0" applyFill="1" applyBorder="1" applyAlignment="1">
      <alignment horizontal="center" vertical="top" wrapText="1"/>
    </xf>
    <xf numFmtId="0" fontId="0" fillId="0" borderId="1" xfId="0" applyBorder="1" applyAlignment="1">
      <alignment horizontal="center" vertical="top" wrapText="1"/>
    </xf>
    <xf numFmtId="0" fontId="0" fillId="0" borderId="1" xfId="0" applyFont="1"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vertical="top"/>
    </xf>
    <xf numFmtId="49" fontId="0" fillId="0" borderId="1" xfId="0" applyNumberFormat="1" applyBorder="1" applyAlignment="1">
      <alignment horizontal="center" vertical="top" wrapText="1"/>
    </xf>
    <xf numFmtId="0" fontId="22" fillId="9"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22" fillId="0" borderId="1" xfId="0" applyFont="1" applyBorder="1" applyAlignment="1">
      <alignment horizontal="center" wrapText="1"/>
    </xf>
    <xf numFmtId="0" fontId="0" fillId="13" borderId="1" xfId="0" applyFill="1" applyBorder="1" applyAlignment="1">
      <alignment vertical="top" wrapText="1"/>
    </xf>
    <xf numFmtId="0" fontId="23" fillId="0" borderId="0" xfId="0" applyFont="1" applyFill="1" applyAlignment="1">
      <alignment horizontal="center" vertical="top" wrapText="1"/>
    </xf>
    <xf numFmtId="0" fontId="23" fillId="0" borderId="1" xfId="0" applyFont="1" applyFill="1" applyBorder="1" applyAlignment="1">
      <alignment horizontal="center" vertical="top" wrapText="1"/>
    </xf>
    <xf numFmtId="49" fontId="22" fillId="9" borderId="1" xfId="218" applyNumberFormat="1" applyFont="1" applyFill="1" applyBorder="1" applyAlignment="1">
      <alignment horizontal="center" vertical="top"/>
    </xf>
    <xf numFmtId="0" fontId="22" fillId="9" borderId="1" xfId="218" applyFont="1" applyFill="1" applyBorder="1" applyAlignment="1">
      <alignment horizontal="center" vertical="top"/>
    </xf>
    <xf numFmtId="49" fontId="16" fillId="0" borderId="1" xfId="218" applyNumberFormat="1" applyFont="1" applyFill="1" applyBorder="1" applyAlignment="1">
      <alignment horizontal="left" vertical="top" wrapText="1"/>
    </xf>
    <xf numFmtId="0" fontId="0" fillId="0" borderId="1" xfId="0" applyFill="1" applyBorder="1" applyAlignment="1">
      <alignment horizontal="left" vertical="top" wrapText="1"/>
    </xf>
    <xf numFmtId="0" fontId="22" fillId="0" borderId="1" xfId="218" applyFont="1" applyFill="1" applyBorder="1" applyAlignment="1">
      <alignment wrapText="1"/>
    </xf>
    <xf numFmtId="12" fontId="3" fillId="12" borderId="2" xfId="218" applyNumberFormat="1" applyFont="1" applyFill="1" applyBorder="1" applyAlignment="1">
      <alignment horizontal="center" vertical="top" wrapText="1"/>
    </xf>
    <xf numFmtId="0" fontId="0" fillId="0" borderId="0" xfId="0" applyAlignment="1">
      <alignment vertical="top"/>
    </xf>
    <xf numFmtId="0" fontId="14" fillId="16" borderId="4" xfId="177" applyNumberFormat="1" applyFont="1" applyFill="1" applyBorder="1" applyAlignment="1">
      <alignment horizontal="left" vertical="center" indent="1"/>
    </xf>
    <xf numFmtId="0" fontId="15" fillId="16" borderId="4" xfId="177" applyNumberFormat="1" applyFont="1" applyFill="1" applyBorder="1" applyAlignment="1">
      <alignment horizontal="left" vertical="center" indent="1"/>
    </xf>
    <xf numFmtId="0" fontId="33" fillId="11" borderId="12" xfId="177" applyNumberFormat="1" applyFont="1" applyFill="1" applyBorder="1" applyAlignment="1">
      <alignment horizontal="center" vertical="center" wrapText="1"/>
    </xf>
    <xf numFmtId="0" fontId="33" fillId="11" borderId="13" xfId="177" applyNumberFormat="1" applyFont="1" applyFill="1" applyBorder="1" applyAlignment="1">
      <alignment horizontal="center" vertical="center" wrapText="1"/>
    </xf>
    <xf numFmtId="0" fontId="33" fillId="11" borderId="14" xfId="177" applyNumberFormat="1" applyFont="1" applyFill="1" applyBorder="1" applyAlignment="1">
      <alignment horizontal="center" vertical="center" wrapText="1"/>
    </xf>
    <xf numFmtId="0" fontId="20" fillId="19" borderId="15" xfId="177" applyNumberFormat="1" applyFont="1" applyFill="1" applyBorder="1" applyAlignment="1">
      <alignment horizontal="center" vertical="center" wrapText="1"/>
    </xf>
    <xf numFmtId="0" fontId="20" fillId="19" borderId="1" xfId="177" applyNumberFormat="1" applyFont="1" applyFill="1" applyBorder="1" applyAlignment="1">
      <alignment horizontal="center" vertical="center" wrapText="1"/>
    </xf>
    <xf numFmtId="0" fontId="20" fillId="19" borderId="16" xfId="177" applyNumberFormat="1" applyFont="1" applyFill="1" applyBorder="1" applyAlignment="1">
      <alignment horizontal="left" vertical="top" wrapText="1"/>
    </xf>
    <xf numFmtId="0" fontId="20" fillId="19" borderId="16" xfId="177" applyNumberFormat="1" applyFont="1" applyFill="1" applyBorder="1" applyAlignment="1">
      <alignment wrapText="1"/>
    </xf>
    <xf numFmtId="0" fontId="20" fillId="19" borderId="17" xfId="177" applyNumberFormat="1" applyFont="1" applyFill="1" applyBorder="1" applyAlignment="1">
      <alignment horizontal="center" vertical="center" wrapText="1"/>
    </xf>
    <xf numFmtId="0" fontId="20" fillId="19" borderId="18" xfId="177" applyNumberFormat="1" applyFont="1" applyFill="1" applyBorder="1" applyAlignment="1">
      <alignment horizontal="center" vertical="center" wrapText="1"/>
    </xf>
    <xf numFmtId="0" fontId="20" fillId="19" borderId="19" xfId="177" applyNumberFormat="1" applyFont="1" applyFill="1" applyBorder="1" applyAlignment="1">
      <alignment vertical="top" wrapText="1"/>
    </xf>
    <xf numFmtId="164" fontId="21" fillId="19" borderId="1" xfId="444" applyFont="1" applyFill="1" applyBorder="1" applyAlignment="1">
      <alignment horizontal="center"/>
    </xf>
    <xf numFmtId="164" fontId="21" fillId="19" borderId="1" xfId="444" applyFont="1" applyFill="1" applyBorder="1" applyAlignment="1">
      <alignment horizontal="center" vertical="center"/>
    </xf>
    <xf numFmtId="0" fontId="21" fillId="19" borderId="1" xfId="444" applyNumberFormat="1" applyFont="1" applyFill="1" applyBorder="1" applyAlignment="1">
      <alignment horizontal="center" vertical="center"/>
    </xf>
    <xf numFmtId="0" fontId="34" fillId="19" borderId="1" xfId="0" applyFont="1" applyFill="1" applyBorder="1" applyAlignment="1">
      <alignment horizontal="center" vertical="top" wrapText="1"/>
    </xf>
    <xf numFmtId="49" fontId="0" fillId="19" borderId="1" xfId="0" applyNumberFormat="1" applyFont="1" applyFill="1" applyBorder="1" applyAlignment="1">
      <alignment vertical="top" wrapText="1"/>
    </xf>
    <xf numFmtId="0" fontId="20" fillId="19" borderId="1" xfId="457" applyNumberFormat="1" applyFont="1" applyFill="1" applyBorder="1" applyAlignment="1">
      <alignment vertical="top" wrapText="1"/>
    </xf>
    <xf numFmtId="0" fontId="20" fillId="0" borderId="0" xfId="0" applyFont="1" applyAlignment="1">
      <alignment vertical="top"/>
    </xf>
    <xf numFmtId="0" fontId="14" fillId="16" borderId="18" xfId="177" applyNumberFormat="1" applyFont="1" applyFill="1" applyBorder="1" applyAlignment="1">
      <alignment horizontal="left" vertical="center" indent="1"/>
    </xf>
    <xf numFmtId="0" fontId="40" fillId="0" borderId="1" xfId="218" applyNumberFormat="1" applyFont="1" applyFill="1" applyBorder="1" applyAlignment="1">
      <alignment horizontal="left" vertical="center" wrapText="1" indent="1"/>
    </xf>
    <xf numFmtId="0" fontId="39" fillId="20" borderId="1" xfId="218" applyNumberFormat="1" applyFont="1" applyFill="1" applyBorder="1" applyAlignment="1">
      <alignment horizontal="center" vertical="center" wrapText="1"/>
    </xf>
    <xf numFmtId="0" fontId="39" fillId="10" borderId="1" xfId="218" applyNumberFormat="1" applyFont="1" applyFill="1" applyBorder="1" applyAlignment="1">
      <alignment horizontal="center" vertical="center" wrapText="1"/>
    </xf>
    <xf numFmtId="0" fontId="39" fillId="12" borderId="1" xfId="218" applyNumberFormat="1" applyFont="1" applyFill="1" applyBorder="1" applyAlignment="1">
      <alignment horizontal="center" vertical="center" wrapText="1"/>
    </xf>
    <xf numFmtId="0" fontId="0" fillId="9" borderId="23" xfId="0" applyFill="1" applyBorder="1"/>
    <xf numFmtId="15" fontId="0" fillId="9" borderId="24" xfId="0" applyNumberFormat="1" applyFill="1" applyBorder="1" applyAlignment="1">
      <alignment horizontal="center"/>
    </xf>
    <xf numFmtId="0" fontId="0" fillId="9" borderId="24" xfId="0" applyNumberFormat="1" applyFill="1" applyBorder="1" applyAlignment="1">
      <alignment horizontal="center"/>
    </xf>
    <xf numFmtId="0" fontId="0" fillId="9" borderId="25" xfId="0" applyNumberFormat="1" applyFill="1" applyBorder="1"/>
    <xf numFmtId="0" fontId="0" fillId="9" borderId="26" xfId="0" applyNumberFormat="1" applyFill="1" applyBorder="1" applyAlignment="1">
      <alignment horizontal="center"/>
    </xf>
    <xf numFmtId="0" fontId="37" fillId="9" borderId="27" xfId="0" applyFont="1" applyFill="1" applyBorder="1"/>
    <xf numFmtId="0" fontId="0" fillId="9" borderId="22" xfId="0" applyFill="1" applyBorder="1"/>
    <xf numFmtId="0" fontId="20" fillId="13" borderId="0" xfId="0" applyFont="1" applyFill="1" applyAlignment="1">
      <alignment vertical="top"/>
    </xf>
    <xf numFmtId="0" fontId="20" fillId="13" borderId="0" xfId="0" applyFont="1" applyFill="1"/>
    <xf numFmtId="0" fontId="0" fillId="13" borderId="0" xfId="0" applyFill="1"/>
    <xf numFmtId="0" fontId="0" fillId="13" borderId="0" xfId="0" applyFill="1" applyBorder="1"/>
    <xf numFmtId="164" fontId="36" fillId="0" borderId="0" xfId="577" applyFont="1"/>
    <xf numFmtId="164" fontId="42" fillId="0" borderId="0" xfId="400" applyFont="1" applyBorder="1" applyAlignment="1">
      <alignment vertical="top"/>
    </xf>
    <xf numFmtId="49" fontId="39" fillId="18" borderId="8" xfId="218" applyNumberFormat="1" applyFont="1" applyFill="1" applyBorder="1" applyAlignment="1">
      <alignment horizontal="center" vertical="center" wrapText="1"/>
    </xf>
    <xf numFmtId="12" fontId="39" fillId="10" borderId="1" xfId="218" applyNumberFormat="1" applyFont="1" applyFill="1" applyBorder="1" applyAlignment="1">
      <alignment horizontal="center" vertical="center" wrapText="1"/>
    </xf>
    <xf numFmtId="49" fontId="39" fillId="18" borderId="1" xfId="218" applyNumberFormat="1" applyFont="1" applyFill="1" applyBorder="1" applyAlignment="1">
      <alignment horizontal="center" vertical="center" wrapText="1"/>
    </xf>
    <xf numFmtId="12" fontId="39" fillId="20" borderId="1" xfId="218" applyNumberFormat="1" applyFont="1" applyFill="1" applyBorder="1" applyAlignment="1">
      <alignment horizontal="center" vertical="center" wrapText="1"/>
    </xf>
    <xf numFmtId="12" fontId="39" fillId="21" borderId="1" xfId="218" applyNumberFormat="1" applyFont="1" applyFill="1" applyBorder="1" applyAlignment="1">
      <alignment horizontal="center" vertical="center" wrapText="1"/>
    </xf>
    <xf numFmtId="12" fontId="39" fillId="12" borderId="1" xfId="218" applyNumberFormat="1" applyFont="1" applyFill="1" applyBorder="1" applyAlignment="1">
      <alignment horizontal="center" vertical="center" wrapText="1"/>
    </xf>
    <xf numFmtId="0" fontId="39" fillId="9" borderId="1" xfId="218" applyFont="1" applyFill="1" applyBorder="1" applyAlignment="1">
      <alignment horizontal="center" vertical="center" wrapText="1"/>
    </xf>
    <xf numFmtId="0" fontId="39" fillId="0" borderId="1" xfId="218" applyFont="1" applyFill="1" applyBorder="1" applyAlignment="1">
      <alignment horizontal="center" vertical="center" wrapText="1"/>
    </xf>
    <xf numFmtId="0" fontId="41" fillId="0" borderId="1" xfId="0" applyFont="1" applyFill="1" applyBorder="1" applyAlignment="1">
      <alignment horizontal="center" vertical="center"/>
    </xf>
    <xf numFmtId="0" fontId="39" fillId="18" borderId="8" xfId="218" applyNumberFormat="1" applyFont="1" applyFill="1" applyBorder="1" applyAlignment="1">
      <alignment horizontal="center" vertical="center" wrapText="1"/>
    </xf>
    <xf numFmtId="165" fontId="0" fillId="9" borderId="24" xfId="0" applyNumberFormat="1" applyFill="1" applyBorder="1" applyAlignment="1">
      <alignment horizontal="center"/>
    </xf>
    <xf numFmtId="0" fontId="37" fillId="19" borderId="27" xfId="0" applyNumberFormat="1" applyFont="1" applyFill="1" applyBorder="1"/>
    <xf numFmtId="0" fontId="0" fillId="19" borderId="26" xfId="0" applyFill="1" applyBorder="1"/>
    <xf numFmtId="164" fontId="76" fillId="19" borderId="25" xfId="43" applyFill="1" applyBorder="1" applyAlignment="1" applyProtection="1"/>
    <xf numFmtId="0" fontId="0" fillId="19" borderId="24" xfId="0" applyFill="1" applyBorder="1"/>
    <xf numFmtId="0" fontId="37" fillId="13" borderId="28" xfId="0" applyFont="1" applyFill="1" applyBorder="1"/>
    <xf numFmtId="0" fontId="0" fillId="13" borderId="29" xfId="0" applyFill="1" applyBorder="1"/>
    <xf numFmtId="0" fontId="0" fillId="13" borderId="21" xfId="0" applyFill="1" applyBorder="1"/>
    <xf numFmtId="0" fontId="40" fillId="0" borderId="1" xfId="218" applyFont="1" applyFill="1" applyBorder="1" applyAlignment="1">
      <alignment horizontal="center" vertical="center" wrapText="1"/>
    </xf>
    <xf numFmtId="0" fontId="11" fillId="9" borderId="1" xfId="0" applyFont="1" applyFill="1" applyBorder="1" applyAlignment="1">
      <alignment horizontal="center" vertical="center" wrapText="1"/>
    </xf>
    <xf numFmtId="0" fontId="39" fillId="0" borderId="1" xfId="220" applyNumberFormat="1" applyFont="1" applyFill="1" applyBorder="1" applyAlignment="1">
      <alignment horizontal="center" vertical="center" wrapText="1"/>
    </xf>
    <xf numFmtId="0" fontId="39" fillId="0" borderId="1" xfId="786" applyNumberFormat="1" applyFont="1" applyFill="1" applyBorder="1" applyAlignment="1">
      <alignment horizontal="center" vertical="center" wrapText="1"/>
    </xf>
    <xf numFmtId="0" fontId="11" fillId="0" borderId="0" xfId="0" applyFont="1" applyFill="1" applyAlignment="1">
      <alignment vertical="top"/>
    </xf>
    <xf numFmtId="164" fontId="75" fillId="19" borderId="25" xfId="42" applyNumberFormat="1" applyFill="1" applyBorder="1" applyAlignment="1" applyProtection="1"/>
    <xf numFmtId="0" fontId="42" fillId="0" borderId="0" xfId="0" applyNumberFormat="1" applyFont="1" applyAlignment="1">
      <alignment horizontal="left" vertical="top" indent="1"/>
    </xf>
    <xf numFmtId="0" fontId="42" fillId="0" borderId="0" xfId="0" applyNumberFormat="1" applyFont="1" applyAlignment="1">
      <alignment horizontal="center" vertical="top" wrapText="1"/>
    </xf>
    <xf numFmtId="0" fontId="42" fillId="0" borderId="0" xfId="0" applyNumberFormat="1" applyFont="1" applyAlignment="1">
      <alignment horizontal="left" vertical="top" wrapText="1" indent="1"/>
    </xf>
    <xf numFmtId="0" fontId="42" fillId="0" borderId="0" xfId="0" applyNumberFormat="1" applyFont="1" applyAlignment="1">
      <alignment horizontal="center" vertical="top"/>
    </xf>
    <xf numFmtId="0" fontId="0" fillId="0" borderId="0" xfId="0" applyFont="1" applyFill="1"/>
    <xf numFmtId="0" fontId="39" fillId="21" borderId="1" xfId="218" applyNumberFormat="1" applyFont="1" applyFill="1" applyBorder="1" applyAlignment="1">
      <alignment horizontal="center" vertical="center" wrapText="1"/>
    </xf>
    <xf numFmtId="0" fontId="42" fillId="0" borderId="1" xfId="0" applyNumberFormat="1" applyFont="1" applyBorder="1" applyAlignment="1">
      <alignment horizontal="left" vertical="top" indent="1"/>
    </xf>
    <xf numFmtId="0" fontId="42" fillId="0" borderId="1" xfId="0" applyNumberFormat="1" applyFont="1" applyBorder="1" applyAlignment="1">
      <alignment horizontal="center" vertical="top" wrapText="1"/>
    </xf>
    <xf numFmtId="164" fontId="11" fillId="14" borderId="1" xfId="240" applyFont="1" applyFill="1" applyBorder="1" applyAlignment="1">
      <alignment horizontal="center" vertical="center"/>
    </xf>
    <xf numFmtId="164" fontId="64" fillId="0" borderId="0" xfId="249"/>
    <xf numFmtId="0" fontId="7" fillId="9" borderId="1" xfId="220" applyFont="1" applyFill="1" applyBorder="1" applyAlignment="1">
      <alignment horizontal="center" vertical="center" wrapText="1"/>
    </xf>
    <xf numFmtId="0" fontId="7" fillId="0" borderId="1" xfId="190" applyFont="1" applyFill="1" applyBorder="1" applyAlignment="1">
      <alignment horizontal="center" vertical="center"/>
    </xf>
    <xf numFmtId="0" fontId="6" fillId="13" borderId="1" xfId="220" applyNumberFormat="1" applyFont="1" applyFill="1" applyBorder="1" applyAlignment="1">
      <alignment horizontal="left" vertical="center" wrapText="1" indent="1"/>
    </xf>
    <xf numFmtId="164" fontId="64" fillId="0" borderId="0" xfId="250"/>
    <xf numFmtId="0" fontId="11" fillId="0" borderId="1" xfId="406" applyFont="1" applyFill="1" applyBorder="1" applyAlignment="1">
      <alignment horizontal="left" indent="1"/>
    </xf>
    <xf numFmtId="0" fontId="6" fillId="0" borderId="1" xfId="220" applyFont="1" applyFill="1" applyBorder="1" applyAlignment="1">
      <alignment horizontal="center" wrapText="1"/>
    </xf>
    <xf numFmtId="0" fontId="11" fillId="14" borderId="1" xfId="192" applyFont="1" applyFill="1" applyBorder="1" applyAlignment="1">
      <alignment horizontal="center" vertical="center"/>
    </xf>
    <xf numFmtId="0" fontId="11" fillId="9" borderId="1" xfId="0" applyFont="1" applyFill="1" applyBorder="1" applyAlignment="1">
      <alignment horizontal="left" vertical="center" indent="1"/>
    </xf>
    <xf numFmtId="0" fontId="7" fillId="9" borderId="1" xfId="218" applyFont="1" applyFill="1" applyBorder="1" applyAlignment="1">
      <alignment horizontal="left" vertical="center" wrapText="1" indent="1"/>
    </xf>
    <xf numFmtId="0" fontId="7" fillId="0" borderId="1" xfId="218" applyNumberFormat="1" applyFont="1" applyFill="1" applyBorder="1" applyAlignment="1">
      <alignment horizontal="center" vertical="center" wrapText="1"/>
    </xf>
    <xf numFmtId="0" fontId="11" fillId="0" borderId="1" xfId="0" applyNumberFormat="1" applyFont="1" applyBorder="1" applyAlignment="1">
      <alignment horizontal="center" vertical="top" wrapText="1"/>
    </xf>
    <xf numFmtId="0" fontId="6" fillId="0" borderId="8" xfId="220" applyNumberFormat="1" applyFont="1" applyFill="1" applyBorder="1" applyAlignment="1">
      <alignment horizontal="left" vertical="center" wrapText="1" indent="1"/>
    </xf>
    <xf numFmtId="0" fontId="11" fillId="0" borderId="1" xfId="0" applyNumberFormat="1" applyFont="1" applyBorder="1" applyAlignment="1">
      <alignment horizontal="center" vertical="center"/>
    </xf>
    <xf numFmtId="0" fontId="1" fillId="0" borderId="1" xfId="0" applyNumberFormat="1" applyFont="1" applyBorder="1" applyAlignment="1">
      <alignment horizontal="center" vertical="top" wrapText="1"/>
    </xf>
    <xf numFmtId="0" fontId="7" fillId="9" borderId="1" xfId="218" applyFont="1" applyFill="1" applyBorder="1" applyAlignment="1">
      <alignment horizontal="center" vertical="center" wrapText="1"/>
    </xf>
    <xf numFmtId="49" fontId="6" fillId="0" borderId="1" xfId="218" applyNumberFormat="1" applyFont="1" applyFill="1" applyBorder="1" applyAlignment="1">
      <alignment horizontal="left" vertical="center" wrapText="1" indent="1"/>
    </xf>
    <xf numFmtId="0" fontId="6" fillId="0" borderId="1" xfId="218" applyNumberFormat="1" applyFont="1" applyFill="1" applyBorder="1" applyAlignment="1">
      <alignment horizontal="left" vertical="center" wrapText="1" indent="1"/>
    </xf>
    <xf numFmtId="0" fontId="6" fillId="0" borderId="8" xfId="791" applyNumberFormat="1" applyFont="1" applyBorder="1" applyAlignment="1">
      <alignment horizontal="left" vertical="center" wrapText="1" indent="1"/>
    </xf>
    <xf numFmtId="49" fontId="7" fillId="0" borderId="1" xfId="218" applyNumberFormat="1" applyFont="1" applyFill="1" applyBorder="1" applyAlignment="1">
      <alignment horizontal="center" vertical="center" wrapText="1"/>
    </xf>
    <xf numFmtId="0" fontId="11" fillId="9" borderId="10" xfId="0" applyNumberFormat="1" applyFont="1" applyFill="1" applyBorder="1" applyAlignment="1">
      <alignment horizontal="left" vertical="center" indent="1"/>
    </xf>
    <xf numFmtId="164" fontId="75" fillId="19" borderId="0" xfId="42" applyNumberFormat="1" applyFill="1" applyBorder="1" applyAlignment="1" applyProtection="1"/>
    <xf numFmtId="0" fontId="6" fillId="0" borderId="1" xfId="218" applyFont="1" applyFill="1" applyBorder="1" applyAlignment="1">
      <alignment horizontal="left" vertical="center" wrapText="1"/>
    </xf>
    <xf numFmtId="0" fontId="6" fillId="0" borderId="6" xfId="219" applyNumberFormat="1" applyFont="1" applyFill="1" applyBorder="1" applyAlignment="1">
      <alignment horizontal="center" vertical="center" wrapText="1"/>
    </xf>
    <xf numFmtId="0" fontId="7" fillId="0" borderId="6" xfId="219" applyNumberFormat="1" applyFont="1" applyFill="1" applyBorder="1" applyAlignment="1">
      <alignment horizontal="center" vertical="center" wrapText="1"/>
    </xf>
    <xf numFmtId="0" fontId="6" fillId="0" borderId="1" xfId="220" applyFont="1" applyFill="1" applyBorder="1" applyAlignment="1">
      <alignment horizontal="center" vertical="center" wrapText="1"/>
    </xf>
    <xf numFmtId="0" fontId="6" fillId="0" borderId="1" xfId="406" applyFont="1" applyFill="1" applyBorder="1" applyAlignment="1">
      <alignment horizontal="center" vertical="center" wrapText="1"/>
    </xf>
    <xf numFmtId="0" fontId="6" fillId="0" borderId="1" xfId="190" applyFont="1" applyBorder="1" applyAlignment="1">
      <alignment horizontal="center" vertical="center"/>
    </xf>
    <xf numFmtId="0" fontId="6" fillId="0" borderId="1" xfId="190" applyFont="1" applyFill="1" applyBorder="1" applyAlignment="1">
      <alignment horizontal="center" vertical="center"/>
    </xf>
    <xf numFmtId="0" fontId="6" fillId="13" borderId="1" xfId="190" applyFont="1" applyFill="1" applyBorder="1" applyAlignment="1">
      <alignment horizontal="center" vertical="center"/>
    </xf>
    <xf numFmtId="0" fontId="0" fillId="0" borderId="0" xfId="0"/>
    <xf numFmtId="0" fontId="0" fillId="0" borderId="0" xfId="0" applyFont="1"/>
    <xf numFmtId="0" fontId="0" fillId="0" borderId="0" xfId="0" applyFont="1" applyAlignment="1">
      <alignment vertical="top"/>
    </xf>
    <xf numFmtId="0" fontId="0" fillId="0" borderId="0" xfId="0" applyFont="1" applyAlignment="1">
      <alignment horizontal="center" vertical="center"/>
    </xf>
    <xf numFmtId="0" fontId="0" fillId="12" borderId="6" xfId="0" applyFont="1" applyFill="1" applyBorder="1" applyAlignment="1">
      <alignment horizontal="center" vertical="center"/>
    </xf>
    <xf numFmtId="0" fontId="0" fillId="12" borderId="10" xfId="0" applyFont="1" applyFill="1" applyBorder="1" applyAlignment="1">
      <alignment horizontal="center" vertical="center"/>
    </xf>
    <xf numFmtId="0" fontId="0" fillId="12" borderId="10" xfId="0" applyNumberFormat="1" applyFont="1" applyFill="1" applyBorder="1" applyAlignment="1">
      <alignment horizontal="center" vertical="center"/>
    </xf>
    <xf numFmtId="0" fontId="0" fillId="0" borderId="0" xfId="0" applyNumberFormat="1" applyFont="1" applyAlignment="1">
      <alignment horizontal="center" vertical="center"/>
    </xf>
    <xf numFmtId="0" fontId="0" fillId="12" borderId="10" xfId="0" applyFont="1" applyFill="1" applyBorder="1" applyAlignment="1">
      <alignment horizontal="left" wrapText="1" indent="1"/>
    </xf>
    <xf numFmtId="0" fontId="0" fillId="0" borderId="0" xfId="0" applyFont="1" applyAlignment="1">
      <alignment horizontal="left" wrapText="1" indent="1"/>
    </xf>
    <xf numFmtId="0" fontId="0" fillId="12" borderId="10" xfId="0" applyFont="1" applyFill="1" applyBorder="1" applyAlignment="1">
      <alignment horizontal="left" vertical="center" wrapText="1" indent="1"/>
    </xf>
    <xf numFmtId="0" fontId="0" fillId="0" borderId="0" xfId="0" applyFont="1" applyAlignment="1">
      <alignment horizontal="left" vertical="center" wrapText="1" indent="1"/>
    </xf>
    <xf numFmtId="0" fontId="58" fillId="13" borderId="8" xfId="152" applyNumberFormat="1" applyFont="1" applyFill="1" applyBorder="1" applyAlignment="1">
      <alignment horizontal="center" vertical="center" wrapText="1"/>
    </xf>
    <xf numFmtId="0" fontId="6" fillId="0" borderId="0" xfId="577" applyNumberFormat="1" applyFont="1" applyAlignment="1">
      <alignment horizontal="left" vertical="center"/>
    </xf>
    <xf numFmtId="12" fontId="7" fillId="12" borderId="1" xfId="218" applyNumberFormat="1" applyFont="1" applyFill="1" applyBorder="1" applyAlignment="1">
      <alignment horizontal="center" vertical="center" wrapText="1"/>
    </xf>
    <xf numFmtId="0" fontId="7" fillId="9" borderId="1" xfId="220" applyFont="1" applyFill="1" applyBorder="1" applyAlignment="1">
      <alignment horizontal="left" vertical="center" wrapText="1" indent="1"/>
    </xf>
    <xf numFmtId="164" fontId="11" fillId="9" borderId="1" xfId="703" applyFont="1" applyFill="1" applyBorder="1" applyAlignment="1">
      <alignment horizontal="left" vertical="center" indent="1"/>
    </xf>
    <xf numFmtId="49" fontId="11" fillId="9" borderId="1" xfId="703" applyNumberFormat="1" applyFont="1" applyFill="1" applyBorder="1" applyAlignment="1">
      <alignment horizontal="center" vertical="center" wrapText="1"/>
    </xf>
    <xf numFmtId="0" fontId="0" fillId="0" borderId="0" xfId="0" applyFont="1"/>
    <xf numFmtId="0" fontId="0" fillId="0" borderId="0" xfId="0" applyFont="1" applyAlignment="1">
      <alignment vertical="top"/>
    </xf>
    <xf numFmtId="0" fontId="6" fillId="13" borderId="1" xfId="152" applyNumberFormat="1" applyFont="1" applyFill="1" applyBorder="1" applyAlignment="1">
      <alignment horizontal="center" vertical="center" wrapText="1"/>
    </xf>
    <xf numFmtId="14" fontId="11" fillId="0" borderId="1" xfId="0" applyNumberFormat="1" applyFont="1" applyBorder="1" applyAlignment="1">
      <alignment horizontal="center" vertical="top" wrapText="1"/>
    </xf>
    <xf numFmtId="0" fontId="7" fillId="10" borderId="1" xfId="218" applyNumberFormat="1" applyFont="1" applyFill="1" applyBorder="1" applyAlignment="1">
      <alignment horizontal="center" vertical="center" wrapText="1"/>
    </xf>
    <xf numFmtId="14" fontId="7" fillId="0" borderId="1" xfId="218" applyNumberFormat="1" applyFont="1" applyFill="1" applyBorder="1" applyAlignment="1">
      <alignment horizontal="center" vertical="center" wrapText="1"/>
    </xf>
    <xf numFmtId="0" fontId="11" fillId="0" borderId="0" xfId="0" applyNumberFormat="1" applyFont="1" applyAlignment="1">
      <alignment horizontal="center" vertical="top" wrapText="1"/>
    </xf>
    <xf numFmtId="0" fontId="0" fillId="0" borderId="0" xfId="0" applyFont="1"/>
    <xf numFmtId="0" fontId="0" fillId="0" borderId="0" xfId="0" applyFont="1"/>
    <xf numFmtId="14" fontId="39" fillId="0" borderId="1" xfId="218" applyNumberFormat="1" applyFont="1" applyFill="1" applyBorder="1" applyAlignment="1">
      <alignment horizontal="center" vertical="center" wrapText="1"/>
    </xf>
    <xf numFmtId="0" fontId="6" fillId="0" borderId="1" xfId="406" applyFont="1" applyFill="1" applyBorder="1" applyAlignment="1">
      <alignment horizontal="left" vertical="center" wrapText="1"/>
    </xf>
    <xf numFmtId="0" fontId="39" fillId="10" borderId="1" xfId="218" applyNumberFormat="1" applyFont="1" applyFill="1" applyBorder="1" applyAlignment="1">
      <alignment horizontal="left" vertical="center" wrapText="1" indent="1"/>
    </xf>
    <xf numFmtId="0" fontId="0" fillId="0" borderId="0" xfId="0" applyFont="1" applyAlignment="1">
      <alignment horizontal="left" indent="1"/>
    </xf>
    <xf numFmtId="0" fontId="6" fillId="0" borderId="6" xfId="220" applyFont="1" applyFill="1" applyBorder="1" applyAlignment="1">
      <alignment horizontal="left" vertical="center" wrapText="1" indent="1"/>
    </xf>
    <xf numFmtId="0" fontId="6" fillId="13" borderId="8" xfId="220" applyNumberFormat="1" applyFont="1" applyFill="1" applyBorder="1" applyAlignment="1">
      <alignment horizontal="center" vertical="center" wrapText="1"/>
    </xf>
    <xf numFmtId="0" fontId="0" fillId="0" borderId="0" xfId="0" applyFont="1"/>
    <xf numFmtId="0" fontId="64" fillId="0" borderId="8" xfId="684" applyNumberFormat="1" applyFill="1" applyBorder="1" applyAlignment="1">
      <alignment horizontal="center" vertical="center"/>
    </xf>
    <xf numFmtId="0" fontId="1" fillId="0" borderId="8" xfId="684" applyNumberFormat="1" applyFont="1" applyBorder="1" applyAlignment="1">
      <alignment horizontal="center" vertical="center" wrapText="1"/>
    </xf>
    <xf numFmtId="164" fontId="1" fillId="0" borderId="1" xfId="684" applyFont="1" applyFill="1" applyBorder="1" applyAlignment="1">
      <alignment horizontal="left" vertical="center" wrapText="1" indent="1"/>
    </xf>
    <xf numFmtId="0" fontId="6" fillId="13" borderId="1" xfId="220" applyNumberFormat="1" applyFont="1" applyFill="1" applyBorder="1" applyAlignment="1">
      <alignment horizontal="center" vertical="center" wrapText="1"/>
    </xf>
    <xf numFmtId="164" fontId="1" fillId="0" borderId="6" xfId="312" applyFont="1" applyBorder="1" applyAlignment="1">
      <alignment horizontal="left" vertical="center" wrapText="1" indent="1"/>
    </xf>
    <xf numFmtId="0" fontId="1" fillId="0" borderId="1" xfId="194" applyFont="1" applyBorder="1" applyAlignment="1">
      <alignment horizontal="left" wrapText="1" indent="1"/>
    </xf>
    <xf numFmtId="164" fontId="1" fillId="0" borderId="1" xfId="685" applyFont="1" applyFill="1" applyBorder="1" applyAlignment="1">
      <alignment horizontal="left" vertical="center" wrapText="1" indent="1"/>
    </xf>
    <xf numFmtId="0" fontId="1" fillId="0" borderId="8" xfId="685" applyNumberFormat="1" applyFont="1" applyBorder="1" applyAlignment="1">
      <alignment horizontal="center" vertical="center" wrapText="1"/>
    </xf>
    <xf numFmtId="164" fontId="1" fillId="0" borderId="6" xfId="685" applyFont="1" applyBorder="1" applyAlignment="1">
      <alignment horizontal="left" vertical="center" wrapText="1" indent="1"/>
    </xf>
    <xf numFmtId="0" fontId="0" fillId="0" borderId="0" xfId="0" applyFont="1" applyFill="1"/>
    <xf numFmtId="0" fontId="7" fillId="57" borderId="9" xfId="0" applyFont="1" applyFill="1" applyBorder="1" applyAlignment="1">
      <alignment horizontal="center" vertical="center"/>
    </xf>
    <xf numFmtId="0" fontId="7" fillId="58" borderId="9" xfId="0" applyFont="1" applyFill="1" applyBorder="1" applyAlignment="1">
      <alignment horizontal="center" vertical="center"/>
    </xf>
    <xf numFmtId="0" fontId="6" fillId="13" borderId="0" xfId="577" applyNumberFormat="1" applyFont="1" applyFill="1" applyAlignment="1">
      <alignment horizontal="left" vertical="center"/>
    </xf>
    <xf numFmtId="0" fontId="6" fillId="0" borderId="1" xfId="190" applyFont="1" applyBorder="1" applyAlignment="1">
      <alignment horizontal="left" vertical="center" wrapText="1"/>
    </xf>
    <xf numFmtId="49" fontId="7" fillId="9" borderId="1" xfId="703" applyNumberFormat="1" applyFont="1" applyFill="1" applyBorder="1" applyAlignment="1">
      <alignment horizontal="center" vertical="center" wrapText="1"/>
    </xf>
    <xf numFmtId="0" fontId="6" fillId="0" borderId="1" xfId="577" applyNumberFormat="1" applyFont="1" applyFill="1" applyBorder="1" applyAlignment="1">
      <alignment horizontal="left" vertical="center" wrapText="1"/>
    </xf>
    <xf numFmtId="0" fontId="6" fillId="0" borderId="48" xfId="577" applyNumberFormat="1" applyFont="1" applyBorder="1" applyAlignment="1">
      <alignment horizontal="left" vertical="center"/>
    </xf>
    <xf numFmtId="0" fontId="6" fillId="0" borderId="48" xfId="400" applyNumberFormat="1" applyFont="1" applyFill="1" applyBorder="1" applyAlignment="1">
      <alignment horizontal="left" vertical="center" wrapText="1"/>
    </xf>
    <xf numFmtId="0" fontId="85" fillId="0" borderId="0" xfId="0" applyFont="1" applyAlignment="1">
      <alignment horizontal="left" vertical="center"/>
    </xf>
    <xf numFmtId="0" fontId="85" fillId="12" borderId="8" xfId="0" applyFont="1" applyFill="1" applyBorder="1" applyAlignment="1">
      <alignment horizontal="left" vertical="center"/>
    </xf>
    <xf numFmtId="0" fontId="0" fillId="0" borderId="0" xfId="0" applyFont="1" applyAlignment="1">
      <alignment vertical="top"/>
    </xf>
    <xf numFmtId="0" fontId="0" fillId="0" borderId="0" xfId="0"/>
    <xf numFmtId="164" fontId="1" fillId="0" borderId="6" xfId="684" applyFont="1" applyFill="1" applyBorder="1" applyAlignment="1">
      <alignment horizontal="left" vertical="center" wrapText="1" indent="1"/>
    </xf>
    <xf numFmtId="0" fontId="1" fillId="0" borderId="1" xfId="194" applyFont="1" applyBorder="1" applyAlignment="1">
      <alignment horizontal="left" vertical="center" wrapText="1" indent="1"/>
    </xf>
    <xf numFmtId="0" fontId="7" fillId="0" borderId="6" xfId="190" applyFont="1" applyFill="1" applyBorder="1" applyAlignment="1">
      <alignment horizontal="center" vertical="center"/>
    </xf>
    <xf numFmtId="0" fontId="6" fillId="0" borderId="6" xfId="190" applyFont="1" applyBorder="1" applyAlignment="1">
      <alignment horizontal="center" vertical="center"/>
    </xf>
    <xf numFmtId="0" fontId="6" fillId="0" borderId="6" xfId="190" applyFont="1" applyFill="1" applyBorder="1" applyAlignment="1">
      <alignment horizontal="center" vertical="center"/>
    </xf>
    <xf numFmtId="0" fontId="6" fillId="13" borderId="6" xfId="190" applyFont="1" applyFill="1" applyBorder="1" applyAlignment="1">
      <alignment horizontal="center" vertical="center"/>
    </xf>
    <xf numFmtId="0" fontId="7" fillId="18" borderId="8" xfId="218" applyNumberFormat="1" applyFont="1" applyFill="1" applyBorder="1" applyAlignment="1">
      <alignment horizontal="center" vertical="center" wrapText="1"/>
    </xf>
    <xf numFmtId="164" fontId="6" fillId="0" borderId="6" xfId="219" applyFont="1" applyFill="1" applyBorder="1" applyAlignment="1">
      <alignment horizontal="center" wrapText="1"/>
    </xf>
    <xf numFmtId="0" fontId="6" fillId="0" borderId="6" xfId="220" applyFont="1" applyFill="1" applyBorder="1" applyAlignment="1">
      <alignment horizontal="left" vertical="top" wrapText="1" indent="1"/>
    </xf>
    <xf numFmtId="0" fontId="64" fillId="0" borderId="8" xfId="684" applyNumberFormat="1" applyFont="1" applyFill="1" applyBorder="1" applyAlignment="1">
      <alignment horizontal="center" vertical="center"/>
    </xf>
    <xf numFmtId="0" fontId="6" fillId="13" borderId="8" xfId="152" applyNumberFormat="1" applyFont="1" applyFill="1" applyBorder="1" applyAlignment="1">
      <alignment horizontal="center" vertical="center" wrapText="1"/>
    </xf>
    <xf numFmtId="0" fontId="0" fillId="0" borderId="8" xfId="684" applyNumberFormat="1" applyFont="1" applyFill="1" applyBorder="1" applyAlignment="1">
      <alignment horizontal="center" vertical="center"/>
    </xf>
    <xf numFmtId="49" fontId="7" fillId="18" borderId="8" xfId="218" applyNumberFormat="1" applyFont="1" applyFill="1" applyBorder="1" applyAlignment="1">
      <alignment horizontal="center" vertical="center" wrapText="1"/>
    </xf>
    <xf numFmtId="12" fontId="7" fillId="10" borderId="1" xfId="218" applyNumberFormat="1" applyFont="1" applyFill="1" applyBorder="1" applyAlignment="1">
      <alignment horizontal="center" vertical="center" wrapText="1"/>
    </xf>
    <xf numFmtId="49" fontId="7" fillId="18" borderId="1" xfId="218" applyNumberFormat="1" applyFont="1" applyFill="1" applyBorder="1" applyAlignment="1">
      <alignment horizontal="center" vertical="center" wrapText="1"/>
    </xf>
    <xf numFmtId="12" fontId="7" fillId="20" borderId="1" xfId="218" applyNumberFormat="1" applyFont="1" applyFill="1" applyBorder="1" applyAlignment="1">
      <alignment horizontal="center" vertical="center" wrapText="1"/>
    </xf>
    <xf numFmtId="12" fontId="7" fillId="21" borderId="1" xfId="218" applyNumberFormat="1" applyFont="1" applyFill="1" applyBorder="1" applyAlignment="1">
      <alignment horizontal="center" vertical="center" wrapText="1"/>
    </xf>
    <xf numFmtId="164" fontId="11" fillId="0" borderId="1" xfId="577" applyFont="1" applyFill="1" applyBorder="1" applyAlignment="1">
      <alignment horizontal="left" vertical="center" indent="1"/>
    </xf>
    <xf numFmtId="164" fontId="11" fillId="13" borderId="1" xfId="577" applyFont="1" applyFill="1" applyBorder="1" applyAlignment="1">
      <alignment horizontal="center" vertical="center"/>
    </xf>
    <xf numFmtId="0" fontId="1" fillId="0" borderId="1" xfId="190" applyFont="1" applyFill="1" applyBorder="1"/>
    <xf numFmtId="0" fontId="1" fillId="0" borderId="6" xfId="190" applyFont="1" applyFill="1" applyBorder="1"/>
    <xf numFmtId="0" fontId="1" fillId="0" borderId="1" xfId="190" applyFont="1" applyBorder="1" applyAlignment="1">
      <alignment horizontal="left" vertical="center" wrapText="1" indent="1"/>
    </xf>
    <xf numFmtId="0" fontId="6" fillId="0" borderId="1" xfId="406" applyFont="1" applyFill="1" applyBorder="1" applyAlignment="1">
      <alignment horizontal="left" vertical="top" wrapText="1"/>
    </xf>
    <xf numFmtId="164" fontId="1" fillId="0" borderId="0" xfId="577" applyFont="1" applyAlignment="1">
      <alignment wrapText="1"/>
    </xf>
    <xf numFmtId="164" fontId="1" fillId="0" borderId="0" xfId="577" applyFont="1"/>
    <xf numFmtId="164" fontId="1" fillId="0" borderId="0" xfId="400" applyFont="1" applyBorder="1" applyAlignment="1">
      <alignment vertical="top"/>
    </xf>
    <xf numFmtId="164" fontId="1" fillId="13" borderId="0" xfId="577" applyFont="1" applyFill="1"/>
    <xf numFmtId="164" fontId="1" fillId="0" borderId="1" xfId="685" applyFont="1" applyFill="1" applyBorder="1" applyAlignment="1">
      <alignment horizontal="left" vertical="top" wrapText="1" indent="1"/>
    </xf>
    <xf numFmtId="164" fontId="1" fillId="0" borderId="6" xfId="685" applyFont="1" applyFill="1" applyBorder="1" applyAlignment="1">
      <alignment horizontal="left" vertical="center" wrapText="1" indent="1"/>
    </xf>
    <xf numFmtId="0" fontId="0" fillId="13" borderId="29" xfId="0" applyFill="1" applyBorder="1" applyAlignment="1">
      <alignment wrapText="1"/>
    </xf>
    <xf numFmtId="49" fontId="6" fillId="0" borderId="1" xfId="218" applyNumberFormat="1" applyFont="1" applyFill="1" applyBorder="1" applyAlignment="1">
      <alignment horizontal="center" vertical="center" wrapText="1"/>
    </xf>
    <xf numFmtId="49" fontId="6" fillId="60" borderId="1" xfId="218" applyNumberFormat="1" applyFont="1" applyFill="1" applyBorder="1" applyAlignment="1">
      <alignment horizontal="left" vertical="center" wrapText="1" indent="1"/>
    </xf>
    <xf numFmtId="49" fontId="7" fillId="0" borderId="1" xfId="218" applyNumberFormat="1" applyFont="1" applyFill="1" applyBorder="1" applyAlignment="1">
      <alignment horizontal="left" vertical="center" wrapText="1" indent="1"/>
    </xf>
    <xf numFmtId="0" fontId="65" fillId="0" borderId="0" xfId="0" applyFont="1"/>
    <xf numFmtId="0" fontId="11" fillId="0" borderId="0" xfId="0" applyNumberFormat="1" applyFont="1" applyAlignment="1">
      <alignment horizontal="left" vertical="top" wrapText="1" indent="1"/>
    </xf>
    <xf numFmtId="0" fontId="7" fillId="60" borderId="1" xfId="218" applyNumberFormat="1" applyFont="1" applyFill="1" applyBorder="1" applyAlignment="1">
      <alignment horizontal="left" vertical="center" wrapText="1" indent="1"/>
    </xf>
    <xf numFmtId="0" fontId="6" fillId="0" borderId="0" xfId="400" applyNumberFormat="1" applyFont="1" applyFill="1" applyBorder="1" applyAlignment="1">
      <alignment horizontal="left" vertical="center" wrapText="1"/>
    </xf>
    <xf numFmtId="164" fontId="11" fillId="13" borderId="0" xfId="577" applyFont="1" applyFill="1" applyAlignment="1">
      <alignment horizontal="left" vertical="center" wrapText="1"/>
    </xf>
    <xf numFmtId="0" fontId="1" fillId="13" borderId="0" xfId="577" applyNumberFormat="1" applyFont="1" applyFill="1" applyAlignment="1">
      <alignment horizontal="center" vertical="center"/>
    </xf>
    <xf numFmtId="164" fontId="75" fillId="13" borderId="0" xfId="42" applyNumberFormat="1" applyFill="1" applyBorder="1" applyAlignment="1" applyProtection="1">
      <alignment horizontal="left" vertical="center" indent="1"/>
    </xf>
    <xf numFmtId="0" fontId="85" fillId="0" borderId="53" xfId="0" applyFont="1" applyBorder="1" applyAlignment="1">
      <alignment horizontal="left" vertical="center"/>
    </xf>
    <xf numFmtId="0" fontId="11" fillId="61" borderId="1" xfId="406" applyFont="1" applyFill="1" applyBorder="1" applyAlignment="1">
      <alignment horizontal="left" indent="1"/>
    </xf>
    <xf numFmtId="0" fontId="6" fillId="61" borderId="8" xfId="220" applyNumberFormat="1" applyFont="1" applyFill="1" applyBorder="1" applyAlignment="1">
      <alignment horizontal="center" vertical="center" wrapText="1"/>
    </xf>
    <xf numFmtId="164" fontId="1" fillId="61" borderId="6" xfId="685" applyFont="1" applyFill="1" applyBorder="1" applyAlignment="1">
      <alignment horizontal="left" vertical="center" wrapText="1" indent="1"/>
    </xf>
    <xf numFmtId="164" fontId="11" fillId="61" borderId="1" xfId="577" applyFont="1" applyFill="1" applyBorder="1" applyAlignment="1">
      <alignment horizontal="center" vertical="center"/>
    </xf>
    <xf numFmtId="0" fontId="6" fillId="61" borderId="1" xfId="220" applyFont="1" applyFill="1" applyBorder="1" applyAlignment="1">
      <alignment horizontal="center" wrapText="1"/>
    </xf>
    <xf numFmtId="0" fontId="6" fillId="61" borderId="1" xfId="220" applyFont="1" applyFill="1" applyBorder="1" applyAlignment="1">
      <alignment horizontal="center" vertical="center" wrapText="1"/>
    </xf>
    <xf numFmtId="0" fontId="6" fillId="61" borderId="1" xfId="406" applyFont="1" applyFill="1" applyBorder="1" applyAlignment="1">
      <alignment horizontal="center" vertical="center" wrapText="1"/>
    </xf>
    <xf numFmtId="0" fontId="6" fillId="61" borderId="1" xfId="406" applyFont="1" applyFill="1" applyBorder="1" applyAlignment="1">
      <alignment horizontal="left" vertical="center" wrapText="1"/>
    </xf>
    <xf numFmtId="164" fontId="64" fillId="61" borderId="0" xfId="250" applyFill="1"/>
    <xf numFmtId="0" fontId="0" fillId="61" borderId="0" xfId="0" applyFont="1" applyFill="1" applyAlignment="1">
      <alignment vertical="top"/>
    </xf>
    <xf numFmtId="0" fontId="91" fillId="13" borderId="1" xfId="220" applyNumberFormat="1" applyFont="1" applyFill="1" applyBorder="1" applyAlignment="1">
      <alignment horizontal="center" vertical="center" wrapText="1"/>
    </xf>
    <xf numFmtId="0" fontId="91" fillId="0" borderId="6" xfId="220" applyFont="1" applyFill="1" applyBorder="1" applyAlignment="1">
      <alignment horizontal="left" vertical="center" wrapText="1" indent="1"/>
    </xf>
    <xf numFmtId="0" fontId="91" fillId="61" borderId="8" xfId="220" applyNumberFormat="1" applyFont="1" applyFill="1" applyBorder="1" applyAlignment="1">
      <alignment horizontal="center" vertical="center" wrapText="1"/>
    </xf>
    <xf numFmtId="164" fontId="91" fillId="61" borderId="6" xfId="685" applyFont="1" applyFill="1" applyBorder="1" applyAlignment="1">
      <alignment horizontal="left" vertical="center" wrapText="1" indent="1"/>
    </xf>
    <xf numFmtId="0" fontId="0" fillId="61" borderId="0" xfId="0" applyFont="1" applyFill="1" applyAlignment="1">
      <alignment horizontal="center" vertical="center"/>
    </xf>
    <xf numFmtId="0" fontId="0" fillId="61" borderId="0" xfId="0" applyNumberFormat="1" applyFont="1" applyFill="1" applyAlignment="1">
      <alignment horizontal="center" vertical="center"/>
    </xf>
    <xf numFmtId="0" fontId="0" fillId="61" borderId="0" xfId="0" applyFont="1" applyFill="1" applyAlignment="1">
      <alignment horizontal="left" vertical="center" wrapText="1" indent="1"/>
    </xf>
    <xf numFmtId="0" fontId="0" fillId="61" borderId="0" xfId="0" applyFont="1" applyFill="1" applyAlignment="1">
      <alignment horizontal="left" wrapText="1" indent="1"/>
    </xf>
    <xf numFmtId="0" fontId="85" fillId="61" borderId="0" xfId="0" applyFont="1" applyFill="1" applyAlignment="1">
      <alignment horizontal="left" vertical="center"/>
    </xf>
    <xf numFmtId="0" fontId="0" fillId="61" borderId="0" xfId="0" applyFill="1"/>
    <xf numFmtId="164" fontId="92" fillId="0" borderId="1" xfId="577" applyFont="1" applyFill="1" applyBorder="1" applyAlignment="1">
      <alignment horizontal="left" vertical="center" indent="1"/>
    </xf>
    <xf numFmtId="164" fontId="92" fillId="13" borderId="1" xfId="577" applyFont="1" applyFill="1" applyBorder="1" applyAlignment="1">
      <alignment horizontal="center" vertical="center"/>
    </xf>
    <xf numFmtId="164" fontId="91" fillId="0" borderId="6" xfId="219" applyFont="1" applyFill="1" applyBorder="1" applyAlignment="1">
      <alignment horizontal="center" wrapText="1"/>
    </xf>
    <xf numFmtId="0" fontId="91" fillId="0" borderId="6" xfId="219" applyNumberFormat="1" applyFont="1" applyFill="1" applyBorder="1" applyAlignment="1">
      <alignment horizontal="center" vertical="center" wrapText="1"/>
    </xf>
    <xf numFmtId="0" fontId="92" fillId="0" borderId="6" xfId="219" applyNumberFormat="1" applyFont="1" applyFill="1" applyBorder="1" applyAlignment="1">
      <alignment horizontal="center" vertical="center" wrapText="1"/>
    </xf>
    <xf numFmtId="0" fontId="91" fillId="0" borderId="1" xfId="577" applyNumberFormat="1" applyFont="1" applyFill="1" applyBorder="1" applyAlignment="1">
      <alignment horizontal="left" vertical="center" wrapText="1"/>
    </xf>
    <xf numFmtId="0" fontId="84" fillId="0" borderId="0" xfId="0" applyFont="1" applyAlignment="1">
      <alignment vertical="top"/>
    </xf>
    <xf numFmtId="0" fontId="86" fillId="61" borderId="1" xfId="406" applyFont="1" applyFill="1" applyBorder="1" applyAlignment="1">
      <alignment horizontal="left" indent="1"/>
    </xf>
    <xf numFmtId="0" fontId="93" fillId="61" borderId="8" xfId="220" applyNumberFormat="1" applyFont="1" applyFill="1" applyBorder="1" applyAlignment="1">
      <alignment horizontal="center" vertical="center" wrapText="1"/>
    </xf>
    <xf numFmtId="164" fontId="93" fillId="61" borderId="6" xfId="685" applyFont="1" applyFill="1" applyBorder="1" applyAlignment="1">
      <alignment horizontal="left" vertical="center" wrapText="1" indent="1"/>
    </xf>
    <xf numFmtId="164" fontId="86" fillId="61" borderId="1" xfId="577" applyFont="1" applyFill="1" applyBorder="1" applyAlignment="1">
      <alignment horizontal="center" vertical="center"/>
    </xf>
    <xf numFmtId="0" fontId="93" fillId="61" borderId="1" xfId="220" applyFont="1" applyFill="1" applyBorder="1" applyAlignment="1">
      <alignment horizontal="center" wrapText="1"/>
    </xf>
    <xf numFmtId="0" fontId="93" fillId="61" borderId="1" xfId="220" applyFont="1" applyFill="1" applyBorder="1" applyAlignment="1">
      <alignment horizontal="center" vertical="center" wrapText="1"/>
    </xf>
    <xf numFmtId="0" fontId="93" fillId="61" borderId="1" xfId="406" applyFont="1" applyFill="1" applyBorder="1" applyAlignment="1">
      <alignment horizontal="center" vertical="center" wrapText="1"/>
    </xf>
    <xf numFmtId="0" fontId="93" fillId="61" borderId="1" xfId="406" applyFont="1" applyFill="1" applyBorder="1" applyAlignment="1">
      <alignment horizontal="left" vertical="center" wrapText="1"/>
    </xf>
    <xf numFmtId="164" fontId="66" fillId="61" borderId="0" xfId="250" applyFont="1" applyFill="1"/>
    <xf numFmtId="0" fontId="66" fillId="61" borderId="0" xfId="0" applyFont="1" applyFill="1" applyAlignment="1">
      <alignment vertical="top"/>
    </xf>
    <xf numFmtId="0" fontId="6" fillId="61" borderId="1" xfId="220" applyNumberFormat="1" applyFont="1" applyFill="1" applyBorder="1" applyAlignment="1">
      <alignment horizontal="center" vertical="center" wrapText="1"/>
    </xf>
    <xf numFmtId="164" fontId="7" fillId="13" borderId="1" xfId="577" applyFont="1" applyFill="1" applyBorder="1" applyAlignment="1">
      <alignment horizontal="center" vertical="center"/>
    </xf>
    <xf numFmtId="0" fontId="6" fillId="0" borderId="1" xfId="190" applyFont="1" applyFill="1" applyBorder="1"/>
    <xf numFmtId="164" fontId="85" fillId="0" borderId="0" xfId="249" applyFont="1"/>
    <xf numFmtId="0" fontId="85" fillId="0" borderId="0" xfId="0" applyFont="1" applyAlignment="1">
      <alignment vertical="top"/>
    </xf>
    <xf numFmtId="0" fontId="7" fillId="0" borderId="1" xfId="406" applyFont="1" applyFill="1" applyBorder="1" applyAlignment="1">
      <alignment horizontal="left" indent="1"/>
    </xf>
    <xf numFmtId="164" fontId="6" fillId="0" borderId="6" xfId="685" applyFont="1" applyBorder="1" applyAlignment="1">
      <alignment horizontal="left" vertical="center" wrapText="1" indent="1"/>
    </xf>
    <xf numFmtId="164" fontId="85" fillId="0" borderId="0" xfId="250" applyFont="1"/>
    <xf numFmtId="164" fontId="6" fillId="0" borderId="1" xfId="684" applyFont="1" applyFill="1" applyBorder="1" applyAlignment="1">
      <alignment horizontal="left" vertical="center" wrapText="1" indent="1"/>
    </xf>
    <xf numFmtId="164" fontId="7" fillId="0" borderId="1" xfId="577" applyFont="1" applyFill="1" applyBorder="1" applyAlignment="1">
      <alignment horizontal="left" vertical="center" indent="1"/>
    </xf>
    <xf numFmtId="0" fontId="85" fillId="0" borderId="8" xfId="684" applyNumberFormat="1" applyFont="1" applyFill="1" applyBorder="1" applyAlignment="1">
      <alignment horizontal="center" vertical="center"/>
    </xf>
    <xf numFmtId="0" fontId="6" fillId="0" borderId="8" xfId="684" applyNumberFormat="1" applyFont="1" applyBorder="1" applyAlignment="1">
      <alignment horizontal="center" vertical="center" wrapText="1"/>
    </xf>
    <xf numFmtId="0" fontId="75" fillId="19" borderId="25" xfId="42" applyNumberFormat="1" applyFill="1" applyBorder="1" applyAlignment="1" applyProtection="1">
      <alignment horizontal="left" vertical="center"/>
    </xf>
    <xf numFmtId="164" fontId="21" fillId="19" borderId="6" xfId="444" applyFont="1" applyFill="1" applyBorder="1" applyAlignment="1">
      <alignment wrapText="1"/>
    </xf>
    <xf numFmtId="164" fontId="21" fillId="19" borderId="8" xfId="444" applyFont="1" applyFill="1" applyBorder="1" applyAlignment="1">
      <alignment wrapText="1"/>
    </xf>
    <xf numFmtId="0" fontId="75" fillId="19" borderId="25" xfId="42" applyNumberFormat="1" applyFill="1" applyBorder="1" applyAlignment="1" applyProtection="1">
      <alignment horizontal="left" vertical="center"/>
    </xf>
    <xf numFmtId="0" fontId="75" fillId="19" borderId="24" xfId="42" applyNumberFormat="1" applyFill="1" applyBorder="1" applyAlignment="1" applyProtection="1">
      <alignment horizontal="left" vertical="center"/>
    </xf>
    <xf numFmtId="0" fontId="17" fillId="24" borderId="31" xfId="177" applyNumberFormat="1" applyFont="1" applyFill="1" applyBorder="1" applyAlignment="1">
      <alignment horizontal="center" vertical="center" wrapText="1"/>
    </xf>
    <xf numFmtId="0" fontId="17" fillId="24" borderId="10" xfId="177" applyNumberFormat="1" applyFont="1" applyFill="1" applyBorder="1" applyAlignment="1">
      <alignment horizontal="center" vertical="center" wrapText="1"/>
    </xf>
    <xf numFmtId="0" fontId="17" fillId="24" borderId="32" xfId="177" applyNumberFormat="1" applyFont="1" applyFill="1" applyBorder="1" applyAlignment="1">
      <alignment horizontal="center" vertical="center" wrapText="1"/>
    </xf>
    <xf numFmtId="164" fontId="17" fillId="16" borderId="33" xfId="444" applyFont="1" applyFill="1" applyBorder="1"/>
    <xf numFmtId="164" fontId="17" fillId="16" borderId="34" xfId="444" applyFont="1" applyFill="1" applyBorder="1"/>
    <xf numFmtId="164" fontId="17" fillId="16" borderId="35" xfId="444" applyFont="1" applyFill="1" applyBorder="1"/>
    <xf numFmtId="164" fontId="17" fillId="23" borderId="36" xfId="444" applyFont="1" applyFill="1" applyBorder="1" applyAlignment="1">
      <alignment horizontal="center"/>
    </xf>
    <xf numFmtId="164" fontId="17" fillId="23" borderId="37" xfId="444" applyFont="1" applyFill="1" applyBorder="1" applyAlignment="1">
      <alignment horizontal="center"/>
    </xf>
    <xf numFmtId="164" fontId="17" fillId="23" borderId="38" xfId="444" applyFont="1" applyFill="1" applyBorder="1" applyAlignment="1">
      <alignment horizontal="center"/>
    </xf>
    <xf numFmtId="164" fontId="17" fillId="20" borderId="6" xfId="444" applyFont="1" applyFill="1" applyBorder="1"/>
    <xf numFmtId="164" fontId="17" fillId="20" borderId="10" xfId="444" applyFont="1" applyFill="1" applyBorder="1"/>
    <xf numFmtId="164" fontId="17" fillId="20" borderId="8" xfId="444" applyFont="1" applyFill="1" applyBorder="1"/>
    <xf numFmtId="164" fontId="35" fillId="21" borderId="2" xfId="444" applyFont="1" applyFill="1" applyBorder="1" applyAlignment="1">
      <alignment horizontal="center" vertical="center"/>
    </xf>
    <xf numFmtId="164" fontId="35" fillId="21" borderId="20" xfId="444" applyFont="1" applyFill="1" applyBorder="1" applyAlignment="1">
      <alignment horizontal="center" vertical="center"/>
    </xf>
    <xf numFmtId="164" fontId="35" fillId="21" borderId="3" xfId="444" applyFont="1" applyFill="1" applyBorder="1" applyAlignment="1">
      <alignment horizontal="center" vertical="center"/>
    </xf>
    <xf numFmtId="0" fontId="26" fillId="24" borderId="6" xfId="0" applyFont="1" applyFill="1" applyBorder="1" applyAlignment="1">
      <alignment horizontal="center" vertical="center"/>
    </xf>
    <xf numFmtId="0" fontId="26" fillId="24" borderId="10" xfId="0" applyFont="1" applyFill="1" applyBorder="1" applyAlignment="1">
      <alignment horizontal="center" vertical="center"/>
    </xf>
    <xf numFmtId="0" fontId="26" fillId="24" borderId="8" xfId="0" applyFont="1" applyFill="1" applyBorder="1" applyAlignment="1">
      <alignment horizontal="center" vertical="center"/>
    </xf>
    <xf numFmtId="164" fontId="28" fillId="20" borderId="6" xfId="444" applyFont="1" applyFill="1" applyBorder="1"/>
    <xf numFmtId="164" fontId="28" fillId="20" borderId="10" xfId="444" applyFont="1" applyFill="1" applyBorder="1"/>
    <xf numFmtId="164" fontId="28" fillId="20" borderId="8" xfId="444" applyFont="1" applyFill="1" applyBorder="1"/>
    <xf numFmtId="164" fontId="35" fillId="12" borderId="2" xfId="444" applyFont="1" applyFill="1" applyBorder="1" applyAlignment="1">
      <alignment horizontal="center" vertical="center"/>
    </xf>
    <xf numFmtId="164" fontId="35" fillId="12" borderId="20" xfId="444" applyFont="1" applyFill="1" applyBorder="1" applyAlignment="1">
      <alignment horizontal="center" vertical="center"/>
    </xf>
    <xf numFmtId="164" fontId="35" fillId="12" borderId="3" xfId="444" applyFont="1" applyFill="1" applyBorder="1" applyAlignment="1">
      <alignment horizontal="center" vertical="center"/>
    </xf>
    <xf numFmtId="164" fontId="21" fillId="19" borderId="6" xfId="0" applyNumberFormat="1" applyFont="1" applyFill="1" applyBorder="1" applyAlignment="1">
      <alignment horizontal="left" wrapText="1"/>
    </xf>
    <xf numFmtId="164" fontId="21" fillId="19" borderId="8" xfId="0" applyNumberFormat="1" applyFont="1" applyFill="1" applyBorder="1" applyAlignment="1">
      <alignment horizontal="left" wrapText="1"/>
    </xf>
    <xf numFmtId="0" fontId="26" fillId="16" borderId="6" xfId="0" applyFont="1" applyFill="1" applyBorder="1" applyAlignment="1">
      <alignment horizontal="left" vertical="center"/>
    </xf>
    <xf numFmtId="0" fontId="26" fillId="16" borderId="10" xfId="0" applyFont="1" applyFill="1" applyBorder="1" applyAlignment="1">
      <alignment horizontal="left" vertical="center"/>
    </xf>
    <xf numFmtId="0" fontId="26" fillId="16" borderId="8" xfId="0" applyFont="1" applyFill="1" applyBorder="1" applyAlignment="1">
      <alignment horizontal="left" vertical="center"/>
    </xf>
    <xf numFmtId="12" fontId="3" fillId="10" borderId="2" xfId="218" applyNumberFormat="1" applyFont="1" applyFill="1" applyBorder="1" applyAlignment="1">
      <alignment horizontal="center" vertical="top" wrapText="1"/>
    </xf>
    <xf numFmtId="12" fontId="3" fillId="10" borderId="3" xfId="218" applyNumberFormat="1" applyFont="1" applyFill="1" applyBorder="1" applyAlignment="1">
      <alignment horizontal="center" vertical="top" wrapText="1"/>
    </xf>
    <xf numFmtId="12" fontId="3" fillId="12" borderId="2" xfId="218" applyNumberFormat="1" applyFont="1" applyFill="1" applyBorder="1" applyAlignment="1">
      <alignment horizontal="center" vertical="top" wrapText="1"/>
    </xf>
    <xf numFmtId="12" fontId="3" fillId="12" borderId="3" xfId="218" applyNumberFormat="1" applyFont="1" applyFill="1" applyBorder="1" applyAlignment="1">
      <alignment horizontal="center" vertical="top" wrapText="1"/>
    </xf>
    <xf numFmtId="0" fontId="3" fillId="12" borderId="5" xfId="218" applyFont="1" applyFill="1" applyBorder="1" applyAlignment="1">
      <alignment horizontal="center" vertical="top"/>
    </xf>
    <xf numFmtId="0" fontId="3" fillId="12" borderId="9" xfId="218" applyFont="1" applyFill="1" applyBorder="1" applyAlignment="1">
      <alignment horizontal="center" vertical="top"/>
    </xf>
    <xf numFmtId="12" fontId="3" fillId="12" borderId="6" xfId="218" applyNumberFormat="1" applyFont="1" applyFill="1" applyBorder="1" applyAlignment="1">
      <alignment horizontal="center" vertical="top" wrapText="1"/>
    </xf>
    <xf numFmtId="12" fontId="3" fillId="12" borderId="10" xfId="218" applyNumberFormat="1" applyFont="1" applyFill="1" applyBorder="1" applyAlignment="1">
      <alignment horizontal="center" vertical="top" wrapText="1"/>
    </xf>
    <xf numFmtId="12" fontId="3" fillId="12" borderId="8" xfId="218" applyNumberFormat="1" applyFont="1" applyFill="1" applyBorder="1" applyAlignment="1">
      <alignment horizontal="center" vertical="top" wrapText="1"/>
    </xf>
    <xf numFmtId="49" fontId="3" fillId="10" borderId="2" xfId="218" applyNumberFormat="1" applyFont="1" applyFill="1" applyBorder="1" applyAlignment="1">
      <alignment horizontal="center" vertical="top" wrapText="1"/>
    </xf>
    <xf numFmtId="49" fontId="3" fillId="10" borderId="3" xfId="218" applyNumberFormat="1" applyFont="1" applyFill="1" applyBorder="1" applyAlignment="1">
      <alignment horizontal="center" vertical="top" wrapText="1"/>
    </xf>
    <xf numFmtId="49" fontId="3" fillId="10" borderId="2" xfId="218" applyNumberFormat="1" applyFont="1" applyFill="1" applyBorder="1" applyAlignment="1">
      <alignment horizontal="center" vertical="top"/>
    </xf>
    <xf numFmtId="49" fontId="3" fillId="10" borderId="3" xfId="218" applyNumberFormat="1" applyFont="1" applyFill="1" applyBorder="1" applyAlignment="1">
      <alignment horizontal="center" vertical="top"/>
    </xf>
    <xf numFmtId="0" fontId="42" fillId="0" borderId="9" xfId="0" applyNumberFormat="1" applyFont="1" applyBorder="1" applyAlignment="1">
      <alignment horizontal="center" vertical="top"/>
    </xf>
    <xf numFmtId="0" fontId="42" fillId="0" borderId="9" xfId="0" applyNumberFormat="1" applyFont="1" applyBorder="1" applyAlignment="1">
      <alignment horizontal="center" vertical="top" wrapText="1"/>
    </xf>
    <xf numFmtId="0" fontId="7" fillId="22" borderId="6" xfId="218" applyNumberFormat="1" applyFont="1" applyFill="1" applyBorder="1" applyAlignment="1">
      <alignment horizontal="center" vertical="center" wrapText="1"/>
    </xf>
    <xf numFmtId="0" fontId="7" fillId="22" borderId="10" xfId="218" applyNumberFormat="1" applyFont="1" applyFill="1" applyBorder="1" applyAlignment="1">
      <alignment horizontal="center" vertical="center" wrapText="1"/>
    </xf>
    <xf numFmtId="0" fontId="86" fillId="59" borderId="6" xfId="218" applyNumberFormat="1" applyFont="1" applyFill="1" applyBorder="1" applyAlignment="1">
      <alignment horizontal="center" vertical="center" wrapText="1"/>
    </xf>
    <xf numFmtId="0" fontId="86" fillId="59" borderId="10" xfId="218" applyNumberFormat="1" applyFont="1" applyFill="1" applyBorder="1" applyAlignment="1">
      <alignment horizontal="center" vertical="center" wrapText="1"/>
    </xf>
    <xf numFmtId="164" fontId="11" fillId="0" borderId="51" xfId="577" applyFont="1" applyFill="1" applyBorder="1" applyAlignment="1">
      <alignment horizontal="center" vertical="top" wrapText="1"/>
    </xf>
    <xf numFmtId="164" fontId="11" fillId="0" borderId="50" xfId="577" applyFont="1" applyFill="1" applyBorder="1" applyAlignment="1">
      <alignment horizontal="center" vertical="top" wrapText="1"/>
    </xf>
    <xf numFmtId="164" fontId="11" fillId="0" borderId="0" xfId="577" applyFont="1" applyFill="1" applyBorder="1" applyAlignment="1">
      <alignment horizontal="center" vertical="top" wrapText="1"/>
    </xf>
    <xf numFmtId="164" fontId="11" fillId="0" borderId="0" xfId="577" applyFont="1" applyFill="1" applyAlignment="1">
      <alignment horizontal="left" vertical="top" wrapText="1"/>
    </xf>
    <xf numFmtId="164" fontId="11" fillId="0" borderId="30" xfId="577" applyFont="1" applyFill="1" applyBorder="1" applyAlignment="1">
      <alignment horizontal="left" vertical="top" wrapText="1"/>
    </xf>
    <xf numFmtId="0" fontId="90" fillId="9" borderId="6" xfId="577" applyNumberFormat="1" applyFont="1" applyFill="1" applyBorder="1" applyAlignment="1">
      <alignment horizontal="left" vertical="center" wrapText="1"/>
    </xf>
    <xf numFmtId="0" fontId="90" fillId="9" borderId="10" xfId="577" applyNumberFormat="1" applyFont="1" applyFill="1" applyBorder="1" applyAlignment="1">
      <alignment horizontal="left" vertical="center" wrapText="1"/>
    </xf>
    <xf numFmtId="0" fontId="90" fillId="9" borderId="8" xfId="577" applyNumberFormat="1" applyFont="1" applyFill="1" applyBorder="1" applyAlignment="1">
      <alignment horizontal="left" vertical="center" wrapText="1"/>
    </xf>
    <xf numFmtId="164" fontId="11" fillId="13" borderId="0" xfId="577" applyFont="1" applyFill="1" applyAlignment="1">
      <alignment horizontal="center" vertical="top" wrapText="1"/>
    </xf>
    <xf numFmtId="0" fontId="0" fillId="0" borderId="10" xfId="0" applyFont="1" applyBorder="1" applyAlignment="1">
      <alignment horizontal="center" wrapText="1"/>
    </xf>
    <xf numFmtId="0" fontId="43" fillId="9" borderId="6" xfId="577" applyNumberFormat="1" applyFont="1" applyFill="1" applyBorder="1" applyAlignment="1">
      <alignment horizontal="left" vertical="center" wrapText="1"/>
    </xf>
    <xf numFmtId="0" fontId="43" fillId="9" borderId="10" xfId="577" applyNumberFormat="1" applyFont="1" applyFill="1" applyBorder="1" applyAlignment="1">
      <alignment horizontal="left" vertical="center" wrapText="1"/>
    </xf>
    <xf numFmtId="0" fontId="43" fillId="9" borderId="8" xfId="577" applyNumberFormat="1" applyFont="1" applyFill="1" applyBorder="1" applyAlignment="1">
      <alignment horizontal="left" vertical="center" wrapText="1"/>
    </xf>
    <xf numFmtId="164" fontId="11" fillId="0" borderId="0" xfId="577" applyFont="1" applyAlignment="1">
      <alignment horizontal="left"/>
    </xf>
    <xf numFmtId="164" fontId="1" fillId="0" borderId="49" xfId="400" applyFont="1" applyBorder="1" applyAlignment="1">
      <alignment horizontal="center" vertical="top"/>
    </xf>
    <xf numFmtId="164" fontId="1" fillId="0" borderId="0" xfId="400" applyFont="1" applyBorder="1" applyAlignment="1">
      <alignment horizontal="center" vertical="top"/>
    </xf>
    <xf numFmtId="164" fontId="11" fillId="0" borderId="50" xfId="400" applyFont="1" applyFill="1" applyBorder="1" applyAlignment="1">
      <alignment horizontal="left" vertical="center" wrapText="1"/>
    </xf>
    <xf numFmtId="164" fontId="11" fillId="0" borderId="52" xfId="400" applyFont="1" applyFill="1" applyBorder="1" applyAlignment="1">
      <alignment horizontal="left" vertical="center" wrapText="1"/>
    </xf>
    <xf numFmtId="164" fontId="11" fillId="0" borderId="51" xfId="400" applyFont="1" applyFill="1" applyBorder="1" applyAlignment="1">
      <alignment horizontal="center" vertical="top" wrapText="1"/>
    </xf>
    <xf numFmtId="164" fontId="11" fillId="0" borderId="50" xfId="400" applyFont="1" applyFill="1" applyBorder="1" applyAlignment="1">
      <alignment horizontal="center" vertical="top" wrapText="1"/>
    </xf>
    <xf numFmtId="164" fontId="11" fillId="0" borderId="0" xfId="400" applyFont="1" applyFill="1" applyBorder="1" applyAlignment="1">
      <alignment horizontal="center" vertical="top" wrapText="1"/>
    </xf>
    <xf numFmtId="164" fontId="42" fillId="0" borderId="49" xfId="400" applyFont="1" applyBorder="1" applyAlignment="1">
      <alignment horizontal="center" vertical="top"/>
    </xf>
    <xf numFmtId="164" fontId="42" fillId="0" borderId="0" xfId="400" applyFont="1" applyBorder="1" applyAlignment="1">
      <alignment horizontal="center" vertical="top"/>
    </xf>
    <xf numFmtId="164" fontId="41" fillId="0" borderId="51" xfId="400" applyFont="1" applyFill="1" applyBorder="1" applyAlignment="1">
      <alignment horizontal="center" vertical="center" wrapText="1"/>
    </xf>
    <xf numFmtId="164" fontId="41" fillId="0" borderId="50" xfId="400" applyFont="1" applyFill="1" applyBorder="1" applyAlignment="1">
      <alignment horizontal="center" vertical="center" wrapText="1"/>
    </xf>
    <xf numFmtId="164" fontId="41" fillId="0" borderId="0" xfId="400" applyFont="1" applyFill="1" applyBorder="1" applyAlignment="1">
      <alignment horizontal="center" vertical="center" wrapText="1"/>
    </xf>
    <xf numFmtId="164" fontId="37" fillId="0" borderId="0" xfId="577" applyFont="1" applyFill="1" applyAlignment="1">
      <alignment horizontal="left" vertical="center" wrapText="1"/>
    </xf>
    <xf numFmtId="164" fontId="37" fillId="0" borderId="30" xfId="577" applyFont="1" applyFill="1" applyBorder="1" applyAlignment="1">
      <alignment horizontal="left" vertical="center" wrapText="1"/>
    </xf>
    <xf numFmtId="0" fontId="38" fillId="25" borderId="6" xfId="0" applyFont="1" applyFill="1" applyBorder="1" applyAlignment="1">
      <alignment horizontal="center" vertical="center" wrapText="1"/>
    </xf>
    <xf numFmtId="0" fontId="44" fillId="25" borderId="10" xfId="0" applyFont="1" applyFill="1" applyBorder="1" applyAlignment="1">
      <alignment horizontal="center" vertical="center" wrapText="1"/>
    </xf>
    <xf numFmtId="0" fontId="44" fillId="25" borderId="8" xfId="0" applyFont="1" applyFill="1" applyBorder="1" applyAlignment="1">
      <alignment horizontal="center" vertical="center" wrapText="1"/>
    </xf>
    <xf numFmtId="0" fontId="1" fillId="9" borderId="1" xfId="577" applyNumberFormat="1" applyFont="1" applyFill="1" applyBorder="1" applyAlignment="1">
      <alignment horizontal="left" vertical="center" wrapText="1"/>
    </xf>
    <xf numFmtId="0" fontId="57" fillId="9" borderId="1" xfId="577" applyNumberFormat="1" applyFont="1" applyFill="1" applyBorder="1" applyAlignment="1">
      <alignment horizontal="left" vertical="center" wrapText="1"/>
    </xf>
    <xf numFmtId="164" fontId="75" fillId="13" borderId="0" xfId="42" applyNumberFormat="1" applyFill="1" applyAlignment="1">
      <alignment horizontal="center" vertical="top" wrapText="1"/>
    </xf>
  </cellXfs>
  <cellStyles count="1409">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6" xfId="10" builtinId="50" customBuiltin="1"/>
    <cellStyle name="40% - Accent1" xfId="11" builtinId="31" customBuiltin="1"/>
    <cellStyle name="40% - Accent2" xfId="12" builtinId="35" customBuiltin="1"/>
    <cellStyle name="40% - Accent3" xfId="13" builtinId="39" customBuiltin="1"/>
    <cellStyle name="40% - Accent3 2" xfId="14"/>
    <cellStyle name="40% - Accent4" xfId="15" builtinId="43" customBuiltin="1"/>
    <cellStyle name="40% - Accent5" xfId="16" builtinId="47" customBuiltin="1"/>
    <cellStyle name="40% - Accent6" xfId="17" builtinId="51" customBuiltin="1"/>
    <cellStyle name="60% - Accent1" xfId="18" builtinId="32" customBuiltin="1"/>
    <cellStyle name="60% - Accent2" xfId="19" builtinId="36" customBuiltin="1"/>
    <cellStyle name="60% - Accent3" xfId="20" builtinId="40" customBuiltin="1"/>
    <cellStyle name="60% - Accent3 2" xfId="21"/>
    <cellStyle name="60% - Accent4" xfId="22" builtinId="44" customBuiltin="1"/>
    <cellStyle name="60% - Accent4 2" xfId="23"/>
    <cellStyle name="60% - Accent5" xfId="24" builtinId="48" customBuiltin="1"/>
    <cellStyle name="60% - Accent6" xfId="25" builtinId="52" customBuiltin="1"/>
    <cellStyle name="60% - Accent6 2" xfId="26"/>
    <cellStyle name="Accent1" xfId="27" builtinId="29" customBuiltin="1"/>
    <cellStyle name="Accent2" xfId="28" builtinId="33" customBuiltin="1"/>
    <cellStyle name="Accent3" xfId="29" builtinId="37" customBuiltin="1"/>
    <cellStyle name="Accent4" xfId="30" builtinId="41" customBuiltin="1"/>
    <cellStyle name="Accent5" xfId="31" builtinId="45" customBuiltin="1"/>
    <cellStyle name="Accent6" xfId="32" builtinId="49" customBuiltin="1"/>
    <cellStyle name="Bad" xfId="33" builtinId="27" customBuiltin="1"/>
    <cellStyle name="Calculation" xfId="34" builtinId="22" customBuiltin="1"/>
    <cellStyle name="Check Cell" xfId="35" builtinId="23" customBuiltin="1"/>
    <cellStyle name="Explanatory Text" xfId="36" builtinId="53" customBuiltin="1"/>
    <cellStyle name="Good" xfId="37" builtinId="26" customBuiltin="1"/>
    <cellStyle name="Heading 1" xfId="38" builtinId="16" customBuiltin="1"/>
    <cellStyle name="Heading 2" xfId="39" builtinId="17" customBuiltin="1"/>
    <cellStyle name="Heading 3" xfId="40" builtinId="18" customBuiltin="1"/>
    <cellStyle name="Heading 4" xfId="41" builtinId="19" customBuiltin="1"/>
    <cellStyle name="Hyperlink" xfId="42" builtinId="8"/>
    <cellStyle name="Hyperlink 2" xfId="43"/>
    <cellStyle name="Hyperlink 3" xfId="44"/>
    <cellStyle name="Hyperlink 4" xfId="45"/>
    <cellStyle name="Input" xfId="46" builtinId="20" customBuiltin="1"/>
    <cellStyle name="Linked Cell" xfId="47" builtinId="24" customBuiltin="1"/>
    <cellStyle name="Neutral" xfId="48" builtinId="28" customBuiltin="1"/>
    <cellStyle name="Normal" xfId="0" builtinId="0"/>
    <cellStyle name="Normal 10" xfId="49"/>
    <cellStyle name="Normal 10 2" xfId="50"/>
    <cellStyle name="Normal 10 2 2" xfId="51"/>
    <cellStyle name="Normal 10 2 3" xfId="52"/>
    <cellStyle name="Normal 10 3" xfId="53"/>
    <cellStyle name="Normal 10 4" xfId="54"/>
    <cellStyle name="Normal 10 5" xfId="55"/>
    <cellStyle name="Normal 10 6" xfId="56"/>
    <cellStyle name="Normal 100" xfId="57"/>
    <cellStyle name="Normal 101" xfId="58"/>
    <cellStyle name="Normal 102" xfId="59"/>
    <cellStyle name="Normal 103" xfId="60"/>
    <cellStyle name="Normal 104" xfId="61"/>
    <cellStyle name="Normal 105" xfId="62"/>
    <cellStyle name="Normal 106" xfId="63"/>
    <cellStyle name="Normal 107" xfId="64"/>
    <cellStyle name="Normal 108" xfId="65"/>
    <cellStyle name="Normal 109" xfId="66"/>
    <cellStyle name="Normal 11" xfId="67"/>
    <cellStyle name="Normal 110" xfId="68"/>
    <cellStyle name="Normal 111" xfId="69"/>
    <cellStyle name="Normal 112" xfId="70"/>
    <cellStyle name="Normal 113" xfId="71"/>
    <cellStyle name="Normal 114" xfId="72"/>
    <cellStyle name="Normal 115" xfId="73"/>
    <cellStyle name="Normal 116" xfId="74"/>
    <cellStyle name="Normal 117" xfId="75"/>
    <cellStyle name="Normal 118" xfId="76"/>
    <cellStyle name="Normal 119" xfId="77"/>
    <cellStyle name="Normal 12" xfId="78"/>
    <cellStyle name="Normal 120" xfId="79"/>
    <cellStyle name="Normal 121" xfId="80"/>
    <cellStyle name="Normal 122" xfId="81"/>
    <cellStyle name="Normal 123" xfId="82"/>
    <cellStyle name="Normal 124" xfId="83"/>
    <cellStyle name="Normal 125" xfId="84"/>
    <cellStyle name="Normal 125 2" xfId="85"/>
    <cellStyle name="Normal 126" xfId="86"/>
    <cellStyle name="Normal 127" xfId="87"/>
    <cellStyle name="Normal 128" xfId="88"/>
    <cellStyle name="Normal 128 2" xfId="89"/>
    <cellStyle name="Normal 129" xfId="90"/>
    <cellStyle name="Normal 129 2" xfId="91"/>
    <cellStyle name="Normal 13" xfId="92"/>
    <cellStyle name="Normal 13 2" xfId="93"/>
    <cellStyle name="Normal 13 3" xfId="94"/>
    <cellStyle name="Normal 130" xfId="95"/>
    <cellStyle name="Normal 130 2" xfId="96"/>
    <cellStyle name="Normal 131" xfId="97"/>
    <cellStyle name="Normal 131 2" xfId="98"/>
    <cellStyle name="Normal 132" xfId="99"/>
    <cellStyle name="Normal 132 2" xfId="100"/>
    <cellStyle name="Normal 133" xfId="101"/>
    <cellStyle name="Normal 134" xfId="102"/>
    <cellStyle name="Normal 135" xfId="103"/>
    <cellStyle name="Normal 136" xfId="104"/>
    <cellStyle name="Normal 136 2" xfId="105"/>
    <cellStyle name="Normal 137" xfId="106"/>
    <cellStyle name="Normal 137 2" xfId="107"/>
    <cellStyle name="Normal 138" xfId="108"/>
    <cellStyle name="Normal 138 2" xfId="109"/>
    <cellStyle name="Normal 139" xfId="110"/>
    <cellStyle name="Normal 139 2" xfId="111"/>
    <cellStyle name="Normal 14" xfId="112"/>
    <cellStyle name="Normal 14 2" xfId="113"/>
    <cellStyle name="Normal 14 3" xfId="114"/>
    <cellStyle name="Normal 140" xfId="115"/>
    <cellStyle name="Normal 140 2" xfId="116"/>
    <cellStyle name="Normal 141" xfId="117"/>
    <cellStyle name="Normal 141 2" xfId="118"/>
    <cellStyle name="Normal 142" xfId="119"/>
    <cellStyle name="Normal 142 2" xfId="120"/>
    <cellStyle name="Normal 143" xfId="121"/>
    <cellStyle name="Normal 144" xfId="122"/>
    <cellStyle name="Normal 145" xfId="123"/>
    <cellStyle name="Normal 146" xfId="124"/>
    <cellStyle name="Normal 147" xfId="125"/>
    <cellStyle name="Normal 148" xfId="126"/>
    <cellStyle name="Normal 149" xfId="127"/>
    <cellStyle name="Normal 15" xfId="128"/>
    <cellStyle name="Normal 15 2" xfId="129"/>
    <cellStyle name="Normal 15 3" xfId="130"/>
    <cellStyle name="Normal 150" xfId="131"/>
    <cellStyle name="Normal 151" xfId="132"/>
    <cellStyle name="Normal 152" xfId="133"/>
    <cellStyle name="Normal 153" xfId="134"/>
    <cellStyle name="Normal 154" xfId="135"/>
    <cellStyle name="Normal 155" xfId="136"/>
    <cellStyle name="Normal 156" xfId="137"/>
    <cellStyle name="Normal 157" xfId="138"/>
    <cellStyle name="Normal 158" xfId="139"/>
    <cellStyle name="Normal 159" xfId="140"/>
    <cellStyle name="Normal 16" xfId="141"/>
    <cellStyle name="Normal 16 2" xfId="142"/>
    <cellStyle name="Normal 16 2 2" xfId="143"/>
    <cellStyle name="Normal 16 2 2 2" xfId="144"/>
    <cellStyle name="Normal 16 2 2 3" xfId="145"/>
    <cellStyle name="Normal 16 3" xfId="146"/>
    <cellStyle name="Normal 16 4" xfId="147"/>
    <cellStyle name="Normal 16 5" xfId="148"/>
    <cellStyle name="Normal 160" xfId="149"/>
    <cellStyle name="Normal 161" xfId="150"/>
    <cellStyle name="Normal 162" xfId="151"/>
    <cellStyle name="Normal 163" xfId="152"/>
    <cellStyle name="Normal 164" xfId="153"/>
    <cellStyle name="Normal 165" xfId="154"/>
    <cellStyle name="Normal 166" xfId="155"/>
    <cellStyle name="Normal 167" xfId="156"/>
    <cellStyle name="Normal 168" xfId="157"/>
    <cellStyle name="Normal 169" xfId="158"/>
    <cellStyle name="Normal 17" xfId="159"/>
    <cellStyle name="Normal 17 2" xfId="160"/>
    <cellStyle name="Normal 17 2 2" xfId="161"/>
    <cellStyle name="Normal 17 2 2 2" xfId="162"/>
    <cellStyle name="Normal 17 2 2 3" xfId="163"/>
    <cellStyle name="Normal 17 3" xfId="164"/>
    <cellStyle name="Normal 17 4" xfId="165"/>
    <cellStyle name="Normal 17 5" xfId="166"/>
    <cellStyle name="Normal 170" xfId="167"/>
    <cellStyle name="Normal 171" xfId="168"/>
    <cellStyle name="Normal 172" xfId="169"/>
    <cellStyle name="Normal 173" xfId="170"/>
    <cellStyle name="Normal 174" xfId="171"/>
    <cellStyle name="Normal 175" xfId="172"/>
    <cellStyle name="Normal 176" xfId="173"/>
    <cellStyle name="Normal 177" xfId="174"/>
    <cellStyle name="Normal 178" xfId="175"/>
    <cellStyle name="Normal 179" xfId="176"/>
    <cellStyle name="Normal 18" xfId="177"/>
    <cellStyle name="Normal 18 2" xfId="178"/>
    <cellStyle name="Normal 18 3" xfId="179"/>
    <cellStyle name="Normal 180" xfId="180"/>
    <cellStyle name="Normal 181" xfId="181"/>
    <cellStyle name="Normal 182" xfId="182"/>
    <cellStyle name="Normal 182 2" xfId="183"/>
    <cellStyle name="Normal 183" xfId="184"/>
    <cellStyle name="Normal 183 2" xfId="185"/>
    <cellStyle name="Normal 184" xfId="186"/>
    <cellStyle name="Normal 184 2" xfId="187"/>
    <cellStyle name="Normal 185" xfId="188"/>
    <cellStyle name="Normal 186" xfId="189"/>
    <cellStyle name="Normal 186 2" xfId="190"/>
    <cellStyle name="Normal 187" xfId="191"/>
    <cellStyle name="Normal 187 2" xfId="192"/>
    <cellStyle name="Normal 188" xfId="193"/>
    <cellStyle name="Normal 188 2" xfId="194"/>
    <cellStyle name="Normal 189" xfId="195"/>
    <cellStyle name="Normal 189 2" xfId="196"/>
    <cellStyle name="Normal 19" xfId="197"/>
    <cellStyle name="Normal 19 2" xfId="198"/>
    <cellStyle name="Normal 19 2 2" xfId="199"/>
    <cellStyle name="Normal 19 2 2 2" xfId="200"/>
    <cellStyle name="Normal 19 2 2 3" xfId="201"/>
    <cellStyle name="Normal 19 3" xfId="202"/>
    <cellStyle name="Normal 19 4" xfId="203"/>
    <cellStyle name="Normal 19 5" xfId="204"/>
    <cellStyle name="Normal 190" xfId="205"/>
    <cellStyle name="Normal 190 2" xfId="206"/>
    <cellStyle name="Normal 191" xfId="207"/>
    <cellStyle name="Normal 191 2" xfId="208"/>
    <cellStyle name="Normal 192" xfId="209"/>
    <cellStyle name="Normal 192 2" xfId="210"/>
    <cellStyle name="Normal 193" xfId="211"/>
    <cellStyle name="Normal 194" xfId="212"/>
    <cellStyle name="Normal 195" xfId="213"/>
    <cellStyle name="Normal 196" xfId="214"/>
    <cellStyle name="Normal 197" xfId="215"/>
    <cellStyle name="Normal 198" xfId="216"/>
    <cellStyle name="Normal 199" xfId="217"/>
    <cellStyle name="Normal 2" xfId="218"/>
    <cellStyle name="Normal 2 2" xfId="219"/>
    <cellStyle name="Normal 2 3" xfId="220"/>
    <cellStyle name="Normal 2 4" xfId="221"/>
    <cellStyle name="Normal 2 5" xfId="222"/>
    <cellStyle name="Normal 20" xfId="223"/>
    <cellStyle name="Normal 20 2" xfId="224"/>
    <cellStyle name="Normal 20 2 2" xfId="225"/>
    <cellStyle name="Normal 20 2 2 2" xfId="226"/>
    <cellStyle name="Normal 20 2 2 3" xfId="227"/>
    <cellStyle name="Normal 20 3" xfId="228"/>
    <cellStyle name="Normal 20 4" xfId="229"/>
    <cellStyle name="Normal 20 5" xfId="230"/>
    <cellStyle name="Normal 200" xfId="231"/>
    <cellStyle name="Normal 201" xfId="232"/>
    <cellStyle name="Normal 202" xfId="233"/>
    <cellStyle name="Normal 203" xfId="234"/>
    <cellStyle name="Normal 204" xfId="235"/>
    <cellStyle name="Normal 205" xfId="236"/>
    <cellStyle name="Normal 206" xfId="237"/>
    <cellStyle name="Normal 207" xfId="238"/>
    <cellStyle name="Normal 208" xfId="239"/>
    <cellStyle name="Normal 209" xfId="240"/>
    <cellStyle name="Normal 21" xfId="241"/>
    <cellStyle name="Normal 21 2" xfId="242"/>
    <cellStyle name="Normal 21 2 2" xfId="243"/>
    <cellStyle name="Normal 21 2 2 2" xfId="244"/>
    <cellStyle name="Normal 21 2 2 3" xfId="245"/>
    <cellStyle name="Normal 21 3" xfId="246"/>
    <cellStyle name="Normal 21 4" xfId="247"/>
    <cellStyle name="Normal 21 5" xfId="248"/>
    <cellStyle name="Normal 210" xfId="249"/>
    <cellStyle name="Normal 211" xfId="250"/>
    <cellStyle name="Normal 212" xfId="251"/>
    <cellStyle name="Normal 213" xfId="252"/>
    <cellStyle name="Normal 214" xfId="253"/>
    <cellStyle name="Normal 215" xfId="254"/>
    <cellStyle name="Normal 216" xfId="255"/>
    <cellStyle name="Normal 217" xfId="256"/>
    <cellStyle name="Normal 218" xfId="257"/>
    <cellStyle name="Normal 219" xfId="258"/>
    <cellStyle name="Normal 22" xfId="259"/>
    <cellStyle name="Normal 22 2" xfId="260"/>
    <cellStyle name="Normal 22 2 2" xfId="261"/>
    <cellStyle name="Normal 22 2 2 2" xfId="262"/>
    <cellStyle name="Normal 22 2 2 3" xfId="263"/>
    <cellStyle name="Normal 22 3" xfId="264"/>
    <cellStyle name="Normal 22 4" xfId="265"/>
    <cellStyle name="Normal 22 5" xfId="266"/>
    <cellStyle name="Normal 220" xfId="267"/>
    <cellStyle name="Normal 221" xfId="268"/>
    <cellStyle name="Normal 222" xfId="269"/>
    <cellStyle name="Normal 223" xfId="270"/>
    <cellStyle name="Normal 224" xfId="271"/>
    <cellStyle name="Normal 225" xfId="272"/>
    <cellStyle name="Normal 226" xfId="273"/>
    <cellStyle name="Normal 227" xfId="274"/>
    <cellStyle name="Normal 228" xfId="275"/>
    <cellStyle name="Normal 229" xfId="276"/>
    <cellStyle name="Normal 23" xfId="277"/>
    <cellStyle name="Normal 23 2" xfId="278"/>
    <cellStyle name="Normal 23 2 2" xfId="279"/>
    <cellStyle name="Normal 23 2 2 2" xfId="280"/>
    <cellStyle name="Normal 23 2 2 3" xfId="281"/>
    <cellStyle name="Normal 23 3" xfId="282"/>
    <cellStyle name="Normal 23 4" xfId="283"/>
    <cellStyle name="Normal 23 5" xfId="284"/>
    <cellStyle name="Normal 230" xfId="285"/>
    <cellStyle name="Normal 231" xfId="286"/>
    <cellStyle name="Normal 232" xfId="287"/>
    <cellStyle name="Normal 233" xfId="288"/>
    <cellStyle name="Normal 234" xfId="289"/>
    <cellStyle name="Normal 235" xfId="290"/>
    <cellStyle name="Normal 236" xfId="291"/>
    <cellStyle name="Normal 237" xfId="292"/>
    <cellStyle name="Normal 238" xfId="293"/>
    <cellStyle name="Normal 239" xfId="294"/>
    <cellStyle name="Normal 24" xfId="295"/>
    <cellStyle name="Normal 24 2" xfId="296"/>
    <cellStyle name="Normal 24 2 2" xfId="297"/>
    <cellStyle name="Normal 24 2 2 2" xfId="298"/>
    <cellStyle name="Normal 24 2 2 3" xfId="299"/>
    <cellStyle name="Normal 24 3" xfId="300"/>
    <cellStyle name="Normal 24 4" xfId="301"/>
    <cellStyle name="Normal 24 5" xfId="302"/>
    <cellStyle name="Normal 240" xfId="303"/>
    <cellStyle name="Normal 241" xfId="304"/>
    <cellStyle name="Normal 242" xfId="305"/>
    <cellStyle name="Normal 243" xfId="306"/>
    <cellStyle name="Normal 244" xfId="307"/>
    <cellStyle name="Normal 245" xfId="308"/>
    <cellStyle name="Normal 246" xfId="309"/>
    <cellStyle name="Normal 247" xfId="310"/>
    <cellStyle name="Normal 248" xfId="311"/>
    <cellStyle name="Normal 249" xfId="312"/>
    <cellStyle name="Normal 25" xfId="313"/>
    <cellStyle name="Normal 25 2" xfId="314"/>
    <cellStyle name="Normal 25 2 2" xfId="315"/>
    <cellStyle name="Normal 25 2 2 2" xfId="316"/>
    <cellStyle name="Normal 25 2 2 3" xfId="317"/>
    <cellStyle name="Normal 25 3" xfId="318"/>
    <cellStyle name="Normal 25 4" xfId="319"/>
    <cellStyle name="Normal 25 5" xfId="320"/>
    <cellStyle name="Normal 250" xfId="321"/>
    <cellStyle name="Normal 251" xfId="322"/>
    <cellStyle name="Normal 252" xfId="323"/>
    <cellStyle name="Normal 253" xfId="324"/>
    <cellStyle name="Normal 254" xfId="325"/>
    <cellStyle name="Normal 255" xfId="326"/>
    <cellStyle name="Normal 256" xfId="327"/>
    <cellStyle name="Normal 257" xfId="328"/>
    <cellStyle name="Normal 258" xfId="329"/>
    <cellStyle name="Normal 259" xfId="330"/>
    <cellStyle name="Normal 26" xfId="331"/>
    <cellStyle name="Normal 26 2" xfId="332"/>
    <cellStyle name="Normal 26 2 2" xfId="333"/>
    <cellStyle name="Normal 26 2 2 2" xfId="334"/>
    <cellStyle name="Normal 26 2 2 3" xfId="335"/>
    <cellStyle name="Normal 26 3" xfId="336"/>
    <cellStyle name="Normal 26 4" xfId="337"/>
    <cellStyle name="Normal 26 5" xfId="338"/>
    <cellStyle name="Normal 260" xfId="339"/>
    <cellStyle name="Normal 261" xfId="340"/>
    <cellStyle name="Normal 262" xfId="341"/>
    <cellStyle name="Normal 263" xfId="342"/>
    <cellStyle name="Normal 264" xfId="343"/>
    <cellStyle name="Normal 265" xfId="344"/>
    <cellStyle name="Normal 266" xfId="345"/>
    <cellStyle name="Normal 267" xfId="346"/>
    <cellStyle name="Normal 268" xfId="347"/>
    <cellStyle name="Normal 269" xfId="348"/>
    <cellStyle name="Normal 27" xfId="349"/>
    <cellStyle name="Normal 27 2" xfId="350"/>
    <cellStyle name="Normal 27 3" xfId="351"/>
    <cellStyle name="Normal 270" xfId="352"/>
    <cellStyle name="Normal 271" xfId="353"/>
    <cellStyle name="Normal 272" xfId="354"/>
    <cellStyle name="Normal 273" xfId="355"/>
    <cellStyle name="Normal 274" xfId="356"/>
    <cellStyle name="Normal 275" xfId="357"/>
    <cellStyle name="Normal 276" xfId="358"/>
    <cellStyle name="Normal 277" xfId="359"/>
    <cellStyle name="Normal 278" xfId="360"/>
    <cellStyle name="Normal 279" xfId="361"/>
    <cellStyle name="Normal 28" xfId="362"/>
    <cellStyle name="Normal 28 2" xfId="363"/>
    <cellStyle name="Normal 28 2 2" xfId="364"/>
    <cellStyle name="Normal 28 2 2 2" xfId="365"/>
    <cellStyle name="Normal 28 2 2 3" xfId="366"/>
    <cellStyle name="Normal 28 3" xfId="367"/>
    <cellStyle name="Normal 28 4" xfId="368"/>
    <cellStyle name="Normal 28 5" xfId="369"/>
    <cellStyle name="Normal 280" xfId="370"/>
    <cellStyle name="Normal 281" xfId="371"/>
    <cellStyle name="Normal 282" xfId="372"/>
    <cellStyle name="Normal 283" xfId="373"/>
    <cellStyle name="Normal 284" xfId="374"/>
    <cellStyle name="Normal 285" xfId="375"/>
    <cellStyle name="Normal 286" xfId="376"/>
    <cellStyle name="Normal 287" xfId="377"/>
    <cellStyle name="Normal 288" xfId="378"/>
    <cellStyle name="Normal 289" xfId="379"/>
    <cellStyle name="Normal 29" xfId="380"/>
    <cellStyle name="Normal 29 2" xfId="381"/>
    <cellStyle name="Normal 29 2 2" xfId="382"/>
    <cellStyle name="Normal 29 2 2 2" xfId="383"/>
    <cellStyle name="Normal 29 2 2 3" xfId="384"/>
    <cellStyle name="Normal 29 3" xfId="385"/>
    <cellStyle name="Normal 29 4" xfId="386"/>
    <cellStyle name="Normal 29 5" xfId="387"/>
    <cellStyle name="Normal 290" xfId="388"/>
    <cellStyle name="Normal 291" xfId="389"/>
    <cellStyle name="Normal 292" xfId="390"/>
    <cellStyle name="Normal 293" xfId="391"/>
    <cellStyle name="Normal 294" xfId="392"/>
    <cellStyle name="Normal 295" xfId="393"/>
    <cellStyle name="Normal 296" xfId="394"/>
    <cellStyle name="Normal 297" xfId="395"/>
    <cellStyle name="Normal 298" xfId="396"/>
    <cellStyle name="Normal 299" xfId="397"/>
    <cellStyle name="Normal 3" xfId="398"/>
    <cellStyle name="Normal 3 2" xfId="399"/>
    <cellStyle name="Normal 3 2 2" xfId="400"/>
    <cellStyle name="Normal 3 2 2 2" xfId="401"/>
    <cellStyle name="Normal 3 2 2 3" xfId="402"/>
    <cellStyle name="Normal 3 3" xfId="403"/>
    <cellStyle name="Normal 3 4" xfId="404"/>
    <cellStyle name="Normal 3 5" xfId="405"/>
    <cellStyle name="Normal 3 6" xfId="406"/>
    <cellStyle name="Normal 3 7" xfId="407"/>
    <cellStyle name="Normal 30" xfId="408"/>
    <cellStyle name="Normal 30 2" xfId="409"/>
    <cellStyle name="Normal 30 2 2" xfId="410"/>
    <cellStyle name="Normal 30 2 2 2" xfId="411"/>
    <cellStyle name="Normal 30 2 2 3" xfId="412"/>
    <cellStyle name="Normal 30 3" xfId="413"/>
    <cellStyle name="Normal 30 4" xfId="414"/>
    <cellStyle name="Normal 30 5" xfId="415"/>
    <cellStyle name="Normal 300" xfId="416"/>
    <cellStyle name="Normal 301" xfId="417"/>
    <cellStyle name="Normal 302" xfId="418"/>
    <cellStyle name="Normal 303" xfId="419"/>
    <cellStyle name="Normal 304" xfId="420"/>
    <cellStyle name="Normal 305" xfId="421"/>
    <cellStyle name="Normal 306" xfId="422"/>
    <cellStyle name="Normal 307" xfId="423"/>
    <cellStyle name="Normal 308" xfId="424"/>
    <cellStyle name="Normal 309" xfId="425"/>
    <cellStyle name="Normal 31" xfId="426"/>
    <cellStyle name="Normal 31 2" xfId="427"/>
    <cellStyle name="Normal 31 2 2" xfId="428"/>
    <cellStyle name="Normal 31 2 2 2" xfId="429"/>
    <cellStyle name="Normal 31 2 2 3" xfId="430"/>
    <cellStyle name="Normal 31 3" xfId="431"/>
    <cellStyle name="Normal 31 4" xfId="432"/>
    <cellStyle name="Normal 31 5" xfId="433"/>
    <cellStyle name="Normal 310" xfId="434"/>
    <cellStyle name="Normal 311" xfId="435"/>
    <cellStyle name="Normal 312" xfId="436"/>
    <cellStyle name="Normal 313" xfId="437"/>
    <cellStyle name="Normal 314" xfId="438"/>
    <cellStyle name="Normal 315" xfId="439"/>
    <cellStyle name="Normal 316" xfId="440"/>
    <cellStyle name="Normal 317" xfId="441"/>
    <cellStyle name="Normal 318" xfId="442"/>
    <cellStyle name="Normal 319" xfId="443"/>
    <cellStyle name="Normal 32" xfId="444"/>
    <cellStyle name="Normal 32 2" xfId="445"/>
    <cellStyle name="Normal 32 3" xfId="446"/>
    <cellStyle name="Normal 320" xfId="447"/>
    <cellStyle name="Normal 321" xfId="448"/>
    <cellStyle name="Normal 322" xfId="449"/>
    <cellStyle name="Normal 323" xfId="450"/>
    <cellStyle name="Normal 324" xfId="451"/>
    <cellStyle name="Normal 325" xfId="452"/>
    <cellStyle name="Normal 326" xfId="453"/>
    <cellStyle name="Normal 327" xfId="454"/>
    <cellStyle name="Normal 328" xfId="455"/>
    <cellStyle name="Normal 329" xfId="456"/>
    <cellStyle name="Normal 33" xfId="457"/>
    <cellStyle name="Normal 33 2" xfId="458"/>
    <cellStyle name="Normal 33 3" xfId="459"/>
    <cellStyle name="Normal 330" xfId="460"/>
    <cellStyle name="Normal 331" xfId="461"/>
    <cellStyle name="Normal 332" xfId="462"/>
    <cellStyle name="Normal 333" xfId="463"/>
    <cellStyle name="Normal 334" xfId="464"/>
    <cellStyle name="Normal 335" xfId="465"/>
    <cellStyle name="Normal 336" xfId="466"/>
    <cellStyle name="Normal 337" xfId="467"/>
    <cellStyle name="Normal 338" xfId="468"/>
    <cellStyle name="Normal 339" xfId="469"/>
    <cellStyle name="Normal 34" xfId="470"/>
    <cellStyle name="Normal 34 2" xfId="471"/>
    <cellStyle name="Normal 34 2 2" xfId="472"/>
    <cellStyle name="Normal 34 2 2 2" xfId="473"/>
    <cellStyle name="Normal 34 2 2 3" xfId="474"/>
    <cellStyle name="Normal 34 3" xfId="475"/>
    <cellStyle name="Normal 34 4" xfId="476"/>
    <cellStyle name="Normal 34 5" xfId="477"/>
    <cellStyle name="Normal 340" xfId="478"/>
    <cellStyle name="Normal 341" xfId="479"/>
    <cellStyle name="Normal 342" xfId="480"/>
    <cellStyle name="Normal 343" xfId="481"/>
    <cellStyle name="Normal 344" xfId="482"/>
    <cellStyle name="Normal 345" xfId="483"/>
    <cellStyle name="Normal 346" xfId="484"/>
    <cellStyle name="Normal 347" xfId="485"/>
    <cellStyle name="Normal 348" xfId="486"/>
    <cellStyle name="Normal 349" xfId="487"/>
    <cellStyle name="Normal 35" xfId="488"/>
    <cellStyle name="Normal 35 2" xfId="489"/>
    <cellStyle name="Normal 35 2 2" xfId="490"/>
    <cellStyle name="Normal 35 2 2 2" xfId="491"/>
    <cellStyle name="Normal 35 2 2 3" xfId="492"/>
    <cellStyle name="Normal 35 3" xfId="493"/>
    <cellStyle name="Normal 35 4" xfId="494"/>
    <cellStyle name="Normal 35 5" xfId="495"/>
    <cellStyle name="Normal 350" xfId="496"/>
    <cellStyle name="Normal 351" xfId="497"/>
    <cellStyle name="Normal 352" xfId="498"/>
    <cellStyle name="Normal 353" xfId="499"/>
    <cellStyle name="Normal 354" xfId="500"/>
    <cellStyle name="Normal 355" xfId="501"/>
    <cellStyle name="Normal 356" xfId="502"/>
    <cellStyle name="Normal 357" xfId="503"/>
    <cellStyle name="Normal 358" xfId="504"/>
    <cellStyle name="Normal 359" xfId="505"/>
    <cellStyle name="Normal 36" xfId="506"/>
    <cellStyle name="Normal 36 2" xfId="507"/>
    <cellStyle name="Normal 36 2 2" xfId="508"/>
    <cellStyle name="Normal 36 2 2 2" xfId="509"/>
    <cellStyle name="Normal 36 2 2 3" xfId="510"/>
    <cellStyle name="Normal 36 3" xfId="511"/>
    <cellStyle name="Normal 36 4" xfId="512"/>
    <cellStyle name="Normal 36 5" xfId="513"/>
    <cellStyle name="Normal 360" xfId="514"/>
    <cellStyle name="Normal 361" xfId="515"/>
    <cellStyle name="Normal 362" xfId="516"/>
    <cellStyle name="Normal 363" xfId="517"/>
    <cellStyle name="Normal 364" xfId="518"/>
    <cellStyle name="Normal 365" xfId="519"/>
    <cellStyle name="Normal 366" xfId="520"/>
    <cellStyle name="Normal 367" xfId="521"/>
    <cellStyle name="Normal 368" xfId="522"/>
    <cellStyle name="Normal 369" xfId="523"/>
    <cellStyle name="Normal 37" xfId="524"/>
    <cellStyle name="Normal 37 2" xfId="525"/>
    <cellStyle name="Normal 37 2 2" xfId="526"/>
    <cellStyle name="Normal 37 2 2 2" xfId="527"/>
    <cellStyle name="Normal 37 2 2 3" xfId="528"/>
    <cellStyle name="Normal 370" xfId="529"/>
    <cellStyle name="Normal 371" xfId="530"/>
    <cellStyle name="Normal 372" xfId="531"/>
    <cellStyle name="Normal 373" xfId="532"/>
    <cellStyle name="Normal 374" xfId="533"/>
    <cellStyle name="Normal 375" xfId="534"/>
    <cellStyle name="Normal 376" xfId="535"/>
    <cellStyle name="Normal 377" xfId="536"/>
    <cellStyle name="Normal 378" xfId="537"/>
    <cellStyle name="Normal 379" xfId="538"/>
    <cellStyle name="Normal 38" xfId="539"/>
    <cellStyle name="Normal 38 2" xfId="540"/>
    <cellStyle name="Normal 38 2 2" xfId="541"/>
    <cellStyle name="Normal 38 2 2 2" xfId="542"/>
    <cellStyle name="Normal 38 2 2 3" xfId="543"/>
    <cellStyle name="Normal 380" xfId="544"/>
    <cellStyle name="Normal 381" xfId="545"/>
    <cellStyle name="Normal 382" xfId="546"/>
    <cellStyle name="Normal 383" xfId="547"/>
    <cellStyle name="Normal 384" xfId="548"/>
    <cellStyle name="Normal 385" xfId="549"/>
    <cellStyle name="Normal 386" xfId="550"/>
    <cellStyle name="Normal 387" xfId="551"/>
    <cellStyle name="Normal 388" xfId="552"/>
    <cellStyle name="Normal 389" xfId="553"/>
    <cellStyle name="Normal 39" xfId="554"/>
    <cellStyle name="Normal 390" xfId="555"/>
    <cellStyle name="Normal 391" xfId="556"/>
    <cellStyle name="Normal 392" xfId="557"/>
    <cellStyle name="Normal 393" xfId="558"/>
    <cellStyle name="Normal 394" xfId="559"/>
    <cellStyle name="Normal 395" xfId="560"/>
    <cellStyle name="Normal 396" xfId="561"/>
    <cellStyle name="Normal 397" xfId="562"/>
    <cellStyle name="Normal 398" xfId="563"/>
    <cellStyle name="Normal 399" xfId="564"/>
    <cellStyle name="Normal 4" xfId="565"/>
    <cellStyle name="Normal 4 10" xfId="566"/>
    <cellStyle name="Normal 4 10 2" xfId="567"/>
    <cellStyle name="Normal 4 10 3" xfId="568"/>
    <cellStyle name="Normal 4 11" xfId="569"/>
    <cellStyle name="Normal 4 11 2" xfId="570"/>
    <cellStyle name="Normal 4 11 3" xfId="571"/>
    <cellStyle name="Normal 4 12" xfId="572"/>
    <cellStyle name="Normal 4 12 2" xfId="573"/>
    <cellStyle name="Normal 4 12 3" xfId="574"/>
    <cellStyle name="Normal 4 13" xfId="575"/>
    <cellStyle name="Normal 4 13 2" xfId="576"/>
    <cellStyle name="Normal 4 13 3" xfId="577"/>
    <cellStyle name="Normal 4 14" xfId="578"/>
    <cellStyle name="Normal 4 14 2" xfId="579"/>
    <cellStyle name="Normal 4 14 3" xfId="580"/>
    <cellStyle name="Normal 4 15" xfId="581"/>
    <cellStyle name="Normal 4 15 2" xfId="582"/>
    <cellStyle name="Normal 4 15 3" xfId="583"/>
    <cellStyle name="Normal 4 16" xfId="584"/>
    <cellStyle name="Normal 4 16 2" xfId="585"/>
    <cellStyle name="Normal 4 16 3" xfId="586"/>
    <cellStyle name="Normal 4 17" xfId="587"/>
    <cellStyle name="Normal 4 17 2" xfId="588"/>
    <cellStyle name="Normal 4 17 3" xfId="589"/>
    <cellStyle name="Normal 4 18" xfId="590"/>
    <cellStyle name="Normal 4 2" xfId="591"/>
    <cellStyle name="Normal 4 2 10" xfId="592"/>
    <cellStyle name="Normal 4 2 10 2" xfId="593"/>
    <cellStyle name="Normal 4 2 10 3" xfId="594"/>
    <cellStyle name="Normal 4 2 11" xfId="595"/>
    <cellStyle name="Normal 4 2 12" xfId="596"/>
    <cellStyle name="Normal 4 2 2" xfId="597"/>
    <cellStyle name="Normal 4 2 2 2" xfId="598"/>
    <cellStyle name="Normal 4 2 2 2 2" xfId="599"/>
    <cellStyle name="Normal 4 2 2 2 3" xfId="600"/>
    <cellStyle name="Normal 4 2 2 3" xfId="601"/>
    <cellStyle name="Normal 4 2 2 3 2" xfId="602"/>
    <cellStyle name="Normal 4 2 2 3 3" xfId="603"/>
    <cellStyle name="Normal 4 2 2 4" xfId="604"/>
    <cellStyle name="Normal 4 2 2 4 2" xfId="605"/>
    <cellStyle name="Normal 4 2 2 4 3" xfId="606"/>
    <cellStyle name="Normal 4 2 2 5" xfId="607"/>
    <cellStyle name="Normal 4 2 2 5 2" xfId="608"/>
    <cellStyle name="Normal 4 2 2 5 3" xfId="609"/>
    <cellStyle name="Normal 4 2 2 6" xfId="610"/>
    <cellStyle name="Normal 4 2 2 6 2" xfId="611"/>
    <cellStyle name="Normal 4 2 2 6 3" xfId="612"/>
    <cellStyle name="Normal 4 2 2 7" xfId="613"/>
    <cellStyle name="Normal 4 2 2 8" xfId="614"/>
    <cellStyle name="Normal 4 2 3" xfId="615"/>
    <cellStyle name="Normal 4 2 3 2" xfId="616"/>
    <cellStyle name="Normal 4 2 3 3" xfId="617"/>
    <cellStyle name="Normal 4 2 4" xfId="618"/>
    <cellStyle name="Normal 4 2 4 2" xfId="619"/>
    <cellStyle name="Normal 4 2 4 3" xfId="620"/>
    <cellStyle name="Normal 4 2 5" xfId="621"/>
    <cellStyle name="Normal 4 2 5 2" xfId="622"/>
    <cellStyle name="Normal 4 2 5 3" xfId="623"/>
    <cellStyle name="Normal 4 2 6" xfId="624"/>
    <cellStyle name="Normal 4 2 6 2" xfId="625"/>
    <cellStyle name="Normal 4 2 6 3" xfId="626"/>
    <cellStyle name="Normal 4 2 7" xfId="627"/>
    <cellStyle name="Normal 4 2 7 2" xfId="628"/>
    <cellStyle name="Normal 4 2 7 3" xfId="629"/>
    <cellStyle name="Normal 4 2 8" xfId="630"/>
    <cellStyle name="Normal 4 2 8 2" xfId="631"/>
    <cellStyle name="Normal 4 2 8 3" xfId="632"/>
    <cellStyle name="Normal 4 2 9" xfId="633"/>
    <cellStyle name="Normal 4 2 9 2" xfId="634"/>
    <cellStyle name="Normal 4 2 9 3" xfId="635"/>
    <cellStyle name="Normal 4 3" xfId="636"/>
    <cellStyle name="Normal 4 3 2" xfId="637"/>
    <cellStyle name="Normal 4 3 3" xfId="638"/>
    <cellStyle name="Normal 4 3 3 2" xfId="639"/>
    <cellStyle name="Normal 4 4" xfId="640"/>
    <cellStyle name="Normal 4 4 2" xfId="641"/>
    <cellStyle name="Normal 4 4 3" xfId="642"/>
    <cellStyle name="Normal 4 5" xfId="643"/>
    <cellStyle name="Normal 4 5 2" xfId="644"/>
    <cellStyle name="Normal 4 5 3" xfId="645"/>
    <cellStyle name="Normal 4 6" xfId="646"/>
    <cellStyle name="Normal 4 6 2" xfId="647"/>
    <cellStyle name="Normal 4 6 3" xfId="648"/>
    <cellStyle name="Normal 4 7" xfId="649"/>
    <cellStyle name="Normal 4 7 2" xfId="650"/>
    <cellStyle name="Normal 4 7 3" xfId="651"/>
    <cellStyle name="Normal 4 8" xfId="652"/>
    <cellStyle name="Normal 4 8 2" xfId="653"/>
    <cellStyle name="Normal 4 8 3" xfId="654"/>
    <cellStyle name="Normal 4 9" xfId="655"/>
    <cellStyle name="Normal 4 9 2" xfId="656"/>
    <cellStyle name="Normal 4 9 2 2" xfId="657"/>
    <cellStyle name="Normal 4 9 2 3" xfId="658"/>
    <cellStyle name="Normal 4 9 3" xfId="659"/>
    <cellStyle name="Normal 4 9 3 2" xfId="660"/>
    <cellStyle name="Normal 4 9 3 3" xfId="661"/>
    <cellStyle name="Normal 4 9 4" xfId="662"/>
    <cellStyle name="Normal 4 9 4 2" xfId="663"/>
    <cellStyle name="Normal 4 9 4 3" xfId="664"/>
    <cellStyle name="Normal 4 9 5" xfId="665"/>
    <cellStyle name="Normal 4 9 5 2" xfId="666"/>
    <cellStyle name="Normal 4 9 5 3" xfId="667"/>
    <cellStyle name="Normal 4 9 6" xfId="668"/>
    <cellStyle name="Normal 4 9 6 2" xfId="669"/>
    <cellStyle name="Normal 4 9 6 3" xfId="670"/>
    <cellStyle name="Normal 4 9 7" xfId="671"/>
    <cellStyle name="Normal 4 9 8" xfId="672"/>
    <cellStyle name="Normal 40" xfId="673"/>
    <cellStyle name="Normal 40 2" xfId="674"/>
    <cellStyle name="Normal 40 2 2" xfId="675"/>
    <cellStyle name="Normal 40 2 2 2" xfId="676"/>
    <cellStyle name="Normal 40 2 2 3" xfId="677"/>
    <cellStyle name="Normal 400" xfId="678"/>
    <cellStyle name="Normal 401" xfId="679"/>
    <cellStyle name="Normal 402" xfId="680"/>
    <cellStyle name="Normal 403" xfId="681"/>
    <cellStyle name="Normal 404" xfId="682"/>
    <cellStyle name="Normal 405" xfId="683"/>
    <cellStyle name="Normal 406" xfId="684"/>
    <cellStyle name="Normal 407" xfId="685"/>
    <cellStyle name="Normal 408" xfId="686"/>
    <cellStyle name="Normal 409" xfId="687"/>
    <cellStyle name="Normal 41" xfId="688"/>
    <cellStyle name="Normal 41 2" xfId="689"/>
    <cellStyle name="Normal 41 2 2" xfId="690"/>
    <cellStyle name="Normal 41 2 2 2" xfId="691"/>
    <cellStyle name="Normal 41 2 2 3" xfId="692"/>
    <cellStyle name="Normal 41 3" xfId="693"/>
    <cellStyle name="Normal 41 4" xfId="694"/>
    <cellStyle name="Normal 41 5" xfId="695"/>
    <cellStyle name="Normal 410" xfId="696"/>
    <cellStyle name="Normal 411" xfId="697"/>
    <cellStyle name="Normal 412" xfId="698"/>
    <cellStyle name="Normal 413" xfId="699"/>
    <cellStyle name="Normal 414" xfId="700"/>
    <cellStyle name="Normal 415" xfId="701"/>
    <cellStyle name="Normal 416" xfId="702"/>
    <cellStyle name="Normal 417" xfId="703"/>
    <cellStyle name="Normal 42" xfId="704"/>
    <cellStyle name="Normal 42 2" xfId="705"/>
    <cellStyle name="Normal 42 2 2" xfId="706"/>
    <cellStyle name="Normal 42 2 2 2" xfId="707"/>
    <cellStyle name="Normal 42 2 2 3" xfId="708"/>
    <cellStyle name="Normal 42 3" xfId="709"/>
    <cellStyle name="Normal 42 4" xfId="710"/>
    <cellStyle name="Normal 42 5" xfId="711"/>
    <cellStyle name="Normal 43" xfId="712"/>
    <cellStyle name="Normal 43 2" xfId="713"/>
    <cellStyle name="Normal 43 3" xfId="714"/>
    <cellStyle name="Normal 43 4" xfId="715"/>
    <cellStyle name="Normal 44" xfId="716"/>
    <cellStyle name="Normal 44 2" xfId="717"/>
    <cellStyle name="Normal 44 2 2" xfId="718"/>
    <cellStyle name="Normal 44 2 2 2" xfId="719"/>
    <cellStyle name="Normal 44 2 2 3" xfId="720"/>
    <cellStyle name="Normal 44 3" xfId="721"/>
    <cellStyle name="Normal 44 4" xfId="722"/>
    <cellStyle name="Normal 44 5" xfId="723"/>
    <cellStyle name="Normal 45" xfId="724"/>
    <cellStyle name="Normal 45 2" xfId="725"/>
    <cellStyle name="Normal 45 3" xfId="726"/>
    <cellStyle name="Normal 45 4" xfId="727"/>
    <cellStyle name="Normal 46" xfId="728"/>
    <cellStyle name="Normal 46 2" xfId="729"/>
    <cellStyle name="Normal 47" xfId="730"/>
    <cellStyle name="Normal 47 2" xfId="731"/>
    <cellStyle name="Normal 48" xfId="732"/>
    <cellStyle name="Normal 49" xfId="733"/>
    <cellStyle name="Normal 49 2" xfId="734"/>
    <cellStyle name="Normal 5" xfId="735"/>
    <cellStyle name="Normal 5 2" xfId="736"/>
    <cellStyle name="Normal 5 2 2" xfId="737"/>
    <cellStyle name="Normal 5 2 2 2" xfId="738"/>
    <cellStyle name="Normal 5 2 2 3" xfId="739"/>
    <cellStyle name="Normal 5 3" xfId="740"/>
    <cellStyle name="Normal 5 4" xfId="741"/>
    <cellStyle name="Normal 5 5" xfId="742"/>
    <cellStyle name="Normal 5 6" xfId="743"/>
    <cellStyle name="Normal 5 6 2" xfId="744"/>
    <cellStyle name="Normal 5 6 3" xfId="745"/>
    <cellStyle name="Normal 50" xfId="746"/>
    <cellStyle name="Normal 50 2" xfId="747"/>
    <cellStyle name="Normal 51" xfId="748"/>
    <cellStyle name="Normal 51 2" xfId="749"/>
    <cellStyle name="Normal 52" xfId="750"/>
    <cellStyle name="Normal 52 2" xfId="751"/>
    <cellStyle name="Normal 53" xfId="752"/>
    <cellStyle name="Normal 53 2" xfId="753"/>
    <cellStyle name="Normal 54" xfId="754"/>
    <cellStyle name="Normal 54 2" xfId="755"/>
    <cellStyle name="Normal 55" xfId="756"/>
    <cellStyle name="Normal 55 2" xfId="757"/>
    <cellStyle name="Normal 56" xfId="758"/>
    <cellStyle name="Normal 56 2" xfId="759"/>
    <cellStyle name="Normal 57" xfId="760"/>
    <cellStyle name="Normal 57 2" xfId="761"/>
    <cellStyle name="Normal 58" xfId="762"/>
    <cellStyle name="Normal 58 2" xfId="763"/>
    <cellStyle name="Normal 59" xfId="764"/>
    <cellStyle name="Normal 59 2" xfId="765"/>
    <cellStyle name="Normal 6" xfId="766"/>
    <cellStyle name="Normal 6 2" xfId="767"/>
    <cellStyle name="Normal 6 2 2" xfId="768"/>
    <cellStyle name="Normal 6 2 2 2" xfId="769"/>
    <cellStyle name="Normal 6 2 2 3" xfId="770"/>
    <cellStyle name="Normal 6 3" xfId="771"/>
    <cellStyle name="Normal 6 4" xfId="772"/>
    <cellStyle name="Normal 6 5" xfId="773"/>
    <cellStyle name="Normal 6 6" xfId="774"/>
    <cellStyle name="Normal 6 6 2" xfId="775"/>
    <cellStyle name="Normal 6 6 3" xfId="776"/>
    <cellStyle name="Normal 60" xfId="777"/>
    <cellStyle name="Normal 60 2" xfId="778"/>
    <cellStyle name="Normal 60 2 2" xfId="779"/>
    <cellStyle name="Normal 61" xfId="780"/>
    <cellStyle name="Normal 61 2" xfId="781"/>
    <cellStyle name="Normal 61 2 2" xfId="782"/>
    <cellStyle name="Normal 62" xfId="783"/>
    <cellStyle name="Normal 62 2" xfId="784"/>
    <cellStyle name="Normal 62 2 2" xfId="785"/>
    <cellStyle name="Normal 63" xfId="786"/>
    <cellStyle name="Normal 63 2" xfId="787"/>
    <cellStyle name="Normal 63 2 2" xfId="788"/>
    <cellStyle name="Normal 64" xfId="789"/>
    <cellStyle name="Normal 64 2" xfId="790"/>
    <cellStyle name="Normal 65" xfId="791"/>
    <cellStyle name="Normal 65 2" xfId="792"/>
    <cellStyle name="Normal 65 3" xfId="793"/>
    <cellStyle name="Normal 66" xfId="794"/>
    <cellStyle name="Normal 66 2" xfId="795"/>
    <cellStyle name="Normal 67" xfId="796"/>
    <cellStyle name="Normal 67 2" xfId="797"/>
    <cellStyle name="Normal 68" xfId="798"/>
    <cellStyle name="Normal 68 2" xfId="799"/>
    <cellStyle name="Normal 69" xfId="800"/>
    <cellStyle name="Normal 69 2" xfId="801"/>
    <cellStyle name="Normal 7" xfId="802"/>
    <cellStyle name="Normal 7 2" xfId="803"/>
    <cellStyle name="Normal 7 2 2" xfId="804"/>
    <cellStyle name="Normal 7 2 2 2" xfId="805"/>
    <cellStyle name="Normal 7 2 2 3" xfId="806"/>
    <cellStyle name="Normal 7 3" xfId="807"/>
    <cellStyle name="Normal 7 4" xfId="808"/>
    <cellStyle name="Normal 7 5" xfId="809"/>
    <cellStyle name="Normal 7 6" xfId="810"/>
    <cellStyle name="Normal 7 6 2" xfId="811"/>
    <cellStyle name="Normal 7 6 3" xfId="812"/>
    <cellStyle name="Normal 70" xfId="813"/>
    <cellStyle name="Normal 70 2" xfId="814"/>
    <cellStyle name="Normal 71" xfId="815"/>
    <cellStyle name="Normal 71 2" xfId="816"/>
    <cellStyle name="Normal 72" xfId="817"/>
    <cellStyle name="Normal 72 2" xfId="818"/>
    <cellStyle name="Normal 73" xfId="819"/>
    <cellStyle name="Normal 73 2" xfId="820"/>
    <cellStyle name="Normal 74" xfId="821"/>
    <cellStyle name="Normal 74 2" xfId="822"/>
    <cellStyle name="Normal 75" xfId="823"/>
    <cellStyle name="Normal 75 2" xfId="824"/>
    <cellStyle name="Normal 76" xfId="825"/>
    <cellStyle name="Normal 76 2" xfId="826"/>
    <cellStyle name="Normal 77" xfId="827"/>
    <cellStyle name="Normal 77 2" xfId="828"/>
    <cellStyle name="Normal 78" xfId="829"/>
    <cellStyle name="Normal 78 2" xfId="830"/>
    <cellStyle name="Normal 79" xfId="831"/>
    <cellStyle name="Normal 8" xfId="832"/>
    <cellStyle name="Normal 8 2" xfId="833"/>
    <cellStyle name="Normal 8 2 2" xfId="834"/>
    <cellStyle name="Normal 8 2 2 2" xfId="835"/>
    <cellStyle name="Normal 8 2 2 3" xfId="836"/>
    <cellStyle name="Normal 8 3" xfId="837"/>
    <cellStyle name="Normal 8 4" xfId="838"/>
    <cellStyle name="Normal 8 5" xfId="839"/>
    <cellStyle name="Normal 8 6" xfId="840"/>
    <cellStyle name="Normal 8 6 2" xfId="841"/>
    <cellStyle name="Normal 8 6 3" xfId="842"/>
    <cellStyle name="Normal 80" xfId="843"/>
    <cellStyle name="Normal 81" xfId="844"/>
    <cellStyle name="Normal 82" xfId="845"/>
    <cellStyle name="Normal 83" xfId="846"/>
    <cellStyle name="Normal 84" xfId="847"/>
    <cellStyle name="Normal 85" xfId="848"/>
    <cellStyle name="Normal 86" xfId="849"/>
    <cellStyle name="Normal 87" xfId="850"/>
    <cellStyle name="Normal 88" xfId="851"/>
    <cellStyle name="Normal 89" xfId="852"/>
    <cellStyle name="Normal 9" xfId="853"/>
    <cellStyle name="Normal 9 2" xfId="854"/>
    <cellStyle name="Normal 9 2 2" xfId="855"/>
    <cellStyle name="Normal 9 2 2 2" xfId="856"/>
    <cellStyle name="Normal 9 2 2 3" xfId="857"/>
    <cellStyle name="Normal 9 3" xfId="858"/>
    <cellStyle name="Normal 9 4" xfId="859"/>
    <cellStyle name="Normal 9 5" xfId="860"/>
    <cellStyle name="Normal 9 6" xfId="861"/>
    <cellStyle name="Normal 9 6 2" xfId="862"/>
    <cellStyle name="Normal 9 6 3" xfId="863"/>
    <cellStyle name="Normal 90" xfId="864"/>
    <cellStyle name="Normal 91" xfId="865"/>
    <cellStyle name="Normal 92" xfId="866"/>
    <cellStyle name="Normal 93" xfId="867"/>
    <cellStyle name="Normal 94" xfId="868"/>
    <cellStyle name="Normal 95" xfId="869"/>
    <cellStyle name="Normal 96" xfId="870"/>
    <cellStyle name="Normal 97" xfId="871"/>
    <cellStyle name="Normal 98" xfId="872"/>
    <cellStyle name="Normal 99" xfId="873"/>
    <cellStyle name="Note 2" xfId="874"/>
    <cellStyle name="Note 2 2" xfId="875"/>
    <cellStyle name="Note 2 2 2" xfId="876"/>
    <cellStyle name="Note 2 3" xfId="877"/>
    <cellStyle name="Note 2 3 2" xfId="878"/>
    <cellStyle name="Note 2 3 3" xfId="879"/>
    <cellStyle name="Note 2 3 3 10" xfId="880"/>
    <cellStyle name="Note 2 3 3 10 2" xfId="881"/>
    <cellStyle name="Note 2 3 3 11" xfId="882"/>
    <cellStyle name="Note 2 3 3 11 2" xfId="883"/>
    <cellStyle name="Note 2 3 3 2" xfId="884"/>
    <cellStyle name="Note 2 3 3 2 2" xfId="885"/>
    <cellStyle name="Note 2 3 3 2 2 2" xfId="886"/>
    <cellStyle name="Note 2 3 3 2 3" xfId="887"/>
    <cellStyle name="Note 2 3 3 2 3 2" xfId="888"/>
    <cellStyle name="Note 2 3 3 2 4" xfId="889"/>
    <cellStyle name="Note 2 3 3 2 5" xfId="890"/>
    <cellStyle name="Note 2 3 3 2 5 2" xfId="891"/>
    <cellStyle name="Note 2 3 3 2 5 2 2" xfId="892"/>
    <cellStyle name="Note 2 3 3 2 5 3" xfId="893"/>
    <cellStyle name="Note 2 3 3 2 5 3 2" xfId="894"/>
    <cellStyle name="Note 2 3 3 2 5 3 2 2" xfId="895"/>
    <cellStyle name="Note 2 3 3 2 5 3 3" xfId="896"/>
    <cellStyle name="Note 2 3 3 2 5 3 3 2" xfId="897"/>
    <cellStyle name="Note 2 3 3 2 5 3 4" xfId="898"/>
    <cellStyle name="Note 2 3 3 2 5 3 5" xfId="899"/>
    <cellStyle name="Note 2 3 3 2 5 3 5 2" xfId="900"/>
    <cellStyle name="Note 2 3 3 2 5 3 6" xfId="901"/>
    <cellStyle name="Note 2 3 3 2 5 3 6 2" xfId="902"/>
    <cellStyle name="Note 2 3 3 2 5 4" xfId="903"/>
    <cellStyle name="Note 2 3 3 3" xfId="904"/>
    <cellStyle name="Note 2 3 3 4" xfId="905"/>
    <cellStyle name="Note 2 3 3 5" xfId="906"/>
    <cellStyle name="Note 2 3 3 5 2" xfId="907"/>
    <cellStyle name="Note 2 3 3 6" xfId="908"/>
    <cellStyle name="Note 2 3 3 6 2" xfId="909"/>
    <cellStyle name="Note 2 3 3 7" xfId="910"/>
    <cellStyle name="Note 2 3 3 7 2" xfId="911"/>
    <cellStyle name="Note 2 3 3 8" xfId="912"/>
    <cellStyle name="Note 2 3 3 8 2" xfId="913"/>
    <cellStyle name="Note 2 3 3 9" xfId="914"/>
    <cellStyle name="Note 2 3 4" xfId="915"/>
    <cellStyle name="Note 2 3 4 2" xfId="916"/>
    <cellStyle name="Note 2 4" xfId="917"/>
    <cellStyle name="Note 2 4 2" xfId="918"/>
    <cellStyle name="Note 2 4 2 10" xfId="919"/>
    <cellStyle name="Note 2 4 2 10 2" xfId="920"/>
    <cellStyle name="Note 2 4 2 11" xfId="921"/>
    <cellStyle name="Note 2 4 2 11 2" xfId="922"/>
    <cellStyle name="Note 2 4 2 2" xfId="923"/>
    <cellStyle name="Note 2 4 2 2 2" xfId="924"/>
    <cellStyle name="Note 2 4 2 2 2 2" xfId="925"/>
    <cellStyle name="Note 2 4 2 2 3" xfId="926"/>
    <cellStyle name="Note 2 4 2 2 3 2" xfId="927"/>
    <cellStyle name="Note 2 4 2 2 4" xfId="928"/>
    <cellStyle name="Note 2 4 2 2 5" xfId="929"/>
    <cellStyle name="Note 2 4 2 2 5 2" xfId="930"/>
    <cellStyle name="Note 2 4 2 2 5 2 2" xfId="931"/>
    <cellStyle name="Note 2 4 2 2 5 3" xfId="932"/>
    <cellStyle name="Note 2 4 2 2 5 3 2" xfId="933"/>
    <cellStyle name="Note 2 4 2 2 5 3 2 2" xfId="934"/>
    <cellStyle name="Note 2 4 2 2 5 3 3" xfId="935"/>
    <cellStyle name="Note 2 4 2 2 5 3 3 2" xfId="936"/>
    <cellStyle name="Note 2 4 2 2 5 3 4" xfId="937"/>
    <cellStyle name="Note 2 4 2 2 5 3 5" xfId="938"/>
    <cellStyle name="Note 2 4 2 2 5 3 5 2" xfId="939"/>
    <cellStyle name="Note 2 4 2 2 5 3 6" xfId="940"/>
    <cellStyle name="Note 2 4 2 2 5 3 6 2" xfId="941"/>
    <cellStyle name="Note 2 4 2 2 5 4" xfId="942"/>
    <cellStyle name="Note 2 4 2 3" xfId="943"/>
    <cellStyle name="Note 2 4 2 4" xfId="944"/>
    <cellStyle name="Note 2 4 2 5" xfId="945"/>
    <cellStyle name="Note 2 4 2 5 2" xfId="946"/>
    <cellStyle name="Note 2 4 2 6" xfId="947"/>
    <cellStyle name="Note 2 4 2 6 2" xfId="948"/>
    <cellStyle name="Note 2 4 2 7" xfId="949"/>
    <cellStyle name="Note 2 4 2 7 2" xfId="950"/>
    <cellStyle name="Note 2 4 2 8" xfId="951"/>
    <cellStyle name="Note 2 4 2 8 2" xfId="952"/>
    <cellStyle name="Note 2 4 2 9" xfId="953"/>
    <cellStyle name="Note 2 4 3" xfId="954"/>
    <cellStyle name="Note 2 4 4" xfId="955"/>
    <cellStyle name="Note 2 4 4 2" xfId="956"/>
    <cellStyle name="Note 2 4 5" xfId="957"/>
    <cellStyle name="Note 2 4 5 2" xfId="958"/>
    <cellStyle name="Note 2 4 5 2 2" xfId="959"/>
    <cellStyle name="Note 2 4 5 3" xfId="960"/>
    <cellStyle name="Note 2 4 5 3 2" xfId="961"/>
    <cellStyle name="Note 2 4 5 3 2 2" xfId="962"/>
    <cellStyle name="Note 2 4 5 3 3" xfId="963"/>
    <cellStyle name="Note 2 4 5 3 3 2" xfId="964"/>
    <cellStyle name="Note 2 4 5 3 4" xfId="965"/>
    <cellStyle name="Note 2 4 5 3 5" xfId="966"/>
    <cellStyle name="Note 2 4 5 3 5 2" xfId="967"/>
    <cellStyle name="Note 2 4 5 3 6" xfId="968"/>
    <cellStyle name="Note 2 4 5 3 6 2" xfId="969"/>
    <cellStyle name="Note 2 4 5 4" xfId="970"/>
    <cellStyle name="Note 2 4 6" xfId="971"/>
    <cellStyle name="Note 2 4 6 2" xfId="972"/>
    <cellStyle name="Note 2 4 7" xfId="973"/>
    <cellStyle name="Note 2 4 7 2" xfId="974"/>
    <cellStyle name="Note 2 4 8" xfId="975"/>
    <cellStyle name="Note 2 5" xfId="976"/>
    <cellStyle name="Note 2 5 10" xfId="977"/>
    <cellStyle name="Note 2 5 10 2" xfId="978"/>
    <cellStyle name="Note 2 5 11" xfId="979"/>
    <cellStyle name="Note 2 5 11 2" xfId="980"/>
    <cellStyle name="Note 2 5 2" xfId="981"/>
    <cellStyle name="Note 2 5 2 2" xfId="982"/>
    <cellStyle name="Note 2 5 2 2 2" xfId="983"/>
    <cellStyle name="Note 2 5 2 3" xfId="984"/>
    <cellStyle name="Note 2 5 2 3 2" xfId="985"/>
    <cellStyle name="Note 2 5 2 4" xfId="986"/>
    <cellStyle name="Note 2 5 2 5" xfId="987"/>
    <cellStyle name="Note 2 5 2 5 2" xfId="988"/>
    <cellStyle name="Note 2 5 2 5 2 2" xfId="989"/>
    <cellStyle name="Note 2 5 2 5 3" xfId="990"/>
    <cellStyle name="Note 2 5 2 5 3 2" xfId="991"/>
    <cellStyle name="Note 2 5 2 5 3 2 2" xfId="992"/>
    <cellStyle name="Note 2 5 2 5 3 3" xfId="993"/>
    <cellStyle name="Note 2 5 2 5 3 3 2" xfId="994"/>
    <cellStyle name="Note 2 5 2 5 3 4" xfId="995"/>
    <cellStyle name="Note 2 5 2 5 3 5" xfId="996"/>
    <cellStyle name="Note 2 5 2 5 3 5 2" xfId="997"/>
    <cellStyle name="Note 2 5 2 5 3 6" xfId="998"/>
    <cellStyle name="Note 2 5 2 5 3 6 2" xfId="999"/>
    <cellStyle name="Note 2 5 2 5 4" xfId="1000"/>
    <cellStyle name="Note 2 5 3" xfId="1001"/>
    <cellStyle name="Note 2 5 4" xfId="1002"/>
    <cellStyle name="Note 2 5 5" xfId="1003"/>
    <cellStyle name="Note 2 5 5 2" xfId="1004"/>
    <cellStyle name="Note 2 5 6" xfId="1005"/>
    <cellStyle name="Note 2 5 6 2" xfId="1006"/>
    <cellStyle name="Note 2 5 7" xfId="1007"/>
    <cellStyle name="Note 2 5 7 2" xfId="1008"/>
    <cellStyle name="Note 2 5 8" xfId="1009"/>
    <cellStyle name="Note 2 5 8 2" xfId="1010"/>
    <cellStyle name="Note 2 5 9" xfId="1011"/>
    <cellStyle name="Note 2 6" xfId="1012"/>
    <cellStyle name="Note 2 6 2" xfId="1013"/>
    <cellStyle name="Note 2 7" xfId="1014"/>
    <cellStyle name="Note 2 7 2" xfId="1015"/>
    <cellStyle name="Note 2 7 2 2" xfId="1016"/>
    <cellStyle name="Note 2 7 3" xfId="1017"/>
    <cellStyle name="Note 2 7 3 2" xfId="1018"/>
    <cellStyle name="Note 2 7 3 2 2" xfId="1019"/>
    <cellStyle name="Note 2 7 3 3" xfId="1020"/>
    <cellStyle name="Note 2 7 3 3 2" xfId="1021"/>
    <cellStyle name="Note 2 7 3 4" xfId="1022"/>
    <cellStyle name="Note 2 7 3 5" xfId="1023"/>
    <cellStyle name="Note 2 7 3 5 2" xfId="1024"/>
    <cellStyle name="Note 2 7 3 6" xfId="1025"/>
    <cellStyle name="Note 2 7 3 6 2" xfId="1026"/>
    <cellStyle name="Note 2 7 4" xfId="1027"/>
    <cellStyle name="Note 2 8" xfId="1028"/>
    <cellStyle name="Note 2 8 2" xfId="1029"/>
    <cellStyle name="Note 3" xfId="1030"/>
    <cellStyle name="Note 3 2" xfId="1031"/>
    <cellStyle name="Note 4" xfId="1032"/>
    <cellStyle name="Note 4 2" xfId="1033"/>
    <cellStyle name="Note 4 2 2" xfId="1034"/>
    <cellStyle name="Note 4 2 2 10" xfId="1035"/>
    <cellStyle name="Note 4 2 2 10 2" xfId="1036"/>
    <cellStyle name="Note 4 2 2 11" xfId="1037"/>
    <cellStyle name="Note 4 2 2 11 2" xfId="1038"/>
    <cellStyle name="Note 4 2 2 2" xfId="1039"/>
    <cellStyle name="Note 4 2 2 2 2" xfId="1040"/>
    <cellStyle name="Note 4 2 2 2 2 2" xfId="1041"/>
    <cellStyle name="Note 4 2 2 2 3" xfId="1042"/>
    <cellStyle name="Note 4 2 2 2 3 2" xfId="1043"/>
    <cellStyle name="Note 4 2 2 2 4" xfId="1044"/>
    <cellStyle name="Note 4 2 2 2 5" xfId="1045"/>
    <cellStyle name="Note 4 2 2 2 5 2" xfId="1046"/>
    <cellStyle name="Note 4 2 2 2 5 2 2" xfId="1047"/>
    <cellStyle name="Note 4 2 2 2 5 3" xfId="1048"/>
    <cellStyle name="Note 4 2 2 2 5 3 2" xfId="1049"/>
    <cellStyle name="Note 4 2 2 2 5 3 2 2" xfId="1050"/>
    <cellStyle name="Note 4 2 2 2 5 3 3" xfId="1051"/>
    <cellStyle name="Note 4 2 2 2 5 3 3 2" xfId="1052"/>
    <cellStyle name="Note 4 2 2 2 5 3 4" xfId="1053"/>
    <cellStyle name="Note 4 2 2 2 5 3 5" xfId="1054"/>
    <cellStyle name="Note 4 2 2 2 5 3 5 2" xfId="1055"/>
    <cellStyle name="Note 4 2 2 2 5 3 6" xfId="1056"/>
    <cellStyle name="Note 4 2 2 2 5 3 6 2" xfId="1057"/>
    <cellStyle name="Note 4 2 2 2 5 4" xfId="1058"/>
    <cellStyle name="Note 4 2 2 3" xfId="1059"/>
    <cellStyle name="Note 4 2 2 4" xfId="1060"/>
    <cellStyle name="Note 4 2 2 5" xfId="1061"/>
    <cellStyle name="Note 4 2 2 5 2" xfId="1062"/>
    <cellStyle name="Note 4 2 2 6" xfId="1063"/>
    <cellStyle name="Note 4 2 2 6 2" xfId="1064"/>
    <cellStyle name="Note 4 2 2 7" xfId="1065"/>
    <cellStyle name="Note 4 2 2 7 2" xfId="1066"/>
    <cellStyle name="Note 4 2 2 8" xfId="1067"/>
    <cellStyle name="Note 4 2 2 8 2" xfId="1068"/>
    <cellStyle name="Note 4 2 2 9" xfId="1069"/>
    <cellStyle name="Note 4 2 3" xfId="1070"/>
    <cellStyle name="Note 4 2 4" xfId="1071"/>
    <cellStyle name="Note 4 2 4 2" xfId="1072"/>
    <cellStyle name="Note 4 2 5" xfId="1073"/>
    <cellStyle name="Note 4 2 5 2" xfId="1074"/>
    <cellStyle name="Note 4 2 5 2 2" xfId="1075"/>
    <cellStyle name="Note 4 2 5 3" xfId="1076"/>
    <cellStyle name="Note 4 2 5 3 2" xfId="1077"/>
    <cellStyle name="Note 4 2 5 3 2 2" xfId="1078"/>
    <cellStyle name="Note 4 2 5 3 3" xfId="1079"/>
    <cellStyle name="Note 4 2 5 3 3 2" xfId="1080"/>
    <cellStyle name="Note 4 2 5 3 4" xfId="1081"/>
    <cellStyle name="Note 4 2 5 3 5" xfId="1082"/>
    <cellStyle name="Note 4 2 5 3 5 2" xfId="1083"/>
    <cellStyle name="Note 4 2 5 3 6" xfId="1084"/>
    <cellStyle name="Note 4 2 5 3 6 2" xfId="1085"/>
    <cellStyle name="Note 4 2 5 4" xfId="1086"/>
    <cellStyle name="Note 4 2 6" xfId="1087"/>
    <cellStyle name="Note 4 2 6 2" xfId="1088"/>
    <cellStyle name="Note 4 2 7" xfId="1089"/>
    <cellStyle name="Note 4 2 7 2" xfId="1090"/>
    <cellStyle name="Note 4 2 8" xfId="1091"/>
    <cellStyle name="Note 4 3" xfId="1092"/>
    <cellStyle name="Note 5" xfId="1093"/>
    <cellStyle name="Note 5 10" xfId="1094"/>
    <cellStyle name="Note 5 10 2" xfId="1095"/>
    <cellStyle name="Note 5 11" xfId="1096"/>
    <cellStyle name="Note 5 11 2" xfId="1097"/>
    <cellStyle name="Note 5 2" xfId="1098"/>
    <cellStyle name="Note 5 2 2" xfId="1099"/>
    <cellStyle name="Note 5 2 2 2" xfId="1100"/>
    <cellStyle name="Note 5 2 3" xfId="1101"/>
    <cellStyle name="Note 5 2 3 2" xfId="1102"/>
    <cellStyle name="Note 5 2 4" xfId="1103"/>
    <cellStyle name="Note 5 2 5" xfId="1104"/>
    <cellStyle name="Note 5 2 5 2" xfId="1105"/>
    <cellStyle name="Note 5 2 5 2 2" xfId="1106"/>
    <cellStyle name="Note 5 2 5 3" xfId="1107"/>
    <cellStyle name="Note 5 2 5 3 2" xfId="1108"/>
    <cellStyle name="Note 5 2 5 3 2 2" xfId="1109"/>
    <cellStyle name="Note 5 2 5 3 3" xfId="1110"/>
    <cellStyle name="Note 5 2 5 3 3 2" xfId="1111"/>
    <cellStyle name="Note 5 2 5 3 4" xfId="1112"/>
    <cellStyle name="Note 5 2 5 3 5" xfId="1113"/>
    <cellStyle name="Note 5 2 5 3 5 2" xfId="1114"/>
    <cellStyle name="Note 5 2 5 3 6" xfId="1115"/>
    <cellStyle name="Note 5 2 5 3 6 2" xfId="1116"/>
    <cellStyle name="Note 5 2 5 4" xfId="1117"/>
    <cellStyle name="Note 5 3" xfId="1118"/>
    <cellStyle name="Note 5 4" xfId="1119"/>
    <cellStyle name="Note 5 5" xfId="1120"/>
    <cellStyle name="Note 5 5 2" xfId="1121"/>
    <cellStyle name="Note 5 6" xfId="1122"/>
    <cellStyle name="Note 5 6 2" xfId="1123"/>
    <cellStyle name="Note 5 7" xfId="1124"/>
    <cellStyle name="Note 5 7 2" xfId="1125"/>
    <cellStyle name="Note 5 8" xfId="1126"/>
    <cellStyle name="Note 5 8 2" xfId="1127"/>
    <cellStyle name="Note 5 9" xfId="1128"/>
    <cellStyle name="Note 6" xfId="1129"/>
    <cellStyle name="Note 6 2" xfId="1130"/>
    <cellStyle name="Note 7" xfId="1131"/>
    <cellStyle name="Note 7 2" xfId="1132"/>
    <cellStyle name="Note 7 2 2" xfId="1133"/>
    <cellStyle name="Note 7 3" xfId="1134"/>
    <cellStyle name="Note 7 3 2" xfId="1135"/>
    <cellStyle name="Note 7 3 2 2" xfId="1136"/>
    <cellStyle name="Note 7 3 3" xfId="1137"/>
    <cellStyle name="Note 7 3 3 2" xfId="1138"/>
    <cellStyle name="Note 7 3 4" xfId="1139"/>
    <cellStyle name="Note 7 3 5" xfId="1140"/>
    <cellStyle name="Note 7 3 5 2" xfId="1141"/>
    <cellStyle name="Note 7 3 6" xfId="1142"/>
    <cellStyle name="Note 7 3 6 2" xfId="1143"/>
    <cellStyle name="Note 7 4" xfId="1144"/>
    <cellStyle name="Note 8" xfId="1145"/>
    <cellStyle name="Note 8 2" xfId="1146"/>
    <cellStyle name="Output" xfId="1147" builtinId="21" customBuiltin="1"/>
    <cellStyle name="Percent 2" xfId="1148"/>
    <cellStyle name="Percent 2 2" xfId="1149"/>
    <cellStyle name="Percent 2 2 2" xfId="1150"/>
    <cellStyle name="Percent 2 3" xfId="1151"/>
    <cellStyle name="Percent 2 3 2" xfId="1152"/>
    <cellStyle name="Percent 2 3 3" xfId="1153"/>
    <cellStyle name="Percent 2 3 3 10" xfId="1154"/>
    <cellStyle name="Percent 2 3 3 10 2" xfId="1155"/>
    <cellStyle name="Percent 2 3 3 11" xfId="1156"/>
    <cellStyle name="Percent 2 3 3 11 2" xfId="1157"/>
    <cellStyle name="Percent 2 3 3 2" xfId="1158"/>
    <cellStyle name="Percent 2 3 3 2 2" xfId="1159"/>
    <cellStyle name="Percent 2 3 3 2 2 2" xfId="1160"/>
    <cellStyle name="Percent 2 3 3 2 3" xfId="1161"/>
    <cellStyle name="Percent 2 3 3 2 3 2" xfId="1162"/>
    <cellStyle name="Percent 2 3 3 2 4" xfId="1163"/>
    <cellStyle name="Percent 2 3 3 2 5" xfId="1164"/>
    <cellStyle name="Percent 2 3 3 2 5 2" xfId="1165"/>
    <cellStyle name="Percent 2 3 3 2 5 2 2" xfId="1166"/>
    <cellStyle name="Percent 2 3 3 2 5 3" xfId="1167"/>
    <cellStyle name="Percent 2 3 3 2 5 3 2" xfId="1168"/>
    <cellStyle name="Percent 2 3 3 2 5 3 2 2" xfId="1169"/>
    <cellStyle name="Percent 2 3 3 2 5 3 3" xfId="1170"/>
    <cellStyle name="Percent 2 3 3 2 5 3 3 2" xfId="1171"/>
    <cellStyle name="Percent 2 3 3 2 5 3 4" xfId="1172"/>
    <cellStyle name="Percent 2 3 3 2 5 3 5" xfId="1173"/>
    <cellStyle name="Percent 2 3 3 2 5 3 5 2" xfId="1174"/>
    <cellStyle name="Percent 2 3 3 2 5 3 6" xfId="1175"/>
    <cellStyle name="Percent 2 3 3 2 5 3 6 2" xfId="1176"/>
    <cellStyle name="Percent 2 3 3 2 5 4" xfId="1177"/>
    <cellStyle name="Percent 2 3 3 3" xfId="1178"/>
    <cellStyle name="Percent 2 3 3 4" xfId="1179"/>
    <cellStyle name="Percent 2 3 3 5" xfId="1180"/>
    <cellStyle name="Percent 2 3 3 5 2" xfId="1181"/>
    <cellStyle name="Percent 2 3 3 6" xfId="1182"/>
    <cellStyle name="Percent 2 3 3 6 2" xfId="1183"/>
    <cellStyle name="Percent 2 3 3 7" xfId="1184"/>
    <cellStyle name="Percent 2 3 3 7 2" xfId="1185"/>
    <cellStyle name="Percent 2 3 3 8" xfId="1186"/>
    <cellStyle name="Percent 2 3 3 8 2" xfId="1187"/>
    <cellStyle name="Percent 2 3 3 9" xfId="1188"/>
    <cellStyle name="Percent 2 3 4" xfId="1189"/>
    <cellStyle name="Percent 2 3 4 2" xfId="1190"/>
    <cellStyle name="Percent 2 4" xfId="1191"/>
    <cellStyle name="Percent 2 4 2" xfId="1192"/>
    <cellStyle name="Percent 2 4 2 10" xfId="1193"/>
    <cellStyle name="Percent 2 4 2 10 2" xfId="1194"/>
    <cellStyle name="Percent 2 4 2 11" xfId="1195"/>
    <cellStyle name="Percent 2 4 2 11 2" xfId="1196"/>
    <cellStyle name="Percent 2 4 2 2" xfId="1197"/>
    <cellStyle name="Percent 2 4 2 2 2" xfId="1198"/>
    <cellStyle name="Percent 2 4 2 2 2 2" xfId="1199"/>
    <cellStyle name="Percent 2 4 2 2 3" xfId="1200"/>
    <cellStyle name="Percent 2 4 2 2 3 2" xfId="1201"/>
    <cellStyle name="Percent 2 4 2 2 4" xfId="1202"/>
    <cellStyle name="Percent 2 4 2 2 5" xfId="1203"/>
    <cellStyle name="Percent 2 4 2 2 5 2" xfId="1204"/>
    <cellStyle name="Percent 2 4 2 2 5 2 2" xfId="1205"/>
    <cellStyle name="Percent 2 4 2 2 5 3" xfId="1206"/>
    <cellStyle name="Percent 2 4 2 2 5 3 2" xfId="1207"/>
    <cellStyle name="Percent 2 4 2 2 5 3 2 2" xfId="1208"/>
    <cellStyle name="Percent 2 4 2 2 5 3 3" xfId="1209"/>
    <cellStyle name="Percent 2 4 2 2 5 3 3 2" xfId="1210"/>
    <cellStyle name="Percent 2 4 2 2 5 3 4" xfId="1211"/>
    <cellStyle name="Percent 2 4 2 2 5 3 5" xfId="1212"/>
    <cellStyle name="Percent 2 4 2 2 5 3 5 2" xfId="1213"/>
    <cellStyle name="Percent 2 4 2 2 5 3 6" xfId="1214"/>
    <cellStyle name="Percent 2 4 2 2 5 3 6 2" xfId="1215"/>
    <cellStyle name="Percent 2 4 2 2 5 4" xfId="1216"/>
    <cellStyle name="Percent 2 4 2 3" xfId="1217"/>
    <cellStyle name="Percent 2 4 2 4" xfId="1218"/>
    <cellStyle name="Percent 2 4 2 5" xfId="1219"/>
    <cellStyle name="Percent 2 4 2 5 2" xfId="1220"/>
    <cellStyle name="Percent 2 4 2 6" xfId="1221"/>
    <cellStyle name="Percent 2 4 2 6 2" xfId="1222"/>
    <cellStyle name="Percent 2 4 2 7" xfId="1223"/>
    <cellStyle name="Percent 2 4 2 7 2" xfId="1224"/>
    <cellStyle name="Percent 2 4 2 8" xfId="1225"/>
    <cellStyle name="Percent 2 4 2 8 2" xfId="1226"/>
    <cellStyle name="Percent 2 4 2 9" xfId="1227"/>
    <cellStyle name="Percent 2 4 3" xfId="1228"/>
    <cellStyle name="Percent 2 4 4" xfId="1229"/>
    <cellStyle name="Percent 2 4 4 2" xfId="1230"/>
    <cellStyle name="Percent 2 4 5" xfId="1231"/>
    <cellStyle name="Percent 2 4 5 2" xfId="1232"/>
    <cellStyle name="Percent 2 4 5 2 2" xfId="1233"/>
    <cellStyle name="Percent 2 4 5 3" xfId="1234"/>
    <cellStyle name="Percent 2 4 5 3 2" xfId="1235"/>
    <cellStyle name="Percent 2 4 5 3 2 2" xfId="1236"/>
    <cellStyle name="Percent 2 4 5 3 3" xfId="1237"/>
    <cellStyle name="Percent 2 4 5 3 3 2" xfId="1238"/>
    <cellStyle name="Percent 2 4 5 3 4" xfId="1239"/>
    <cellStyle name="Percent 2 4 5 3 5" xfId="1240"/>
    <cellStyle name="Percent 2 4 5 3 5 2" xfId="1241"/>
    <cellStyle name="Percent 2 4 5 3 6" xfId="1242"/>
    <cellStyle name="Percent 2 4 5 3 6 2" xfId="1243"/>
    <cellStyle name="Percent 2 4 5 4" xfId="1244"/>
    <cellStyle name="Percent 2 4 6" xfId="1245"/>
    <cellStyle name="Percent 2 4 6 2" xfId="1246"/>
    <cellStyle name="Percent 2 4 7" xfId="1247"/>
    <cellStyle name="Percent 2 4 7 2" xfId="1248"/>
    <cellStyle name="Percent 2 4 8" xfId="1249"/>
    <cellStyle name="Percent 2 5" xfId="1250"/>
    <cellStyle name="Percent 2 5 10" xfId="1251"/>
    <cellStyle name="Percent 2 5 10 2" xfId="1252"/>
    <cellStyle name="Percent 2 5 11" xfId="1253"/>
    <cellStyle name="Percent 2 5 11 2" xfId="1254"/>
    <cellStyle name="Percent 2 5 2" xfId="1255"/>
    <cellStyle name="Percent 2 5 2 2" xfId="1256"/>
    <cellStyle name="Percent 2 5 2 2 2" xfId="1257"/>
    <cellStyle name="Percent 2 5 2 3" xfId="1258"/>
    <cellStyle name="Percent 2 5 2 3 2" xfId="1259"/>
    <cellStyle name="Percent 2 5 2 4" xfId="1260"/>
    <cellStyle name="Percent 2 5 2 5" xfId="1261"/>
    <cellStyle name="Percent 2 5 2 5 2" xfId="1262"/>
    <cellStyle name="Percent 2 5 2 5 2 2" xfId="1263"/>
    <cellStyle name="Percent 2 5 2 5 3" xfId="1264"/>
    <cellStyle name="Percent 2 5 2 5 3 2" xfId="1265"/>
    <cellStyle name="Percent 2 5 2 5 3 2 2" xfId="1266"/>
    <cellStyle name="Percent 2 5 2 5 3 3" xfId="1267"/>
    <cellStyle name="Percent 2 5 2 5 3 3 2" xfId="1268"/>
    <cellStyle name="Percent 2 5 2 5 3 4" xfId="1269"/>
    <cellStyle name="Percent 2 5 2 5 3 5" xfId="1270"/>
    <cellStyle name="Percent 2 5 2 5 3 5 2" xfId="1271"/>
    <cellStyle name="Percent 2 5 2 5 3 6" xfId="1272"/>
    <cellStyle name="Percent 2 5 2 5 3 6 2" xfId="1273"/>
    <cellStyle name="Percent 2 5 2 5 4" xfId="1274"/>
    <cellStyle name="Percent 2 5 3" xfId="1275"/>
    <cellStyle name="Percent 2 5 4" xfId="1276"/>
    <cellStyle name="Percent 2 5 5" xfId="1277"/>
    <cellStyle name="Percent 2 5 5 2" xfId="1278"/>
    <cellStyle name="Percent 2 5 6" xfId="1279"/>
    <cellStyle name="Percent 2 5 6 2" xfId="1280"/>
    <cellStyle name="Percent 2 5 7" xfId="1281"/>
    <cellStyle name="Percent 2 5 7 2" xfId="1282"/>
    <cellStyle name="Percent 2 5 8" xfId="1283"/>
    <cellStyle name="Percent 2 5 8 2" xfId="1284"/>
    <cellStyle name="Percent 2 5 9" xfId="1285"/>
    <cellStyle name="Percent 2 6" xfId="1286"/>
    <cellStyle name="Percent 2 6 2" xfId="1287"/>
    <cellStyle name="Percent 2 7" xfId="1288"/>
    <cellStyle name="Percent 2 7 2" xfId="1289"/>
    <cellStyle name="Percent 2 7 2 2" xfId="1290"/>
    <cellStyle name="Percent 2 7 3" xfId="1291"/>
    <cellStyle name="Percent 2 7 3 2" xfId="1292"/>
    <cellStyle name="Percent 2 7 3 2 2" xfId="1293"/>
    <cellStyle name="Percent 2 7 3 3" xfId="1294"/>
    <cellStyle name="Percent 2 7 3 3 2" xfId="1295"/>
    <cellStyle name="Percent 2 7 3 4" xfId="1296"/>
    <cellStyle name="Percent 2 7 3 5" xfId="1297"/>
    <cellStyle name="Percent 2 7 3 5 2" xfId="1298"/>
    <cellStyle name="Percent 2 7 3 6" xfId="1299"/>
    <cellStyle name="Percent 2 7 3 6 2" xfId="1300"/>
    <cellStyle name="Percent 2 7 4" xfId="1301"/>
    <cellStyle name="Percent 2 8" xfId="1302"/>
    <cellStyle name="Percent 2 8 2" xfId="1303"/>
    <cellStyle name="Percent 3" xfId="1304"/>
    <cellStyle name="Percent 3 2" xfId="1305"/>
    <cellStyle name="Percent 4" xfId="1306"/>
    <cellStyle name="Percent 4 2" xfId="1307"/>
    <cellStyle name="Percent 4 3" xfId="1308"/>
    <cellStyle name="Percent 4 4" xfId="1309"/>
    <cellStyle name="Percent 4 4 10" xfId="1310"/>
    <cellStyle name="Percent 4 4 10 2" xfId="1311"/>
    <cellStyle name="Percent 4 4 11" xfId="1312"/>
    <cellStyle name="Percent 4 4 11 2" xfId="1313"/>
    <cellStyle name="Percent 4 4 2" xfId="1314"/>
    <cellStyle name="Percent 4 4 2 2" xfId="1315"/>
    <cellStyle name="Percent 4 4 2 2 2" xfId="1316"/>
    <cellStyle name="Percent 4 4 2 3" xfId="1317"/>
    <cellStyle name="Percent 4 4 2 3 2" xfId="1318"/>
    <cellStyle name="Percent 4 4 2 4" xfId="1319"/>
    <cellStyle name="Percent 4 4 2 5" xfId="1320"/>
    <cellStyle name="Percent 4 4 2 5 2" xfId="1321"/>
    <cellStyle name="Percent 4 4 2 5 2 2" xfId="1322"/>
    <cellStyle name="Percent 4 4 2 5 3" xfId="1323"/>
    <cellStyle name="Percent 4 4 2 5 3 2" xfId="1324"/>
    <cellStyle name="Percent 4 4 2 5 3 2 2" xfId="1325"/>
    <cellStyle name="Percent 4 4 2 5 3 3" xfId="1326"/>
    <cellStyle name="Percent 4 4 2 5 3 3 2" xfId="1327"/>
    <cellStyle name="Percent 4 4 2 5 3 4" xfId="1328"/>
    <cellStyle name="Percent 4 4 2 5 3 5" xfId="1329"/>
    <cellStyle name="Percent 4 4 2 5 3 5 2" xfId="1330"/>
    <cellStyle name="Percent 4 4 2 5 3 6" xfId="1331"/>
    <cellStyle name="Percent 4 4 2 5 3 6 2" xfId="1332"/>
    <cellStyle name="Percent 4 4 2 5 4" xfId="1333"/>
    <cellStyle name="Percent 4 4 3" xfId="1334"/>
    <cellStyle name="Percent 4 4 4" xfId="1335"/>
    <cellStyle name="Percent 4 4 5" xfId="1336"/>
    <cellStyle name="Percent 4 4 5 2" xfId="1337"/>
    <cellStyle name="Percent 4 4 6" xfId="1338"/>
    <cellStyle name="Percent 4 4 6 2" xfId="1339"/>
    <cellStyle name="Percent 4 4 7" xfId="1340"/>
    <cellStyle name="Percent 4 4 7 2" xfId="1341"/>
    <cellStyle name="Percent 4 4 8" xfId="1342"/>
    <cellStyle name="Percent 4 4 8 2" xfId="1343"/>
    <cellStyle name="Percent 4 4 9" xfId="1344"/>
    <cellStyle name="Percent 4 5" xfId="1345"/>
    <cellStyle name="Percent 4 5 2" xfId="1346"/>
    <cellStyle name="Percent 5" xfId="1347"/>
    <cellStyle name="Percent 5 2" xfId="1348"/>
    <cellStyle name="Percent 5 2 10" xfId="1349"/>
    <cellStyle name="Percent 5 2 10 2" xfId="1350"/>
    <cellStyle name="Percent 5 2 11" xfId="1351"/>
    <cellStyle name="Percent 5 2 11 2" xfId="1352"/>
    <cellStyle name="Percent 5 2 2" xfId="1353"/>
    <cellStyle name="Percent 5 2 2 2" xfId="1354"/>
    <cellStyle name="Percent 5 2 2 2 2" xfId="1355"/>
    <cellStyle name="Percent 5 2 2 3" xfId="1356"/>
    <cellStyle name="Percent 5 2 2 3 2" xfId="1357"/>
    <cellStyle name="Percent 5 2 2 4" xfId="1358"/>
    <cellStyle name="Percent 5 2 2 5" xfId="1359"/>
    <cellStyle name="Percent 5 2 2 5 2" xfId="1360"/>
    <cellStyle name="Percent 5 2 2 5 2 2" xfId="1361"/>
    <cellStyle name="Percent 5 2 2 5 3" xfId="1362"/>
    <cellStyle name="Percent 5 2 2 5 3 2" xfId="1363"/>
    <cellStyle name="Percent 5 2 2 5 3 2 2" xfId="1364"/>
    <cellStyle name="Percent 5 2 2 5 3 3" xfId="1365"/>
    <cellStyle name="Percent 5 2 2 5 3 3 2" xfId="1366"/>
    <cellStyle name="Percent 5 2 2 5 3 4" xfId="1367"/>
    <cellStyle name="Percent 5 2 2 5 3 5" xfId="1368"/>
    <cellStyle name="Percent 5 2 2 5 3 5 2" xfId="1369"/>
    <cellStyle name="Percent 5 2 2 5 3 6" xfId="1370"/>
    <cellStyle name="Percent 5 2 2 5 3 6 2" xfId="1371"/>
    <cellStyle name="Percent 5 2 2 5 4" xfId="1372"/>
    <cellStyle name="Percent 5 2 3" xfId="1373"/>
    <cellStyle name="Percent 5 2 4" xfId="1374"/>
    <cellStyle name="Percent 5 2 5" xfId="1375"/>
    <cellStyle name="Percent 5 2 5 2" xfId="1376"/>
    <cellStyle name="Percent 5 2 6" xfId="1377"/>
    <cellStyle name="Percent 5 2 6 2" xfId="1378"/>
    <cellStyle name="Percent 5 2 7" xfId="1379"/>
    <cellStyle name="Percent 5 2 7 2" xfId="1380"/>
    <cellStyle name="Percent 5 2 8" xfId="1381"/>
    <cellStyle name="Percent 5 2 8 2" xfId="1382"/>
    <cellStyle name="Percent 5 2 9" xfId="1383"/>
    <cellStyle name="Percent 5 3" xfId="1384"/>
    <cellStyle name="Percent 5 4" xfId="1385"/>
    <cellStyle name="Percent 5 4 2" xfId="1386"/>
    <cellStyle name="Percent 5 5" xfId="1387"/>
    <cellStyle name="Percent 5 5 2" xfId="1388"/>
    <cellStyle name="Percent 5 5 2 2" xfId="1389"/>
    <cellStyle name="Percent 5 5 3" xfId="1390"/>
    <cellStyle name="Percent 5 5 3 2" xfId="1391"/>
    <cellStyle name="Percent 5 5 3 2 2" xfId="1392"/>
    <cellStyle name="Percent 5 5 3 3" xfId="1393"/>
    <cellStyle name="Percent 5 5 3 3 2" xfId="1394"/>
    <cellStyle name="Percent 5 5 3 4" xfId="1395"/>
    <cellStyle name="Percent 5 5 3 5" xfId="1396"/>
    <cellStyle name="Percent 5 5 3 5 2" xfId="1397"/>
    <cellStyle name="Percent 5 5 3 6" xfId="1398"/>
    <cellStyle name="Percent 5 5 3 6 2" xfId="1399"/>
    <cellStyle name="Percent 5 5 4" xfId="1400"/>
    <cellStyle name="Percent 5 6" xfId="1401"/>
    <cellStyle name="Percent 5 6 2" xfId="1402"/>
    <cellStyle name="Percent 5 7" xfId="1403"/>
    <cellStyle name="Percent 5 7 2" xfId="1404"/>
    <cellStyle name="Percent 5 8" xfId="1405"/>
    <cellStyle name="Title" xfId="1406" builtinId="15" customBuiltin="1"/>
    <cellStyle name="Total" xfId="1407" builtinId="25" customBuiltin="1"/>
    <cellStyle name="Warning Text" xfId="1408" builtinId="11" customBuiltin="1"/>
  </cellStyles>
  <dxfs count="346">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ont>
        <color theme="8" tint="0.59996337778862885"/>
      </font>
    </dxf>
    <dxf>
      <font>
        <condense val="0"/>
        <extend val="0"/>
        <color rgb="FF006100"/>
      </font>
      <fill>
        <patternFill>
          <bgColor rgb="FFC6EFCE"/>
        </patternFill>
      </fill>
    </dxf>
    <dxf>
      <fill>
        <patternFill>
          <bgColor rgb="FFFFFF00"/>
        </patternFill>
      </fill>
    </dxf>
    <dxf>
      <fill>
        <patternFill>
          <bgColor rgb="FFFF0000"/>
        </patternFill>
      </fill>
    </dxf>
    <dxf>
      <font>
        <condense val="0"/>
        <extend val="0"/>
        <color rgb="FF006100"/>
      </font>
      <fill>
        <patternFill>
          <bgColor rgb="FFC6EFCE"/>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theme" Target="theme/theme1.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sktop/FRM%20Docs/FRM_CVT_Functional%20-Phase%201%2009280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ww.test.cafdex.com/CAFDEx%20Functional%20Requirements%20Spreadshee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FDEx%20Functional%20Requirements%20Spreadshee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20Office%20Administration%20Files/14-12%20Team%20Info/CAFDEx/RTM%20project/DPEM/(ACC)%20CAFDEx%20FRD%20Review%20template%20(DPEM).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1291493650E/AppData/Local/Microsoft/Windows/Temporary%20Internet%20Files/Content.Outlook/5DHW1RKX/ALOD%20CVT%2014.3%20Combine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ssessment"/>
      <sheetName val="Func RQMT"/>
      <sheetName val="User Mgmt"/>
      <sheetName val="Data Call Management"/>
      <sheetName val="File Maintenance"/>
      <sheetName val="Deliverables"/>
    </sheetNames>
    <sheetDataSet>
      <sheetData sheetId="0" refreshError="1"/>
      <sheetData sheetId="1" refreshError="1"/>
      <sheetData sheetId="2" refreshError="1"/>
      <sheetData sheetId="3">
        <row r="3">
          <cell r="B3" t="str">
            <v>Test Date:</v>
          </cell>
        </row>
        <row r="4">
          <cell r="B4" t="str">
            <v>Version:</v>
          </cell>
        </row>
        <row r="5">
          <cell r="B5" t="str">
            <v>Environment:</v>
          </cell>
        </row>
        <row r="6">
          <cell r="B6" t="str">
            <v>Justification</v>
          </cell>
        </row>
        <row r="7">
          <cell r="B7" t="str">
            <v>Relevance</v>
          </cell>
        </row>
        <row r="8">
          <cell r="B8" t="str">
            <v>Process Users</v>
          </cell>
        </row>
        <row r="9">
          <cell r="B9" t="str">
            <v>Priority</v>
          </cell>
        </row>
        <row r="10">
          <cell r="B10" t="str">
            <v>Entrance Criteria</v>
          </cell>
        </row>
        <row r="12">
          <cell r="B12" t="str">
            <v>Exit Criteria</v>
          </cell>
        </row>
        <row r="14">
          <cell r="B14" t="str">
            <v>Audit CVT Tests - Customer Verification Testing Tests for FRM</v>
          </cell>
        </row>
        <row r="15">
          <cell r="B15" t="str">
            <v>CVT No</v>
          </cell>
        </row>
        <row r="18">
          <cell r="B18" t="str">
            <v>DC2</v>
          </cell>
        </row>
      </sheetData>
      <sheetData sheetId="4" refreshError="1"/>
      <sheetData sheetId="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AFDEx"/>
      <sheetName val="AMR"/>
      <sheetName val="DPEM"/>
      <sheetName val="FRM"/>
      <sheetName val="SRA"/>
      <sheetName val="SRMA"/>
      <sheetName val="UID"/>
      <sheetName val="WSMS"/>
      <sheetName val="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
          <cell r="A3" t="str">
            <v>Add Requirement</v>
          </cell>
          <cell r="B3" t="str">
            <v xml:space="preserve">Critical </v>
          </cell>
        </row>
        <row r="4">
          <cell r="A4" t="str">
            <v>Baseline</v>
          </cell>
          <cell r="B4" t="str">
            <v>Major</v>
          </cell>
        </row>
        <row r="5">
          <cell r="A5" t="str">
            <v>Clarify - See Note</v>
          </cell>
          <cell r="B5" t="str">
            <v>Minor</v>
          </cell>
        </row>
        <row r="6">
          <cell r="A6" t="str">
            <v>Delete</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AFDEx"/>
      <sheetName val="AMR"/>
      <sheetName val="DPEM"/>
      <sheetName val="FRM"/>
      <sheetName val="SRA"/>
      <sheetName val="SRMA"/>
      <sheetName val="UID"/>
      <sheetName val="WSMS"/>
      <sheetName val="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
          <cell r="A3" t="str">
            <v>Add Requirement</v>
          </cell>
          <cell r="B3" t="str">
            <v xml:space="preserve">Critical </v>
          </cell>
        </row>
        <row r="4">
          <cell r="A4" t="str">
            <v>Baseline</v>
          </cell>
          <cell r="B4" t="str">
            <v>Major</v>
          </cell>
        </row>
        <row r="5">
          <cell r="A5" t="str">
            <v>Clarify - See Note</v>
          </cell>
          <cell r="B5" t="str">
            <v>Minor</v>
          </cell>
        </row>
        <row r="6">
          <cell r="A6" t="str">
            <v>Delete</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Reference"/>
      <sheetName val="CAFDEx"/>
      <sheetName val="DPEM"/>
      <sheetName val="&lt;---Susp 14-Aug"/>
    </sheetNames>
    <sheetDataSet>
      <sheetData sheetId="0">
        <row r="3">
          <cell r="D3" t="str">
            <v xml:space="preserve">Critical </v>
          </cell>
        </row>
        <row r="4">
          <cell r="D4" t="str">
            <v>Major</v>
          </cell>
        </row>
        <row r="5">
          <cell r="D5" t="str">
            <v>Minor</v>
          </cell>
        </row>
        <row r="7">
          <cell r="D7">
            <v>0</v>
          </cell>
        </row>
      </sheetData>
      <sheetData sheetId="1"/>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DELETE Comments "/>
      <sheetName val="Index"/>
      <sheetName val="I1 - Test Participants"/>
      <sheetName val="I2 - Schedule"/>
      <sheetName val="CVT Master List"/>
      <sheetName val="TEMP"/>
      <sheetName val="Priority"/>
      <sheetName val="I3 -CVT Master"/>
      <sheetName val="(BT31) WWD MEMOS"/>
      <sheetName val="(BT31) IRILO MEMOS"/>
      <sheetName val="(BT31) MEB MEMOS"/>
      <sheetName val="(BT31) BMT WF"/>
      <sheetName val="(BT131) Informal LOD"/>
      <sheetName val="(BT31) Participation Waiver WF"/>
      <sheetName val="(BT31)Manage Units "/>
      <sheetName val="(BT31)Manage Users"/>
      <sheetName val="(BT44) MEDICAL HOLDS WF"/>
      <sheetName val="(BT31) Deployment Waiver WF"/>
      <sheetName val="(BT31) Non Emergent Surgery WF"/>
      <sheetName val="(BT31) Modification WF"/>
      <sheetName val="(BT31) BCMR WF "/>
      <sheetName val="(BT31) Congressionals WF"/>
      <sheetName val="(BT31) PEPP WF"/>
      <sheetName val="(BT44) Full Search"/>
      <sheetName val="Common Tools"/>
      <sheetName val="I4 - IP Matrix"/>
      <sheetName val="Comments"/>
      <sheetName val="I5 - RTM"/>
      <sheetName val="RQMTs Master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2">
          <cell r="E12" t="str">
            <v>Ready To Test</v>
          </cell>
        </row>
      </sheetData>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Jenet.taylor.ctr@us.af.mil?subject=ALOD%20RTM"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Jenet.taylor.ctr@us.af.mil?subject=ALOD%20RTM"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Jenet.taylor.ctr@us.af.mil?subject=ALOD%20RTM"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Jenet.taylor.ctr@us.af.mil?subject=ALOD%20RTM"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mailto:Jenet.taylor.ctr@us.af.mil?subject=ALOD%20RTM"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Jenet.taylor.ctr@us.af.mil?subject=ALOD%20RTM"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Jenet.taylor.ctr@us.af.mil?subject=ALOD%20RTM"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mailto:Jenet.taylor.ctr@us.af.mil?subject=ALOD%20RTM"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mailto:Jenet.taylor.ctr@us.af.mil?subject=ALOD%20RTM"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mailto:Jenet.taylor.ctr@us.af.mil?subject=ALOD%20RTM"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mailto:Jenet.taylor.ctr@us.af.mil?subject=ALOD%20RTM"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mailto:Jenet.taylor.ctr@us.af.mil?subject=ALOD%20RTM"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mailto:Jenet.taylor.ctr@us.af.mil?subject=ALOD%20RTM"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mailto:Jenet.taylor.ctr@us.af.mil?subject=ALOD%20RTM"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mailto:jenet.taylor.ctr@us.af.mil?subject=ALOD%20RTM%20Help" TargetMode="External"/></Relationships>
</file>

<file path=xl/worksheets/sheet1.xml><?xml version="1.0" encoding="utf-8"?>
<worksheet xmlns="http://schemas.openxmlformats.org/spreadsheetml/2006/main" xmlns:r="http://schemas.openxmlformats.org/officeDocument/2006/relationships">
  <dimension ref="A1:Q159"/>
  <sheetViews>
    <sheetView workbookViewId="0"/>
  </sheetViews>
  <sheetFormatPr defaultRowHeight="15"/>
  <cols>
    <col min="1" max="1" width="12.42578125" customWidth="1"/>
    <col min="2" max="2" width="14.5703125" customWidth="1"/>
    <col min="3" max="3" width="15" style="5" customWidth="1"/>
    <col min="4" max="4" width="9.140625" style="120"/>
    <col min="5" max="11" width="9.140625" style="129"/>
    <col min="12" max="12" width="33.7109375" customWidth="1"/>
    <col min="13" max="13" width="9.140625" style="129"/>
    <col min="14" max="14" width="11.5703125" style="129" customWidth="1"/>
    <col min="15" max="15" width="9.140625" style="129"/>
    <col min="16" max="16" width="12.7109375" style="136" customWidth="1"/>
    <col min="17" max="17" width="30.28515625" style="132" customWidth="1"/>
  </cols>
  <sheetData>
    <row r="1" spans="1:17" ht="30">
      <c r="A1" s="81" t="s">
        <v>368</v>
      </c>
      <c r="B1" s="81" t="s">
        <v>285</v>
      </c>
      <c r="C1" s="81" t="s">
        <v>225</v>
      </c>
      <c r="D1" s="81" t="s">
        <v>226</v>
      </c>
      <c r="E1" s="81" t="s">
        <v>227</v>
      </c>
      <c r="F1" s="81" t="s">
        <v>2</v>
      </c>
      <c r="G1" s="81">
        <v>1</v>
      </c>
      <c r="H1" s="81">
        <v>2</v>
      </c>
      <c r="I1" s="81">
        <v>3</v>
      </c>
      <c r="J1" s="81">
        <v>4</v>
      </c>
      <c r="K1" s="81">
        <v>5</v>
      </c>
      <c r="L1" s="81" t="s">
        <v>1</v>
      </c>
      <c r="M1" s="81" t="s">
        <v>228</v>
      </c>
      <c r="N1" s="81" t="s">
        <v>229</v>
      </c>
      <c r="O1" s="81" t="s">
        <v>230</v>
      </c>
      <c r="P1" s="81" t="s">
        <v>231</v>
      </c>
      <c r="Q1" s="81" t="s">
        <v>232</v>
      </c>
    </row>
    <row r="2" spans="1:17" ht="30">
      <c r="A2" s="82">
        <v>1</v>
      </c>
      <c r="B2" s="140">
        <v>4.4000000000000004</v>
      </c>
      <c r="C2" s="82" t="s">
        <v>233</v>
      </c>
      <c r="D2" s="112" t="s">
        <v>131</v>
      </c>
      <c r="E2" s="83">
        <v>1</v>
      </c>
      <c r="F2" s="84" t="s">
        <v>17</v>
      </c>
      <c r="G2" s="85"/>
      <c r="H2" s="85"/>
      <c r="I2" s="85"/>
      <c r="J2" s="86"/>
      <c r="K2" s="87"/>
      <c r="L2" s="7" t="s">
        <v>234</v>
      </c>
      <c r="M2" s="82" t="s">
        <v>235</v>
      </c>
      <c r="N2" s="88">
        <v>40106</v>
      </c>
      <c r="O2" s="82" t="s">
        <v>327</v>
      </c>
      <c r="P2" s="82" t="s">
        <v>182</v>
      </c>
      <c r="Q2" s="7" t="s">
        <v>236</v>
      </c>
    </row>
    <row r="3" spans="1:17" ht="60">
      <c r="A3" s="82">
        <v>2</v>
      </c>
      <c r="B3" s="141">
        <v>4.4000000000000004</v>
      </c>
      <c r="C3" s="82" t="s">
        <v>233</v>
      </c>
      <c r="D3" s="112" t="s">
        <v>131</v>
      </c>
      <c r="E3" s="83">
        <v>2</v>
      </c>
      <c r="F3" s="84"/>
      <c r="G3" s="85"/>
      <c r="H3" s="85"/>
      <c r="I3" s="85"/>
      <c r="J3" s="86"/>
      <c r="K3" s="87" t="s">
        <v>19</v>
      </c>
      <c r="L3" s="11" t="s">
        <v>237</v>
      </c>
      <c r="M3" s="82" t="s">
        <v>235</v>
      </c>
      <c r="N3" s="88">
        <v>40106</v>
      </c>
      <c r="O3" s="82" t="s">
        <v>327</v>
      </c>
      <c r="P3" s="82" t="s">
        <v>182</v>
      </c>
      <c r="Q3" s="7" t="s">
        <v>238</v>
      </c>
    </row>
    <row r="4" spans="1:17" ht="30">
      <c r="A4" s="82">
        <v>3</v>
      </c>
      <c r="B4" s="141">
        <v>4.4000000000000004</v>
      </c>
      <c r="C4" s="82" t="s">
        <v>233</v>
      </c>
      <c r="D4" s="112" t="s">
        <v>131</v>
      </c>
      <c r="E4" s="83">
        <v>2</v>
      </c>
      <c r="F4" s="84"/>
      <c r="G4" s="82"/>
      <c r="H4" s="85"/>
      <c r="I4" s="85"/>
      <c r="J4" s="86"/>
      <c r="K4" s="87" t="s">
        <v>19</v>
      </c>
      <c r="L4" s="7" t="s">
        <v>239</v>
      </c>
      <c r="M4" s="82" t="s">
        <v>235</v>
      </c>
      <c r="N4" s="88">
        <v>40106</v>
      </c>
      <c r="O4" s="82" t="s">
        <v>327</v>
      </c>
      <c r="P4" s="82" t="s">
        <v>182</v>
      </c>
      <c r="Q4" s="82" t="s">
        <v>240</v>
      </c>
    </row>
    <row r="5" spans="1:17">
      <c r="A5" s="82">
        <v>4</v>
      </c>
      <c r="B5" s="141">
        <v>4.4000000000000004</v>
      </c>
      <c r="C5" s="82" t="s">
        <v>233</v>
      </c>
      <c r="D5" s="112" t="s">
        <v>131</v>
      </c>
      <c r="E5" s="83">
        <v>3</v>
      </c>
      <c r="F5" s="84"/>
      <c r="G5" s="85"/>
      <c r="H5" s="85"/>
      <c r="I5" s="85"/>
      <c r="J5" s="86"/>
      <c r="K5" s="87" t="s">
        <v>19</v>
      </c>
      <c r="L5" s="89" t="s">
        <v>241</v>
      </c>
      <c r="M5" s="82" t="s">
        <v>235</v>
      </c>
      <c r="N5" s="88">
        <v>40106</v>
      </c>
      <c r="O5" s="82" t="s">
        <v>327</v>
      </c>
      <c r="P5" s="82" t="s">
        <v>182</v>
      </c>
      <c r="Q5" s="82" t="s">
        <v>242</v>
      </c>
    </row>
    <row r="6" spans="1:17" ht="45">
      <c r="A6" s="82">
        <v>5</v>
      </c>
      <c r="B6" s="141">
        <v>4.4000000000000004</v>
      </c>
      <c r="C6" s="82" t="s">
        <v>233</v>
      </c>
      <c r="D6" s="112" t="s">
        <v>131</v>
      </c>
      <c r="E6" s="83">
        <v>3</v>
      </c>
      <c r="F6" s="84"/>
      <c r="G6" s="85"/>
      <c r="H6" s="85"/>
      <c r="I6" s="85"/>
      <c r="J6" s="86"/>
      <c r="K6" s="87" t="s">
        <v>19</v>
      </c>
      <c r="L6" s="7" t="s">
        <v>243</v>
      </c>
      <c r="M6" s="82" t="s">
        <v>235</v>
      </c>
      <c r="N6" s="88">
        <v>40106</v>
      </c>
      <c r="O6" s="82" t="s">
        <v>327</v>
      </c>
      <c r="P6" s="82" t="s">
        <v>182</v>
      </c>
      <c r="Q6" s="7" t="s">
        <v>244</v>
      </c>
    </row>
    <row r="7" spans="1:17" ht="60">
      <c r="A7" s="82">
        <v>6</v>
      </c>
      <c r="B7" s="142">
        <v>4.4000000000000004</v>
      </c>
      <c r="C7" s="82" t="s">
        <v>233</v>
      </c>
      <c r="D7" s="112" t="s">
        <v>131</v>
      </c>
      <c r="E7" s="83">
        <v>4</v>
      </c>
      <c r="F7" s="84" t="s">
        <v>17</v>
      </c>
      <c r="G7" s="85"/>
      <c r="H7" s="85"/>
      <c r="I7" s="85"/>
      <c r="J7" s="86"/>
      <c r="K7" s="87"/>
      <c r="L7" s="11" t="s">
        <v>245</v>
      </c>
      <c r="M7" s="82" t="s">
        <v>235</v>
      </c>
      <c r="N7" s="88">
        <v>40106</v>
      </c>
      <c r="O7" s="82" t="s">
        <v>327</v>
      </c>
      <c r="P7" s="82" t="s">
        <v>182</v>
      </c>
      <c r="Q7" s="7" t="s">
        <v>246</v>
      </c>
    </row>
    <row r="8" spans="1:17" ht="135">
      <c r="A8" s="82">
        <v>7</v>
      </c>
      <c r="B8" s="143">
        <v>4.4000000000000004</v>
      </c>
      <c r="C8" s="82" t="s">
        <v>233</v>
      </c>
      <c r="D8" s="112" t="s">
        <v>131</v>
      </c>
      <c r="E8" s="83">
        <v>5</v>
      </c>
      <c r="F8" s="84" t="s">
        <v>17</v>
      </c>
      <c r="G8" s="84"/>
      <c r="H8" s="87"/>
      <c r="I8" s="84"/>
      <c r="J8" s="86"/>
      <c r="K8" s="86"/>
      <c r="L8" s="11" t="s">
        <v>247</v>
      </c>
      <c r="M8" s="87" t="s">
        <v>235</v>
      </c>
      <c r="N8" s="124">
        <v>40106</v>
      </c>
      <c r="O8" s="87" t="s">
        <v>248</v>
      </c>
      <c r="P8" s="156" t="s">
        <v>328</v>
      </c>
      <c r="Q8" s="7" t="s">
        <v>329</v>
      </c>
    </row>
    <row r="9" spans="1:17" ht="75">
      <c r="A9" s="82">
        <v>8</v>
      </c>
      <c r="B9" s="140">
        <v>4.4000000000000004</v>
      </c>
      <c r="C9" s="82" t="s">
        <v>233</v>
      </c>
      <c r="D9" s="112" t="s">
        <v>131</v>
      </c>
      <c r="E9" s="83">
        <v>6</v>
      </c>
      <c r="F9" s="84" t="s">
        <v>17</v>
      </c>
      <c r="G9" s="85"/>
      <c r="H9" s="85"/>
      <c r="I9" s="85"/>
      <c r="J9" s="86"/>
      <c r="K9" s="86"/>
      <c r="L9" s="7" t="s">
        <v>249</v>
      </c>
      <c r="M9" s="82" t="s">
        <v>235</v>
      </c>
      <c r="N9" s="88">
        <v>40106</v>
      </c>
      <c r="O9" s="82" t="s">
        <v>327</v>
      </c>
      <c r="P9" s="82" t="s">
        <v>182</v>
      </c>
      <c r="Q9" s="7" t="s">
        <v>250</v>
      </c>
    </row>
    <row r="10" spans="1:17" ht="75">
      <c r="A10" s="82">
        <v>9</v>
      </c>
      <c r="B10" s="141">
        <v>4.4000000000000004</v>
      </c>
      <c r="C10" s="82" t="s">
        <v>233</v>
      </c>
      <c r="D10" s="112" t="s">
        <v>131</v>
      </c>
      <c r="E10" s="83" t="s">
        <v>251</v>
      </c>
      <c r="F10" s="84"/>
      <c r="G10" s="85"/>
      <c r="H10" s="85"/>
      <c r="I10" s="85"/>
      <c r="J10" s="86"/>
      <c r="K10" s="87" t="s">
        <v>19</v>
      </c>
      <c r="L10" s="7" t="s">
        <v>252</v>
      </c>
      <c r="M10" s="82" t="s">
        <v>235</v>
      </c>
      <c r="N10" s="88">
        <v>40106</v>
      </c>
      <c r="O10" s="82" t="s">
        <v>327</v>
      </c>
      <c r="P10" s="82" t="s">
        <v>182</v>
      </c>
      <c r="Q10" s="7" t="s">
        <v>253</v>
      </c>
    </row>
    <row r="11" spans="1:17" ht="30">
      <c r="A11" s="82">
        <v>10</v>
      </c>
      <c r="B11" s="141">
        <v>4.4000000000000004</v>
      </c>
      <c r="C11" s="82" t="s">
        <v>233</v>
      </c>
      <c r="D11" s="113" t="s">
        <v>124</v>
      </c>
      <c r="E11" s="84">
        <v>3</v>
      </c>
      <c r="F11" s="90"/>
      <c r="G11" s="82"/>
      <c r="H11" s="82"/>
      <c r="I11" s="82"/>
      <c r="J11" s="82"/>
      <c r="K11" s="87" t="s">
        <v>19</v>
      </c>
      <c r="L11" s="7" t="s">
        <v>254</v>
      </c>
      <c r="M11" s="82" t="s">
        <v>235</v>
      </c>
      <c r="N11" s="88">
        <v>40106</v>
      </c>
      <c r="O11" s="82" t="s">
        <v>327</v>
      </c>
      <c r="P11" s="82" t="s">
        <v>182</v>
      </c>
      <c r="Q11" s="7" t="s">
        <v>255</v>
      </c>
    </row>
    <row r="12" spans="1:17" ht="45">
      <c r="A12" s="82">
        <v>11</v>
      </c>
      <c r="B12" s="141">
        <v>4.4000000000000004</v>
      </c>
      <c r="C12" s="82" t="s">
        <v>233</v>
      </c>
      <c r="D12" s="113" t="s">
        <v>124</v>
      </c>
      <c r="E12" s="84">
        <v>4</v>
      </c>
      <c r="F12" s="90" t="s">
        <v>17</v>
      </c>
      <c r="G12" s="82"/>
      <c r="H12" s="82"/>
      <c r="I12" s="82"/>
      <c r="J12" s="82"/>
      <c r="K12" s="82"/>
      <c r="L12" s="7" t="s">
        <v>256</v>
      </c>
      <c r="M12" s="82" t="s">
        <v>235</v>
      </c>
      <c r="N12" s="88">
        <v>40106</v>
      </c>
      <c r="O12" s="82" t="s">
        <v>327</v>
      </c>
      <c r="P12" s="82" t="s">
        <v>182</v>
      </c>
      <c r="Q12" s="7" t="s">
        <v>257</v>
      </c>
    </row>
    <row r="13" spans="1:17" ht="75">
      <c r="A13" s="82">
        <v>12</v>
      </c>
      <c r="B13" s="141">
        <v>4.4000000000000004</v>
      </c>
      <c r="C13" s="82" t="s">
        <v>233</v>
      </c>
      <c r="D13" s="113" t="s">
        <v>124</v>
      </c>
      <c r="E13" s="84">
        <v>5</v>
      </c>
      <c r="F13" s="90"/>
      <c r="G13" s="87" t="s">
        <v>19</v>
      </c>
      <c r="H13" s="82"/>
      <c r="I13" s="82"/>
      <c r="J13" s="82"/>
      <c r="K13" s="82"/>
      <c r="L13" s="91" t="s">
        <v>258</v>
      </c>
      <c r="M13" s="107" t="s">
        <v>235</v>
      </c>
      <c r="N13" s="108">
        <v>40106</v>
      </c>
      <c r="O13" s="107" t="s">
        <v>327</v>
      </c>
      <c r="P13" s="107" t="s">
        <v>182</v>
      </c>
      <c r="Q13" s="7" t="s">
        <v>259</v>
      </c>
    </row>
    <row r="14" spans="1:17" ht="60">
      <c r="A14" s="82">
        <v>13</v>
      </c>
      <c r="B14" s="141">
        <v>4.4000000000000004</v>
      </c>
      <c r="C14" s="82" t="s">
        <v>233</v>
      </c>
      <c r="D14" s="113" t="s">
        <v>124</v>
      </c>
      <c r="E14" s="84" t="s">
        <v>251</v>
      </c>
      <c r="F14" s="90" t="s">
        <v>17</v>
      </c>
      <c r="G14" s="82"/>
      <c r="H14" s="82"/>
      <c r="I14" s="82"/>
      <c r="J14" s="82"/>
      <c r="K14" s="82"/>
      <c r="L14" s="7" t="s">
        <v>260</v>
      </c>
      <c r="M14" s="107" t="s">
        <v>235</v>
      </c>
      <c r="N14" s="108">
        <v>40106</v>
      </c>
      <c r="O14" s="107" t="s">
        <v>327</v>
      </c>
      <c r="P14" s="107" t="s">
        <v>182</v>
      </c>
      <c r="Q14" s="7" t="s">
        <v>261</v>
      </c>
    </row>
    <row r="15" spans="1:17" ht="75">
      <c r="A15" s="82">
        <v>14</v>
      </c>
      <c r="B15" s="141">
        <v>4.4000000000000004</v>
      </c>
      <c r="C15" s="82" t="s">
        <v>233</v>
      </c>
      <c r="D15" s="112" t="s">
        <v>39</v>
      </c>
      <c r="E15" s="82">
        <v>5</v>
      </c>
      <c r="F15" s="82" t="s">
        <v>2</v>
      </c>
      <c r="G15" s="82"/>
      <c r="H15" s="82"/>
      <c r="I15" s="82"/>
      <c r="J15" s="82"/>
      <c r="K15" s="82"/>
      <c r="L15" s="84" t="s">
        <v>262</v>
      </c>
      <c r="M15" s="107" t="s">
        <v>235</v>
      </c>
      <c r="N15" s="108">
        <v>40106</v>
      </c>
      <c r="O15" s="107" t="s">
        <v>327</v>
      </c>
      <c r="P15" s="107" t="s">
        <v>182</v>
      </c>
      <c r="Q15" s="7" t="s">
        <v>263</v>
      </c>
    </row>
    <row r="16" spans="1:17">
      <c r="A16" s="82">
        <v>15</v>
      </c>
      <c r="B16" s="141">
        <v>4.4000000000000004</v>
      </c>
      <c r="C16" s="82" t="s">
        <v>233</v>
      </c>
      <c r="D16" s="112" t="s">
        <v>42</v>
      </c>
      <c r="E16" s="82">
        <v>2</v>
      </c>
      <c r="F16" s="82" t="s">
        <v>2</v>
      </c>
      <c r="G16" s="82"/>
      <c r="H16" s="82"/>
      <c r="I16" s="82"/>
      <c r="J16" s="82"/>
      <c r="K16" s="82"/>
      <c r="L16" s="84" t="s">
        <v>264</v>
      </c>
      <c r="M16" s="107" t="s">
        <v>235</v>
      </c>
      <c r="N16" s="108">
        <v>40106</v>
      </c>
      <c r="O16" s="107" t="s">
        <v>327</v>
      </c>
      <c r="P16" s="107" t="s">
        <v>182</v>
      </c>
      <c r="Q16" s="7" t="s">
        <v>265</v>
      </c>
    </row>
    <row r="17" spans="1:17">
      <c r="A17" s="82">
        <v>16</v>
      </c>
      <c r="B17" s="141">
        <v>4.4000000000000004</v>
      </c>
      <c r="C17" s="82" t="s">
        <v>233</v>
      </c>
      <c r="D17" s="112" t="s">
        <v>42</v>
      </c>
      <c r="E17" s="92">
        <v>2</v>
      </c>
      <c r="F17" s="93" t="s">
        <v>17</v>
      </c>
      <c r="G17" s="85"/>
      <c r="H17" s="85"/>
      <c r="I17" s="85"/>
      <c r="J17" s="86"/>
      <c r="K17" s="86"/>
      <c r="L17" s="84" t="s">
        <v>264</v>
      </c>
      <c r="M17" s="107" t="s">
        <v>235</v>
      </c>
      <c r="N17" s="108">
        <v>40106</v>
      </c>
      <c r="O17" s="107" t="s">
        <v>327</v>
      </c>
      <c r="P17" s="107" t="s">
        <v>182</v>
      </c>
      <c r="Q17" s="7" t="s">
        <v>266</v>
      </c>
    </row>
    <row r="18" spans="1:17">
      <c r="A18" s="82">
        <v>17</v>
      </c>
      <c r="B18" s="141">
        <v>4.4000000000000004</v>
      </c>
      <c r="C18" s="82" t="s">
        <v>233</v>
      </c>
      <c r="D18" s="112" t="s">
        <v>42</v>
      </c>
      <c r="E18" s="82">
        <v>9</v>
      </c>
      <c r="F18" s="82" t="s">
        <v>2</v>
      </c>
      <c r="G18" s="82"/>
      <c r="H18" s="82"/>
      <c r="I18" s="82"/>
      <c r="J18" s="82"/>
      <c r="K18" s="82"/>
      <c r="L18" s="84" t="s">
        <v>267</v>
      </c>
      <c r="M18" s="107" t="s">
        <v>235</v>
      </c>
      <c r="N18" s="108">
        <v>40106</v>
      </c>
      <c r="O18" s="107" t="s">
        <v>327</v>
      </c>
      <c r="P18" s="107" t="s">
        <v>182</v>
      </c>
      <c r="Q18" s="7" t="s">
        <v>268</v>
      </c>
    </row>
    <row r="19" spans="1:17" ht="90">
      <c r="A19" s="82">
        <v>18</v>
      </c>
      <c r="B19" s="141">
        <v>4.4000000000000004</v>
      </c>
      <c r="C19" s="82" t="s">
        <v>233</v>
      </c>
      <c r="D19" s="112" t="s">
        <v>42</v>
      </c>
      <c r="E19" s="92" t="s">
        <v>269</v>
      </c>
      <c r="F19" s="93" t="s">
        <v>17</v>
      </c>
      <c r="G19" s="85"/>
      <c r="H19" s="85"/>
      <c r="I19" s="85"/>
      <c r="J19" s="86"/>
      <c r="K19" s="86"/>
      <c r="L19" s="84" t="s">
        <v>270</v>
      </c>
      <c r="M19" s="107" t="s">
        <v>235</v>
      </c>
      <c r="N19" s="108">
        <v>40106</v>
      </c>
      <c r="O19" s="107" t="s">
        <v>327</v>
      </c>
      <c r="P19" s="107" t="s">
        <v>182</v>
      </c>
      <c r="Q19" s="7" t="s">
        <v>271</v>
      </c>
    </row>
    <row r="20" spans="1:17">
      <c r="A20" s="82">
        <v>19</v>
      </c>
      <c r="B20" s="141">
        <v>4.4000000000000004</v>
      </c>
      <c r="C20" s="82" t="s">
        <v>233</v>
      </c>
      <c r="D20" s="112" t="s">
        <v>46</v>
      </c>
      <c r="E20" s="84">
        <v>1</v>
      </c>
      <c r="F20" s="94" t="s">
        <v>17</v>
      </c>
      <c r="G20" s="95"/>
      <c r="H20" s="95"/>
      <c r="I20" s="95"/>
      <c r="J20" s="96"/>
      <c r="K20" s="96"/>
      <c r="L20" s="84" t="s">
        <v>264</v>
      </c>
      <c r="M20" s="107" t="s">
        <v>235</v>
      </c>
      <c r="N20" s="108">
        <v>40106</v>
      </c>
      <c r="O20" s="107" t="s">
        <v>327</v>
      </c>
      <c r="P20" s="107" t="s">
        <v>182</v>
      </c>
      <c r="Q20" s="7" t="s">
        <v>266</v>
      </c>
    </row>
    <row r="21" spans="1:17" ht="30">
      <c r="A21" s="82">
        <v>20</v>
      </c>
      <c r="B21" s="141">
        <v>4.4000000000000004</v>
      </c>
      <c r="C21" s="82" t="s">
        <v>233</v>
      </c>
      <c r="D21" s="112" t="s">
        <v>46</v>
      </c>
      <c r="E21" s="82">
        <v>3</v>
      </c>
      <c r="F21" s="94" t="s">
        <v>17</v>
      </c>
      <c r="G21" s="82"/>
      <c r="H21" s="82"/>
      <c r="I21" s="82"/>
      <c r="J21" s="82"/>
      <c r="K21" s="82"/>
      <c r="L21" s="84" t="s">
        <v>272</v>
      </c>
      <c r="M21" s="107" t="s">
        <v>235</v>
      </c>
      <c r="N21" s="108">
        <v>40106</v>
      </c>
      <c r="O21" s="107" t="s">
        <v>327</v>
      </c>
      <c r="P21" s="107" t="s">
        <v>182</v>
      </c>
      <c r="Q21" s="7" t="s">
        <v>273</v>
      </c>
    </row>
    <row r="22" spans="1:17">
      <c r="A22" s="82">
        <v>21</v>
      </c>
      <c r="B22" s="141">
        <v>4.4000000000000004</v>
      </c>
      <c r="C22" s="82" t="s">
        <v>233</v>
      </c>
      <c r="D22" s="113" t="s">
        <v>136</v>
      </c>
      <c r="E22" s="82">
        <v>2</v>
      </c>
      <c r="F22" s="82" t="s">
        <v>2</v>
      </c>
      <c r="G22" s="82"/>
      <c r="H22" s="82"/>
      <c r="I22" s="82"/>
      <c r="J22" s="82"/>
      <c r="K22" s="82"/>
      <c r="L22" s="5" t="s">
        <v>274</v>
      </c>
      <c r="M22" s="107" t="s">
        <v>235</v>
      </c>
      <c r="N22" s="108">
        <v>40106</v>
      </c>
      <c r="O22" s="107" t="s">
        <v>327</v>
      </c>
      <c r="P22" s="107" t="s">
        <v>182</v>
      </c>
      <c r="Q22" s="7" t="s">
        <v>275</v>
      </c>
    </row>
    <row r="23" spans="1:17" ht="30">
      <c r="A23" s="82">
        <v>22</v>
      </c>
      <c r="B23" s="141">
        <v>4.4000000000000004</v>
      </c>
      <c r="C23" s="82" t="s">
        <v>233</v>
      </c>
      <c r="D23" s="113" t="s">
        <v>136</v>
      </c>
      <c r="E23" s="82">
        <v>6</v>
      </c>
      <c r="F23" s="82" t="s">
        <v>2</v>
      </c>
      <c r="G23" s="82"/>
      <c r="H23" s="82"/>
      <c r="I23" s="82"/>
      <c r="J23" s="82"/>
      <c r="K23" s="82"/>
      <c r="L23" s="84" t="s">
        <v>276</v>
      </c>
      <c r="M23" s="107" t="s">
        <v>235</v>
      </c>
      <c r="N23" s="108">
        <v>40106</v>
      </c>
      <c r="O23" s="107" t="s">
        <v>327</v>
      </c>
      <c r="P23" s="107" t="s">
        <v>182</v>
      </c>
      <c r="Q23" s="7" t="s">
        <v>277</v>
      </c>
    </row>
    <row r="24" spans="1:17" ht="30">
      <c r="A24" s="82">
        <v>23</v>
      </c>
      <c r="B24" s="141">
        <v>4.4000000000000004</v>
      </c>
      <c r="C24" s="82" t="s">
        <v>233</v>
      </c>
      <c r="D24" s="113" t="s">
        <v>136</v>
      </c>
      <c r="E24" s="82">
        <v>7</v>
      </c>
      <c r="F24" s="82"/>
      <c r="G24" s="82"/>
      <c r="H24" s="82"/>
      <c r="I24" s="82"/>
      <c r="J24" s="82" t="s">
        <v>19</v>
      </c>
      <c r="K24" s="82"/>
      <c r="L24" s="97" t="s">
        <v>278</v>
      </c>
      <c r="M24" s="107" t="s">
        <v>235</v>
      </c>
      <c r="N24" s="108">
        <v>40106</v>
      </c>
      <c r="O24" s="107" t="s">
        <v>327</v>
      </c>
      <c r="P24" s="107" t="s">
        <v>182</v>
      </c>
      <c r="Q24" s="7" t="s">
        <v>279</v>
      </c>
    </row>
    <row r="25" spans="1:17" ht="30">
      <c r="A25" s="82">
        <v>24</v>
      </c>
      <c r="B25" s="141">
        <v>4.4000000000000004</v>
      </c>
      <c r="C25" s="82" t="s">
        <v>233</v>
      </c>
      <c r="D25" s="113" t="s">
        <v>136</v>
      </c>
      <c r="E25" s="82">
        <v>8</v>
      </c>
      <c r="F25" s="82" t="s">
        <v>19</v>
      </c>
      <c r="G25" s="82"/>
      <c r="H25" s="82"/>
      <c r="I25" s="82"/>
      <c r="J25" s="82"/>
      <c r="K25" s="82"/>
      <c r="L25" s="84" t="s">
        <v>278</v>
      </c>
      <c r="M25" s="107" t="s">
        <v>235</v>
      </c>
      <c r="N25" s="108">
        <v>40106</v>
      </c>
      <c r="O25" s="107" t="s">
        <v>327</v>
      </c>
      <c r="P25" s="107" t="s">
        <v>182</v>
      </c>
      <c r="Q25" s="7" t="s">
        <v>279</v>
      </c>
    </row>
    <row r="26" spans="1:17" ht="30">
      <c r="A26" s="82">
        <v>25</v>
      </c>
      <c r="B26" s="141">
        <v>4.4000000000000004</v>
      </c>
      <c r="C26" s="82" t="s">
        <v>233</v>
      </c>
      <c r="D26" s="113" t="s">
        <v>136</v>
      </c>
      <c r="E26" s="82">
        <v>9</v>
      </c>
      <c r="F26" s="82" t="s">
        <v>19</v>
      </c>
      <c r="G26" s="82"/>
      <c r="H26" s="82"/>
      <c r="I26" s="82"/>
      <c r="J26" s="82"/>
      <c r="K26" s="82"/>
      <c r="L26" s="84" t="s">
        <v>278</v>
      </c>
      <c r="M26" s="107" t="s">
        <v>235</v>
      </c>
      <c r="N26" s="108">
        <v>40106</v>
      </c>
      <c r="O26" s="107" t="s">
        <v>327</v>
      </c>
      <c r="P26" s="107" t="s">
        <v>182</v>
      </c>
      <c r="Q26" s="7" t="s">
        <v>279</v>
      </c>
    </row>
    <row r="27" spans="1:17" ht="45">
      <c r="A27" s="82">
        <v>26</v>
      </c>
      <c r="B27" s="141">
        <v>4.4000000000000004</v>
      </c>
      <c r="C27" s="82" t="s">
        <v>233</v>
      </c>
      <c r="D27" s="113" t="s">
        <v>136</v>
      </c>
      <c r="E27" s="82">
        <v>10</v>
      </c>
      <c r="F27" s="82" t="s">
        <v>2</v>
      </c>
      <c r="G27" s="82"/>
      <c r="H27" s="82"/>
      <c r="I27" s="82"/>
      <c r="J27" s="82"/>
      <c r="K27" s="82"/>
      <c r="L27" s="84" t="s">
        <v>280</v>
      </c>
      <c r="M27" s="107" t="s">
        <v>235</v>
      </c>
      <c r="N27" s="108">
        <v>40106</v>
      </c>
      <c r="O27" s="107" t="s">
        <v>327</v>
      </c>
      <c r="P27" s="107" t="s">
        <v>182</v>
      </c>
      <c r="Q27" s="7" t="s">
        <v>281</v>
      </c>
    </row>
    <row r="28" spans="1:17" ht="45">
      <c r="A28" s="82">
        <v>27</v>
      </c>
      <c r="B28" s="142">
        <v>4.4000000000000004</v>
      </c>
      <c r="C28" s="82" t="s">
        <v>233</v>
      </c>
      <c r="D28" s="113" t="s">
        <v>136</v>
      </c>
      <c r="E28" s="82">
        <v>11</v>
      </c>
      <c r="F28" s="82"/>
      <c r="G28" s="82"/>
      <c r="H28" s="82"/>
      <c r="I28" s="82" t="s">
        <v>19</v>
      </c>
      <c r="J28" s="82"/>
      <c r="K28" s="82"/>
      <c r="L28" s="84" t="s">
        <v>282</v>
      </c>
      <c r="M28" s="107" t="s">
        <v>235</v>
      </c>
      <c r="N28" s="108">
        <v>40106</v>
      </c>
      <c r="O28" s="107" t="s">
        <v>327</v>
      </c>
      <c r="P28" s="107" t="s">
        <v>182</v>
      </c>
      <c r="Q28" s="7" t="s">
        <v>277</v>
      </c>
    </row>
    <row r="29" spans="1:17" ht="165">
      <c r="A29" s="82">
        <v>28</v>
      </c>
      <c r="B29" s="143">
        <v>4.4000000000000004</v>
      </c>
      <c r="C29" s="82" t="s">
        <v>233</v>
      </c>
      <c r="D29" s="127" t="s">
        <v>136</v>
      </c>
      <c r="E29" s="90">
        <v>12</v>
      </c>
      <c r="F29" s="90"/>
      <c r="G29" s="90" t="s">
        <v>217</v>
      </c>
      <c r="H29" s="90"/>
      <c r="I29" s="90"/>
      <c r="J29" s="90"/>
      <c r="K29" s="90"/>
      <c r="L29" s="84" t="s">
        <v>283</v>
      </c>
      <c r="M29" s="128" t="s">
        <v>235</v>
      </c>
      <c r="N29" s="130">
        <v>40106</v>
      </c>
      <c r="O29" s="90" t="s">
        <v>369</v>
      </c>
      <c r="P29" s="90" t="s">
        <v>317</v>
      </c>
      <c r="Q29" s="119" t="s">
        <v>284</v>
      </c>
    </row>
    <row r="30" spans="1:17" ht="30">
      <c r="A30" s="82">
        <v>29</v>
      </c>
      <c r="B30" s="98">
        <v>2.6</v>
      </c>
      <c r="C30" s="60" t="s">
        <v>50</v>
      </c>
      <c r="D30" s="154" t="s">
        <v>70</v>
      </c>
      <c r="E30" s="99">
        <v>3</v>
      </c>
      <c r="F30" s="100" t="s">
        <v>17</v>
      </c>
      <c r="G30" s="100"/>
      <c r="H30" s="100"/>
      <c r="I30" s="100"/>
      <c r="J30" s="101"/>
      <c r="K30" s="101"/>
      <c r="L30" s="102" t="s">
        <v>286</v>
      </c>
      <c r="M30" s="59" t="s">
        <v>235</v>
      </c>
      <c r="N30" s="109">
        <v>40106</v>
      </c>
      <c r="O30" s="60" t="s">
        <v>327</v>
      </c>
      <c r="P30" s="59" t="s">
        <v>182</v>
      </c>
      <c r="Q30" s="100" t="s">
        <v>287</v>
      </c>
    </row>
    <row r="31" spans="1:17" ht="45">
      <c r="A31" s="82">
        <v>30</v>
      </c>
      <c r="B31" s="144">
        <v>2.6</v>
      </c>
      <c r="C31" s="60" t="s">
        <v>50</v>
      </c>
      <c r="D31" s="154" t="s">
        <v>70</v>
      </c>
      <c r="E31" s="99" t="s">
        <v>288</v>
      </c>
      <c r="F31" s="100" t="s">
        <v>17</v>
      </c>
      <c r="G31" s="100"/>
      <c r="H31" s="100"/>
      <c r="I31" s="100"/>
      <c r="J31" s="101"/>
      <c r="K31" s="101"/>
      <c r="L31" s="102" t="s">
        <v>289</v>
      </c>
      <c r="M31" s="59" t="s">
        <v>235</v>
      </c>
      <c r="N31" s="109">
        <v>40106</v>
      </c>
      <c r="O31" s="59" t="s">
        <v>327</v>
      </c>
      <c r="P31" s="59" t="s">
        <v>182</v>
      </c>
      <c r="Q31" s="139" t="s">
        <v>384</v>
      </c>
    </row>
    <row r="32" spans="1:17" ht="90">
      <c r="A32" s="82">
        <v>31</v>
      </c>
      <c r="B32" s="144">
        <v>2.6</v>
      </c>
      <c r="C32" s="60" t="s">
        <v>50</v>
      </c>
      <c r="D32" s="154" t="s">
        <v>70</v>
      </c>
      <c r="E32" s="99" t="s">
        <v>290</v>
      </c>
      <c r="F32" s="100" t="s">
        <v>17</v>
      </c>
      <c r="G32" s="100"/>
      <c r="H32" s="100"/>
      <c r="I32" s="100"/>
      <c r="J32" s="101"/>
      <c r="K32" s="101"/>
      <c r="L32" s="102" t="s">
        <v>291</v>
      </c>
      <c r="M32" s="59" t="s">
        <v>235</v>
      </c>
      <c r="N32" s="109">
        <v>40106</v>
      </c>
      <c r="O32" s="59" t="s">
        <v>327</v>
      </c>
      <c r="P32" s="59" t="s">
        <v>182</v>
      </c>
      <c r="Q32" s="139" t="s">
        <v>384</v>
      </c>
    </row>
    <row r="33" spans="1:17" ht="45">
      <c r="A33" s="82">
        <v>32</v>
      </c>
      <c r="B33" s="144">
        <v>2.6</v>
      </c>
      <c r="C33" s="60" t="s">
        <v>50</v>
      </c>
      <c r="D33" s="154" t="s">
        <v>70</v>
      </c>
      <c r="E33" s="99" t="s">
        <v>292</v>
      </c>
      <c r="F33" s="100" t="s">
        <v>17</v>
      </c>
      <c r="G33" s="100"/>
      <c r="H33" s="100"/>
      <c r="I33" s="100"/>
      <c r="J33" s="101"/>
      <c r="K33" s="101"/>
      <c r="L33" s="100" t="s">
        <v>293</v>
      </c>
      <c r="M33" s="59" t="s">
        <v>235</v>
      </c>
      <c r="N33" s="109">
        <v>40106</v>
      </c>
      <c r="O33" s="59" t="s">
        <v>327</v>
      </c>
      <c r="P33" s="59" t="s">
        <v>182</v>
      </c>
      <c r="Q33" s="139" t="s">
        <v>384</v>
      </c>
    </row>
    <row r="34" spans="1:17" ht="120">
      <c r="A34" s="82">
        <v>33</v>
      </c>
      <c r="B34" s="59">
        <v>2.6</v>
      </c>
      <c r="C34" s="60" t="s">
        <v>50</v>
      </c>
      <c r="D34" s="154" t="s">
        <v>70</v>
      </c>
      <c r="E34" s="99" t="s">
        <v>294</v>
      </c>
      <c r="F34" s="100" t="s">
        <v>17</v>
      </c>
      <c r="G34" s="100"/>
      <c r="H34" s="100"/>
      <c r="I34" s="100"/>
      <c r="J34" s="101"/>
      <c r="K34" s="101"/>
      <c r="L34" s="102" t="s">
        <v>295</v>
      </c>
      <c r="M34" s="59" t="s">
        <v>235</v>
      </c>
      <c r="N34" s="109">
        <v>40106</v>
      </c>
      <c r="O34" s="59" t="s">
        <v>327</v>
      </c>
      <c r="P34" s="59" t="s">
        <v>182</v>
      </c>
      <c r="Q34" s="100" t="s">
        <v>296</v>
      </c>
    </row>
    <row r="35" spans="1:17" ht="30">
      <c r="A35" s="82">
        <v>34</v>
      </c>
      <c r="B35" s="59">
        <v>2.6</v>
      </c>
      <c r="C35" s="60" t="s">
        <v>50</v>
      </c>
      <c r="D35" s="154" t="s">
        <v>70</v>
      </c>
      <c r="E35" s="99" t="s">
        <v>297</v>
      </c>
      <c r="F35" s="100" t="s">
        <v>17</v>
      </c>
      <c r="G35" s="100"/>
      <c r="H35" s="100"/>
      <c r="I35" s="100"/>
      <c r="J35" s="101"/>
      <c r="K35" s="101"/>
      <c r="L35" s="102" t="s">
        <v>298</v>
      </c>
      <c r="M35" s="59" t="s">
        <v>235</v>
      </c>
      <c r="N35" s="109">
        <v>40106</v>
      </c>
      <c r="O35" s="59" t="s">
        <v>327</v>
      </c>
      <c r="P35" s="59" t="s">
        <v>182</v>
      </c>
      <c r="Q35" s="100" t="s">
        <v>299</v>
      </c>
    </row>
    <row r="36" spans="1:17">
      <c r="A36" s="82">
        <v>35</v>
      </c>
      <c r="B36" s="59">
        <v>2.6</v>
      </c>
      <c r="C36" s="60" t="s">
        <v>50</v>
      </c>
      <c r="D36" s="155" t="s">
        <v>76</v>
      </c>
      <c r="E36" s="103" t="s">
        <v>300</v>
      </c>
      <c r="F36" s="101"/>
      <c r="G36" s="101"/>
      <c r="H36" s="101"/>
      <c r="I36" s="101"/>
      <c r="J36" s="101"/>
      <c r="K36" s="101"/>
      <c r="L36" s="100" t="s">
        <v>301</v>
      </c>
      <c r="M36" s="59" t="s">
        <v>235</v>
      </c>
      <c r="N36" s="109">
        <v>40106</v>
      </c>
      <c r="O36" s="59" t="s">
        <v>327</v>
      </c>
      <c r="P36" s="59" t="s">
        <v>182</v>
      </c>
      <c r="Q36" s="100" t="s">
        <v>302</v>
      </c>
    </row>
    <row r="37" spans="1:17" ht="90">
      <c r="A37" s="82">
        <v>36</v>
      </c>
      <c r="B37" s="59">
        <v>2.6</v>
      </c>
      <c r="C37" s="60" t="s">
        <v>50</v>
      </c>
      <c r="D37" s="63" t="s">
        <v>78</v>
      </c>
      <c r="E37" s="104">
        <v>1</v>
      </c>
      <c r="F37" s="59"/>
      <c r="G37" s="59"/>
      <c r="H37" s="59"/>
      <c r="I37" s="59"/>
      <c r="J37" s="59"/>
      <c r="K37" s="60" t="s">
        <v>19</v>
      </c>
      <c r="L37" s="62" t="s">
        <v>303</v>
      </c>
      <c r="M37" s="59" t="s">
        <v>235</v>
      </c>
      <c r="N37" s="109">
        <v>40106</v>
      </c>
      <c r="O37" s="110" t="s">
        <v>327</v>
      </c>
      <c r="P37" s="59" t="s">
        <v>182</v>
      </c>
      <c r="Q37" s="100" t="s">
        <v>304</v>
      </c>
    </row>
    <row r="38" spans="1:17" ht="90">
      <c r="A38" s="82">
        <v>37</v>
      </c>
      <c r="B38" s="59">
        <v>2.6</v>
      </c>
      <c r="C38" s="60" t="s">
        <v>50</v>
      </c>
      <c r="D38" s="63" t="s">
        <v>78</v>
      </c>
      <c r="E38" s="104">
        <v>3</v>
      </c>
      <c r="F38" s="60" t="s">
        <v>17</v>
      </c>
      <c r="G38" s="59"/>
      <c r="H38" s="59"/>
      <c r="I38" s="59"/>
      <c r="J38" s="59"/>
      <c r="K38" s="59"/>
      <c r="L38" s="62" t="s">
        <v>305</v>
      </c>
      <c r="M38" s="59" t="s">
        <v>235</v>
      </c>
      <c r="N38" s="109">
        <v>40106</v>
      </c>
      <c r="O38" s="59" t="s">
        <v>327</v>
      </c>
      <c r="P38" s="59" t="s">
        <v>182</v>
      </c>
      <c r="Q38" s="100" t="s">
        <v>306</v>
      </c>
    </row>
    <row r="39" spans="1:17" ht="45">
      <c r="A39" s="82">
        <v>38</v>
      </c>
      <c r="B39" s="59">
        <v>2.6</v>
      </c>
      <c r="C39" s="60" t="s">
        <v>50</v>
      </c>
      <c r="D39" s="63" t="s">
        <v>78</v>
      </c>
      <c r="E39" s="104">
        <v>4</v>
      </c>
      <c r="F39" s="60" t="s">
        <v>17</v>
      </c>
      <c r="G39" s="59"/>
      <c r="H39" s="59"/>
      <c r="I39" s="59"/>
      <c r="J39" s="59"/>
      <c r="K39" s="59"/>
      <c r="L39" s="62" t="s">
        <v>307</v>
      </c>
      <c r="M39" s="59" t="s">
        <v>235</v>
      </c>
      <c r="N39" s="109">
        <v>40106</v>
      </c>
      <c r="O39" s="111" t="s">
        <v>327</v>
      </c>
      <c r="P39" s="59" t="s">
        <v>182</v>
      </c>
      <c r="Q39" s="100" t="s">
        <v>308</v>
      </c>
    </row>
    <row r="40" spans="1:17" s="167" customFormat="1" ht="135">
      <c r="A40" s="157">
        <v>39</v>
      </c>
      <c r="B40" s="158">
        <v>2.6</v>
      </c>
      <c r="C40" s="159" t="s">
        <v>50</v>
      </c>
      <c r="D40" s="160" t="s">
        <v>78</v>
      </c>
      <c r="E40" s="161" t="s">
        <v>309</v>
      </c>
      <c r="F40" s="162"/>
      <c r="G40" s="163" t="s">
        <v>19</v>
      </c>
      <c r="H40" s="162"/>
      <c r="I40" s="162"/>
      <c r="J40" s="162"/>
      <c r="K40" s="162"/>
      <c r="L40" s="164" t="s">
        <v>310</v>
      </c>
      <c r="M40" s="162" t="s">
        <v>235</v>
      </c>
      <c r="N40" s="165">
        <v>40106</v>
      </c>
      <c r="O40" s="163" t="s">
        <v>370</v>
      </c>
      <c r="P40" s="166" t="s">
        <v>311</v>
      </c>
      <c r="Q40" s="166" t="s">
        <v>311</v>
      </c>
    </row>
    <row r="41" spans="1:17" ht="90">
      <c r="A41" s="82">
        <v>40</v>
      </c>
      <c r="B41" s="59">
        <v>2.6</v>
      </c>
      <c r="C41" s="60" t="s">
        <v>50</v>
      </c>
      <c r="D41" s="114" t="s">
        <v>78</v>
      </c>
      <c r="E41" s="105" t="s">
        <v>300</v>
      </c>
      <c r="F41" s="60"/>
      <c r="G41" s="59"/>
      <c r="H41" s="59"/>
      <c r="I41" s="59"/>
      <c r="J41" s="59"/>
      <c r="K41" s="60" t="s">
        <v>19</v>
      </c>
      <c r="L41" s="62" t="s">
        <v>312</v>
      </c>
      <c r="M41" s="59" t="s">
        <v>235</v>
      </c>
      <c r="N41" s="109">
        <v>40106</v>
      </c>
      <c r="O41" s="110" t="s">
        <v>327</v>
      </c>
      <c r="P41" s="59" t="s">
        <v>182</v>
      </c>
      <c r="Q41" s="100" t="s">
        <v>313</v>
      </c>
    </row>
    <row r="42" spans="1:17" ht="60">
      <c r="A42" s="82">
        <v>41</v>
      </c>
      <c r="B42" s="59">
        <v>2.6</v>
      </c>
      <c r="C42" s="60" t="s">
        <v>50</v>
      </c>
      <c r="D42" s="115" t="s">
        <v>80</v>
      </c>
      <c r="E42" s="104">
        <v>1</v>
      </c>
      <c r="F42" s="59"/>
      <c r="G42" s="59"/>
      <c r="H42" s="59"/>
      <c r="I42" s="59"/>
      <c r="J42" s="59"/>
      <c r="K42" s="60" t="s">
        <v>19</v>
      </c>
      <c r="L42" s="62" t="s">
        <v>303</v>
      </c>
      <c r="M42" s="59" t="s">
        <v>235</v>
      </c>
      <c r="N42" s="109">
        <v>40106</v>
      </c>
      <c r="O42" s="110" t="s">
        <v>327</v>
      </c>
      <c r="P42" s="59" t="s">
        <v>182</v>
      </c>
      <c r="Q42" s="100" t="s">
        <v>314</v>
      </c>
    </row>
    <row r="43" spans="1:17" ht="90">
      <c r="A43" s="82">
        <v>42</v>
      </c>
      <c r="B43" s="59">
        <v>2.6</v>
      </c>
      <c r="C43" s="60" t="s">
        <v>50</v>
      </c>
      <c r="D43" s="115" t="s">
        <v>80</v>
      </c>
      <c r="E43" s="104">
        <v>3</v>
      </c>
      <c r="F43" s="60" t="s">
        <v>17</v>
      </c>
      <c r="G43" s="59"/>
      <c r="H43" s="59"/>
      <c r="I43" s="59"/>
      <c r="J43" s="59"/>
      <c r="K43" s="59"/>
      <c r="L43" s="62" t="s">
        <v>305</v>
      </c>
      <c r="M43" s="59" t="s">
        <v>235</v>
      </c>
      <c r="N43" s="109">
        <v>40106</v>
      </c>
      <c r="O43" s="110" t="s">
        <v>327</v>
      </c>
      <c r="P43" s="59" t="s">
        <v>182</v>
      </c>
      <c r="Q43" s="100" t="s">
        <v>306</v>
      </c>
    </row>
    <row r="44" spans="1:17" ht="45">
      <c r="A44" s="82">
        <v>43</v>
      </c>
      <c r="B44" s="59">
        <v>2.6</v>
      </c>
      <c r="C44" s="60" t="s">
        <v>50</v>
      </c>
      <c r="D44" s="115" t="s">
        <v>80</v>
      </c>
      <c r="E44" s="104">
        <v>4</v>
      </c>
      <c r="F44" s="60" t="s">
        <v>17</v>
      </c>
      <c r="G44" s="59"/>
      <c r="H44" s="59"/>
      <c r="I44" s="59"/>
      <c r="J44" s="59"/>
      <c r="K44" s="59"/>
      <c r="L44" s="62" t="s">
        <v>307</v>
      </c>
      <c r="M44" s="59" t="s">
        <v>235</v>
      </c>
      <c r="N44" s="109">
        <v>40106</v>
      </c>
      <c r="O44" s="110" t="s">
        <v>327</v>
      </c>
      <c r="P44" s="59" t="s">
        <v>182</v>
      </c>
      <c r="Q44" s="100" t="s">
        <v>315</v>
      </c>
    </row>
    <row r="45" spans="1:17" s="167" customFormat="1" ht="60">
      <c r="A45" s="157">
        <v>44</v>
      </c>
      <c r="B45" s="158">
        <v>2.6</v>
      </c>
      <c r="C45" s="159" t="s">
        <v>50</v>
      </c>
      <c r="D45" s="168" t="s">
        <v>80</v>
      </c>
      <c r="E45" s="161" t="s">
        <v>309</v>
      </c>
      <c r="F45" s="169"/>
      <c r="G45" s="169"/>
      <c r="H45" s="169"/>
      <c r="I45" s="169"/>
      <c r="J45" s="169"/>
      <c r="K45" s="169"/>
      <c r="L45" s="164" t="s">
        <v>316</v>
      </c>
      <c r="M45" s="169" t="s">
        <v>235</v>
      </c>
      <c r="N45" s="170">
        <v>40106</v>
      </c>
      <c r="O45" s="159" t="s">
        <v>370</v>
      </c>
      <c r="P45" s="169" t="s">
        <v>317</v>
      </c>
      <c r="Q45" s="171" t="s">
        <v>311</v>
      </c>
    </row>
    <row r="46" spans="1:17" ht="90">
      <c r="A46" s="82">
        <v>45</v>
      </c>
      <c r="B46" s="59">
        <v>2.6</v>
      </c>
      <c r="C46" s="60" t="s">
        <v>50</v>
      </c>
      <c r="D46" s="115" t="s">
        <v>80</v>
      </c>
      <c r="E46" s="105" t="s">
        <v>300</v>
      </c>
      <c r="F46" s="59"/>
      <c r="G46" s="59"/>
      <c r="H46" s="59"/>
      <c r="I46" s="59"/>
      <c r="J46" s="59"/>
      <c r="K46" s="60" t="s">
        <v>19</v>
      </c>
      <c r="L46" s="62" t="s">
        <v>312</v>
      </c>
      <c r="M46" s="59" t="s">
        <v>235</v>
      </c>
      <c r="N46" s="109">
        <v>40106</v>
      </c>
      <c r="O46" s="110" t="s">
        <v>327</v>
      </c>
      <c r="P46" s="59" t="s">
        <v>182</v>
      </c>
      <c r="Q46" s="100" t="s">
        <v>313</v>
      </c>
    </row>
    <row r="47" spans="1:17" ht="60">
      <c r="A47" s="82">
        <v>46</v>
      </c>
      <c r="B47" s="59">
        <v>2.6</v>
      </c>
      <c r="C47" s="60" t="s">
        <v>50</v>
      </c>
      <c r="D47" s="116" t="s">
        <v>83</v>
      </c>
      <c r="E47" s="104">
        <v>1</v>
      </c>
      <c r="F47" s="59"/>
      <c r="G47" s="59"/>
      <c r="H47" s="59"/>
      <c r="I47" s="59"/>
      <c r="J47" s="59"/>
      <c r="K47" s="60" t="s">
        <v>19</v>
      </c>
      <c r="L47" s="62" t="s">
        <v>303</v>
      </c>
      <c r="M47" s="59" t="s">
        <v>235</v>
      </c>
      <c r="N47" s="109">
        <v>40106</v>
      </c>
      <c r="O47" s="59" t="s">
        <v>327</v>
      </c>
      <c r="P47" s="59" t="s">
        <v>182</v>
      </c>
      <c r="Q47" s="100" t="s">
        <v>299</v>
      </c>
    </row>
    <row r="48" spans="1:17" ht="30">
      <c r="A48" s="82">
        <v>47</v>
      </c>
      <c r="B48" s="59">
        <v>2.6</v>
      </c>
      <c r="C48" s="60" t="s">
        <v>50</v>
      </c>
      <c r="D48" s="116" t="s">
        <v>83</v>
      </c>
      <c r="E48" s="104">
        <v>2</v>
      </c>
      <c r="F48" s="59"/>
      <c r="G48" s="59"/>
      <c r="H48" s="59"/>
      <c r="I48" s="60" t="s">
        <v>19</v>
      </c>
      <c r="J48" s="59"/>
      <c r="K48" s="59"/>
      <c r="L48" s="62" t="s">
        <v>318</v>
      </c>
      <c r="M48" s="59" t="s">
        <v>235</v>
      </c>
      <c r="N48" s="109">
        <v>40106</v>
      </c>
      <c r="O48" s="59" t="s">
        <v>327</v>
      </c>
      <c r="P48" s="59" t="s">
        <v>182</v>
      </c>
      <c r="Q48" s="100" t="s">
        <v>319</v>
      </c>
    </row>
    <row r="49" spans="1:17" ht="30">
      <c r="A49" s="82">
        <v>48</v>
      </c>
      <c r="B49" s="59">
        <v>2.6</v>
      </c>
      <c r="C49" s="60" t="s">
        <v>50</v>
      </c>
      <c r="D49" s="115" t="s">
        <v>83</v>
      </c>
      <c r="E49" s="104" t="s">
        <v>320</v>
      </c>
      <c r="F49" s="106"/>
      <c r="G49" s="59"/>
      <c r="H49" s="60" t="s">
        <v>17</v>
      </c>
      <c r="I49" s="59"/>
      <c r="J49" s="59"/>
      <c r="K49" s="59"/>
      <c r="L49" s="62" t="s">
        <v>305</v>
      </c>
      <c r="M49" s="59" t="s">
        <v>235</v>
      </c>
      <c r="N49" s="109">
        <v>40106</v>
      </c>
      <c r="O49" s="59" t="s">
        <v>327</v>
      </c>
      <c r="P49" s="59" t="s">
        <v>182</v>
      </c>
      <c r="Q49" s="60" t="s">
        <v>321</v>
      </c>
    </row>
    <row r="50" spans="1:17" ht="45">
      <c r="A50" s="82">
        <v>49</v>
      </c>
      <c r="B50" s="59">
        <v>2.6</v>
      </c>
      <c r="C50" s="60" t="s">
        <v>50</v>
      </c>
      <c r="D50" s="115" t="s">
        <v>83</v>
      </c>
      <c r="E50" s="104" t="s">
        <v>322</v>
      </c>
      <c r="F50" s="106"/>
      <c r="G50" s="59"/>
      <c r="H50" s="60" t="s">
        <v>17</v>
      </c>
      <c r="I50" s="59"/>
      <c r="J50" s="59"/>
      <c r="K50" s="59"/>
      <c r="L50" s="62" t="s">
        <v>307</v>
      </c>
      <c r="M50" s="59" t="s">
        <v>235</v>
      </c>
      <c r="N50" s="109">
        <v>40106</v>
      </c>
      <c r="O50" s="59" t="s">
        <v>327</v>
      </c>
      <c r="P50" s="59" t="s">
        <v>182</v>
      </c>
      <c r="Q50" s="60" t="s">
        <v>323</v>
      </c>
    </row>
    <row r="51" spans="1:17" s="167" customFormat="1" ht="60">
      <c r="A51" s="157">
        <v>50</v>
      </c>
      <c r="B51" s="158">
        <v>2.6</v>
      </c>
      <c r="C51" s="159" t="s">
        <v>50</v>
      </c>
      <c r="D51" s="168" t="s">
        <v>83</v>
      </c>
      <c r="E51" s="161" t="s">
        <v>324</v>
      </c>
      <c r="F51" s="172"/>
      <c r="G51" s="169"/>
      <c r="H51" s="159" t="s">
        <v>17</v>
      </c>
      <c r="I51" s="169"/>
      <c r="J51" s="169"/>
      <c r="K51" s="169"/>
      <c r="L51" s="164" t="s">
        <v>325</v>
      </c>
      <c r="M51" s="169" t="s">
        <v>235</v>
      </c>
      <c r="N51" s="170">
        <v>40106</v>
      </c>
      <c r="O51" s="159" t="s">
        <v>370</v>
      </c>
      <c r="P51" s="171" t="s">
        <v>311</v>
      </c>
      <c r="Q51" s="159" t="s">
        <v>311</v>
      </c>
    </row>
    <row r="52" spans="1:17" ht="90">
      <c r="A52" s="82">
        <v>51</v>
      </c>
      <c r="B52" s="59">
        <v>2.6</v>
      </c>
      <c r="C52" s="60" t="s">
        <v>50</v>
      </c>
      <c r="D52" s="116" t="s">
        <v>83</v>
      </c>
      <c r="E52" s="105" t="s">
        <v>300</v>
      </c>
      <c r="F52" s="59"/>
      <c r="G52" s="59"/>
      <c r="H52" s="59"/>
      <c r="I52" s="59"/>
      <c r="J52" s="59"/>
      <c r="K52" s="60" t="s">
        <v>19</v>
      </c>
      <c r="L52" s="62" t="s">
        <v>312</v>
      </c>
      <c r="M52" s="59" t="s">
        <v>235</v>
      </c>
      <c r="N52" s="109">
        <v>40106</v>
      </c>
      <c r="O52" s="59" t="s">
        <v>327</v>
      </c>
      <c r="P52" s="59" t="s">
        <v>182</v>
      </c>
      <c r="Q52" s="100" t="s">
        <v>326</v>
      </c>
    </row>
    <row r="53" spans="1:17" s="120" customFormat="1" ht="30">
      <c r="A53" s="82">
        <v>52</v>
      </c>
      <c r="B53" s="128">
        <v>2.7</v>
      </c>
      <c r="C53" s="126" t="s">
        <v>331</v>
      </c>
      <c r="D53" s="122" t="s">
        <v>39</v>
      </c>
      <c r="E53" s="90">
        <v>5</v>
      </c>
      <c r="F53" s="90" t="s">
        <v>19</v>
      </c>
      <c r="G53" s="90"/>
      <c r="H53" s="90"/>
      <c r="I53" s="90"/>
      <c r="J53" s="90"/>
      <c r="K53" s="90"/>
      <c r="L53" s="117" t="s">
        <v>332</v>
      </c>
      <c r="M53" s="59" t="s">
        <v>235</v>
      </c>
      <c r="N53" s="125">
        <v>40107</v>
      </c>
      <c r="O53" s="94" t="s">
        <v>327</v>
      </c>
      <c r="P53" s="134" t="s">
        <v>182</v>
      </c>
      <c r="Q53" s="137" t="s">
        <v>382</v>
      </c>
    </row>
    <row r="54" spans="1:17" ht="31.5">
      <c r="A54" s="82">
        <v>53</v>
      </c>
      <c r="B54" s="128">
        <v>2.7</v>
      </c>
      <c r="C54" s="126" t="s">
        <v>331</v>
      </c>
      <c r="D54" s="123" t="s">
        <v>42</v>
      </c>
      <c r="E54" s="87">
        <v>2</v>
      </c>
      <c r="F54" s="87" t="s">
        <v>19</v>
      </c>
      <c r="G54" s="87"/>
      <c r="H54" s="87"/>
      <c r="I54" s="87"/>
      <c r="J54" s="87"/>
      <c r="K54" s="87"/>
      <c r="L54" s="121" t="s">
        <v>333</v>
      </c>
      <c r="M54" s="59" t="s">
        <v>235</v>
      </c>
      <c r="N54" s="125">
        <v>40107</v>
      </c>
      <c r="O54" s="94" t="s">
        <v>327</v>
      </c>
      <c r="P54" s="135" t="s">
        <v>182</v>
      </c>
      <c r="Q54" s="137" t="s">
        <v>382</v>
      </c>
    </row>
    <row r="55" spans="1:17" ht="94.5">
      <c r="A55" s="82">
        <v>54</v>
      </c>
      <c r="B55" s="143"/>
      <c r="C55" s="126" t="s">
        <v>331</v>
      </c>
      <c r="D55" s="123" t="s">
        <v>42</v>
      </c>
      <c r="E55" s="87">
        <v>4</v>
      </c>
      <c r="F55" s="87"/>
      <c r="G55" s="87"/>
      <c r="H55" s="87"/>
      <c r="I55" s="87"/>
      <c r="J55" s="87"/>
      <c r="K55" s="87"/>
      <c r="L55" s="121" t="s">
        <v>336</v>
      </c>
      <c r="M55" s="59" t="s">
        <v>235</v>
      </c>
      <c r="N55" s="125">
        <v>40107</v>
      </c>
      <c r="O55" s="94" t="s">
        <v>327</v>
      </c>
      <c r="P55" s="135" t="s">
        <v>317</v>
      </c>
      <c r="Q55" s="138" t="s">
        <v>385</v>
      </c>
    </row>
    <row r="56" spans="1:17" ht="47.25">
      <c r="A56" s="82">
        <v>55</v>
      </c>
      <c r="B56" s="128">
        <v>2.7</v>
      </c>
      <c r="C56" s="126" t="s">
        <v>331</v>
      </c>
      <c r="D56" s="123" t="s">
        <v>42</v>
      </c>
      <c r="E56" s="87">
        <v>7</v>
      </c>
      <c r="F56" s="87"/>
      <c r="G56" s="87"/>
      <c r="H56" s="87"/>
      <c r="I56" s="87"/>
      <c r="J56" s="87"/>
      <c r="K56" s="87"/>
      <c r="L56" s="121" t="s">
        <v>334</v>
      </c>
      <c r="M56" s="59" t="s">
        <v>235</v>
      </c>
      <c r="N56" s="125">
        <v>40107</v>
      </c>
      <c r="O56" s="94" t="s">
        <v>327</v>
      </c>
      <c r="P56" s="135" t="s">
        <v>182</v>
      </c>
      <c r="Q56" s="137" t="s">
        <v>386</v>
      </c>
    </row>
    <row r="57" spans="1:17" ht="63">
      <c r="A57" s="82">
        <v>56</v>
      </c>
      <c r="B57" s="128">
        <v>2.7</v>
      </c>
      <c r="C57" s="126" t="s">
        <v>331</v>
      </c>
      <c r="D57" s="123" t="s">
        <v>42</v>
      </c>
      <c r="E57" s="87">
        <v>12</v>
      </c>
      <c r="F57" s="87" t="s">
        <v>19</v>
      </c>
      <c r="G57" s="87"/>
      <c r="H57" s="87"/>
      <c r="I57" s="87"/>
      <c r="J57" s="87"/>
      <c r="K57" s="87"/>
      <c r="L57" s="121" t="s">
        <v>335</v>
      </c>
      <c r="M57" s="59" t="s">
        <v>235</v>
      </c>
      <c r="N57" s="125">
        <v>40107</v>
      </c>
      <c r="O57" s="94" t="s">
        <v>327</v>
      </c>
      <c r="P57" s="135" t="s">
        <v>182</v>
      </c>
      <c r="Q57" s="137" t="s">
        <v>386</v>
      </c>
    </row>
    <row r="58" spans="1:17" ht="60">
      <c r="A58" s="82">
        <v>57</v>
      </c>
      <c r="B58" s="143"/>
      <c r="C58" s="126" t="s">
        <v>331</v>
      </c>
      <c r="D58" s="123" t="s">
        <v>119</v>
      </c>
      <c r="E58" s="87" t="s">
        <v>300</v>
      </c>
      <c r="F58" s="87" t="s">
        <v>17</v>
      </c>
      <c r="G58" s="87"/>
      <c r="H58" s="87"/>
      <c r="I58" s="87"/>
      <c r="J58" s="87"/>
      <c r="K58" s="87"/>
      <c r="L58" s="52" t="s">
        <v>337</v>
      </c>
      <c r="M58" s="59" t="s">
        <v>235</v>
      </c>
      <c r="N58" s="125">
        <v>40107</v>
      </c>
      <c r="O58" s="94" t="s">
        <v>327</v>
      </c>
      <c r="P58" s="135" t="s">
        <v>328</v>
      </c>
      <c r="Q58" s="138" t="s">
        <v>182</v>
      </c>
    </row>
    <row r="59" spans="1:17" s="175" customFormat="1" ht="46.5" customHeight="1">
      <c r="A59" s="60">
        <v>58</v>
      </c>
      <c r="B59" s="173"/>
      <c r="C59" s="74" t="s">
        <v>331</v>
      </c>
      <c r="D59" s="174" t="s">
        <v>119</v>
      </c>
      <c r="E59" s="60">
        <v>1</v>
      </c>
      <c r="F59" s="60"/>
      <c r="G59" s="60"/>
      <c r="H59" s="60" t="s">
        <v>19</v>
      </c>
      <c r="I59" s="60"/>
      <c r="J59" s="60"/>
      <c r="K59" s="60"/>
      <c r="L59" s="62" t="s">
        <v>338</v>
      </c>
      <c r="M59" s="59" t="s">
        <v>235</v>
      </c>
      <c r="N59" s="58">
        <v>40107</v>
      </c>
      <c r="O59" s="72" t="s">
        <v>327</v>
      </c>
      <c r="P59" s="62" t="s">
        <v>317</v>
      </c>
      <c r="Q59" s="62" t="s">
        <v>387</v>
      </c>
    </row>
    <row r="60" spans="1:17" ht="60">
      <c r="A60" s="82">
        <v>59</v>
      </c>
      <c r="B60" s="143"/>
      <c r="C60" s="126" t="s">
        <v>331</v>
      </c>
      <c r="D60" s="123" t="s">
        <v>119</v>
      </c>
      <c r="E60" s="87">
        <v>2</v>
      </c>
      <c r="F60" s="87" t="s">
        <v>19</v>
      </c>
      <c r="G60" s="87"/>
      <c r="H60" s="87"/>
      <c r="I60" s="87"/>
      <c r="J60" s="87"/>
      <c r="K60" s="87"/>
      <c r="L60" s="52" t="s">
        <v>339</v>
      </c>
      <c r="M60" s="59" t="s">
        <v>235</v>
      </c>
      <c r="N60" s="125">
        <v>40107</v>
      </c>
      <c r="O60" s="118" t="s">
        <v>248</v>
      </c>
      <c r="P60" s="135" t="s">
        <v>328</v>
      </c>
      <c r="Q60" s="137" t="s">
        <v>388</v>
      </c>
    </row>
    <row r="61" spans="1:17" ht="30">
      <c r="A61" s="82">
        <v>60</v>
      </c>
      <c r="B61" s="143"/>
      <c r="C61" s="126" t="s">
        <v>331</v>
      </c>
      <c r="D61" s="122" t="s">
        <v>119</v>
      </c>
      <c r="E61" s="90">
        <v>3</v>
      </c>
      <c r="F61" s="90"/>
      <c r="G61" s="90" t="s">
        <v>19</v>
      </c>
      <c r="H61" s="90"/>
      <c r="I61" s="90"/>
      <c r="J61" s="90"/>
      <c r="K61" s="90"/>
      <c r="L61" s="52" t="s">
        <v>340</v>
      </c>
      <c r="M61" s="128" t="s">
        <v>235</v>
      </c>
      <c r="N61" s="125">
        <v>40107</v>
      </c>
      <c r="O61" s="94" t="s">
        <v>327</v>
      </c>
      <c r="P61" s="135" t="s">
        <v>317</v>
      </c>
      <c r="Q61" s="119" t="s">
        <v>317</v>
      </c>
    </row>
    <row r="62" spans="1:17" ht="30">
      <c r="A62" s="82">
        <v>61</v>
      </c>
      <c r="B62" s="128">
        <v>2.7</v>
      </c>
      <c r="C62" s="126" t="s">
        <v>331</v>
      </c>
      <c r="D62" s="123" t="s">
        <v>119</v>
      </c>
      <c r="E62" s="87">
        <v>4</v>
      </c>
      <c r="F62" s="87" t="s">
        <v>17</v>
      </c>
      <c r="G62" s="87"/>
      <c r="H62" s="87"/>
      <c r="I62" s="87"/>
      <c r="J62" s="87"/>
      <c r="K62" s="87"/>
      <c r="L62" s="52" t="s">
        <v>341</v>
      </c>
      <c r="M62" s="59" t="s">
        <v>235</v>
      </c>
      <c r="N62" s="125">
        <v>40107</v>
      </c>
      <c r="O62" s="94" t="s">
        <v>327</v>
      </c>
      <c r="P62" s="135" t="s">
        <v>182</v>
      </c>
      <c r="Q62" s="137" t="s">
        <v>367</v>
      </c>
    </row>
    <row r="63" spans="1:17" ht="30">
      <c r="A63" s="82">
        <v>62</v>
      </c>
      <c r="B63" s="128">
        <v>2.7</v>
      </c>
      <c r="C63" s="126" t="s">
        <v>331</v>
      </c>
      <c r="D63" s="123" t="s">
        <v>119</v>
      </c>
      <c r="E63" s="87">
        <v>5</v>
      </c>
      <c r="F63" s="87" t="s">
        <v>17</v>
      </c>
      <c r="G63" s="87"/>
      <c r="H63" s="87"/>
      <c r="I63" s="87"/>
      <c r="J63" s="87"/>
      <c r="K63" s="87"/>
      <c r="L63" s="52" t="s">
        <v>341</v>
      </c>
      <c r="M63" s="59" t="s">
        <v>235</v>
      </c>
      <c r="N63" s="125">
        <v>40107</v>
      </c>
      <c r="O63" s="94" t="s">
        <v>327</v>
      </c>
      <c r="P63" s="135" t="s">
        <v>182</v>
      </c>
      <c r="Q63" s="137" t="s">
        <v>367</v>
      </c>
    </row>
    <row r="64" spans="1:17" ht="30">
      <c r="A64" s="82">
        <v>63</v>
      </c>
      <c r="B64" s="128">
        <v>2.7</v>
      </c>
      <c r="C64" s="126" t="s">
        <v>331</v>
      </c>
      <c r="D64" s="123" t="s">
        <v>119</v>
      </c>
      <c r="E64" s="87">
        <v>7</v>
      </c>
      <c r="F64" s="87"/>
      <c r="G64" s="87"/>
      <c r="H64" s="87"/>
      <c r="I64" s="87"/>
      <c r="J64" s="87"/>
      <c r="K64" s="87" t="s">
        <v>19</v>
      </c>
      <c r="L64" s="52" t="s">
        <v>342</v>
      </c>
      <c r="M64" s="59" t="s">
        <v>235</v>
      </c>
      <c r="N64" s="125">
        <v>40107</v>
      </c>
      <c r="O64" s="94" t="s">
        <v>327</v>
      </c>
      <c r="P64" s="135" t="s">
        <v>182</v>
      </c>
      <c r="Q64" s="137" t="s">
        <v>382</v>
      </c>
    </row>
    <row r="65" spans="1:17" ht="30">
      <c r="A65" s="82">
        <v>64</v>
      </c>
      <c r="B65" s="128">
        <v>2.7</v>
      </c>
      <c r="C65" s="126" t="s">
        <v>331</v>
      </c>
      <c r="D65" s="123" t="s">
        <v>119</v>
      </c>
      <c r="E65" s="87">
        <v>9</v>
      </c>
      <c r="F65" s="87"/>
      <c r="G65" s="87"/>
      <c r="H65" s="87"/>
      <c r="I65" s="87"/>
      <c r="J65" s="87"/>
      <c r="K65" s="87" t="s">
        <v>19</v>
      </c>
      <c r="L65" s="52" t="s">
        <v>343</v>
      </c>
      <c r="M65" s="59" t="s">
        <v>235</v>
      </c>
      <c r="N65" s="125">
        <v>40107</v>
      </c>
      <c r="O65" s="94" t="s">
        <v>327</v>
      </c>
      <c r="P65" s="135" t="s">
        <v>182</v>
      </c>
      <c r="Q65" s="137" t="s">
        <v>182</v>
      </c>
    </row>
    <row r="66" spans="1:17" ht="30">
      <c r="A66" s="82">
        <v>65</v>
      </c>
      <c r="B66" s="128">
        <v>2.7</v>
      </c>
      <c r="C66" s="126" t="s">
        <v>331</v>
      </c>
      <c r="D66" s="123" t="s">
        <v>119</v>
      </c>
      <c r="E66" s="87">
        <v>10</v>
      </c>
      <c r="F66" s="87"/>
      <c r="G66" s="87"/>
      <c r="H66" s="87"/>
      <c r="I66" s="87"/>
      <c r="J66" s="87"/>
      <c r="K66" s="87" t="s">
        <v>19</v>
      </c>
      <c r="L66" s="52" t="s">
        <v>344</v>
      </c>
      <c r="M66" s="59" t="s">
        <v>235</v>
      </c>
      <c r="N66" s="125">
        <v>40107</v>
      </c>
      <c r="O66" s="94" t="s">
        <v>327</v>
      </c>
      <c r="P66" s="135" t="s">
        <v>182</v>
      </c>
      <c r="Q66" s="137" t="s">
        <v>345</v>
      </c>
    </row>
    <row r="67" spans="1:17" ht="30">
      <c r="A67" s="82">
        <v>66</v>
      </c>
      <c r="B67" s="128">
        <v>2.7</v>
      </c>
      <c r="C67" s="126" t="s">
        <v>331</v>
      </c>
      <c r="D67" s="123" t="s">
        <v>119</v>
      </c>
      <c r="E67" s="87">
        <v>11</v>
      </c>
      <c r="F67" s="87"/>
      <c r="G67" s="87"/>
      <c r="H67" s="87"/>
      <c r="I67" s="87"/>
      <c r="J67" s="87"/>
      <c r="K67" s="87" t="s">
        <v>19</v>
      </c>
      <c r="L67" s="52" t="s">
        <v>346</v>
      </c>
      <c r="M67" s="59" t="s">
        <v>235</v>
      </c>
      <c r="N67" s="125">
        <v>40107</v>
      </c>
      <c r="O67" s="94" t="s">
        <v>327</v>
      </c>
      <c r="P67" s="135" t="s">
        <v>182</v>
      </c>
      <c r="Q67" s="137" t="s">
        <v>347</v>
      </c>
    </row>
    <row r="68" spans="1:17" ht="45">
      <c r="A68" s="82">
        <v>67</v>
      </c>
      <c r="B68" s="128">
        <v>2.7</v>
      </c>
      <c r="C68" s="126" t="s">
        <v>331</v>
      </c>
      <c r="D68" s="123" t="s">
        <v>124</v>
      </c>
      <c r="E68" s="87" t="s">
        <v>300</v>
      </c>
      <c r="F68" s="87"/>
      <c r="G68" s="87"/>
      <c r="H68" s="87"/>
      <c r="I68" s="87"/>
      <c r="J68" s="87"/>
      <c r="K68" s="87"/>
      <c r="L68" s="7" t="s">
        <v>348</v>
      </c>
      <c r="M68" s="59" t="s">
        <v>235</v>
      </c>
      <c r="N68" s="125">
        <v>40107</v>
      </c>
      <c r="O68" s="94" t="s">
        <v>327</v>
      </c>
      <c r="P68" s="135" t="s">
        <v>182</v>
      </c>
      <c r="Q68" s="137" t="s">
        <v>182</v>
      </c>
    </row>
    <row r="69" spans="1:17" ht="30">
      <c r="A69" s="82">
        <v>68</v>
      </c>
      <c r="B69" s="128">
        <v>2.7</v>
      </c>
      <c r="C69" s="126" t="s">
        <v>331</v>
      </c>
      <c r="D69" s="123" t="s">
        <v>124</v>
      </c>
      <c r="E69" s="87">
        <v>3</v>
      </c>
      <c r="F69" s="87"/>
      <c r="G69" s="87"/>
      <c r="H69" s="87"/>
      <c r="I69" s="87"/>
      <c r="J69" s="87"/>
      <c r="K69" s="87" t="s">
        <v>19</v>
      </c>
      <c r="L69" s="7" t="s">
        <v>349</v>
      </c>
      <c r="M69" s="59" t="s">
        <v>235</v>
      </c>
      <c r="N69" s="125">
        <v>40107</v>
      </c>
      <c r="O69" s="94" t="s">
        <v>327</v>
      </c>
      <c r="P69" s="135" t="s">
        <v>182</v>
      </c>
      <c r="Q69" s="137" t="s">
        <v>182</v>
      </c>
    </row>
    <row r="70" spans="1:17" ht="30">
      <c r="A70" s="82">
        <v>69</v>
      </c>
      <c r="B70" s="128">
        <v>2.7</v>
      </c>
      <c r="C70" s="126" t="s">
        <v>331</v>
      </c>
      <c r="D70" s="123" t="s">
        <v>124</v>
      </c>
      <c r="E70" s="87">
        <v>5</v>
      </c>
      <c r="F70" s="87"/>
      <c r="G70" s="87" t="s">
        <v>19</v>
      </c>
      <c r="H70" s="87"/>
      <c r="I70" s="87"/>
      <c r="J70" s="87"/>
      <c r="K70" s="87"/>
      <c r="L70" s="7" t="s">
        <v>350</v>
      </c>
      <c r="M70" s="59" t="s">
        <v>235</v>
      </c>
      <c r="N70" s="125">
        <v>40107</v>
      </c>
      <c r="O70" s="94" t="s">
        <v>327</v>
      </c>
      <c r="P70" s="135" t="s">
        <v>182</v>
      </c>
      <c r="Q70" s="137" t="s">
        <v>182</v>
      </c>
    </row>
    <row r="71" spans="1:17" ht="165">
      <c r="A71" s="82">
        <v>70</v>
      </c>
      <c r="B71" s="143"/>
      <c r="C71" s="126" t="s">
        <v>331</v>
      </c>
      <c r="D71" s="122" t="s">
        <v>124</v>
      </c>
      <c r="E71" s="90">
        <v>6</v>
      </c>
      <c r="F71" s="90"/>
      <c r="G71" s="90" t="s">
        <v>19</v>
      </c>
      <c r="H71" s="90"/>
      <c r="I71" s="90"/>
      <c r="J71" s="90"/>
      <c r="K71" s="90"/>
      <c r="L71" s="7" t="s">
        <v>351</v>
      </c>
      <c r="M71" s="128" t="s">
        <v>235</v>
      </c>
      <c r="N71" s="125">
        <v>40107</v>
      </c>
      <c r="O71" s="94" t="s">
        <v>248</v>
      </c>
      <c r="P71" s="135" t="s">
        <v>317</v>
      </c>
      <c r="Q71" s="119" t="s">
        <v>354</v>
      </c>
    </row>
    <row r="72" spans="1:17" ht="30">
      <c r="A72" s="82">
        <v>71</v>
      </c>
      <c r="B72" s="128">
        <v>2.7</v>
      </c>
      <c r="C72" s="126" t="s">
        <v>331</v>
      </c>
      <c r="D72" s="123" t="s">
        <v>48</v>
      </c>
      <c r="E72" s="87">
        <v>2</v>
      </c>
      <c r="F72" s="87"/>
      <c r="G72" s="87"/>
      <c r="H72" s="87"/>
      <c r="I72" s="87"/>
      <c r="J72" s="87"/>
      <c r="K72" s="87" t="s">
        <v>19</v>
      </c>
      <c r="L72" s="74" t="s">
        <v>352</v>
      </c>
      <c r="M72" s="59" t="s">
        <v>235</v>
      </c>
      <c r="N72" s="125">
        <v>40107</v>
      </c>
      <c r="O72" s="59" t="s">
        <v>327</v>
      </c>
      <c r="P72" s="135" t="s">
        <v>182</v>
      </c>
      <c r="Q72" s="137" t="s">
        <v>182</v>
      </c>
    </row>
    <row r="73" spans="1:17" ht="45">
      <c r="A73" s="82">
        <v>72</v>
      </c>
      <c r="B73" s="128">
        <v>2.7</v>
      </c>
      <c r="C73" s="126" t="s">
        <v>362</v>
      </c>
      <c r="D73" s="123" t="s">
        <v>48</v>
      </c>
      <c r="E73" s="87">
        <v>3</v>
      </c>
      <c r="F73" s="87" t="s">
        <v>17</v>
      </c>
      <c r="G73" s="87"/>
      <c r="H73" s="87"/>
      <c r="I73" s="87"/>
      <c r="J73" s="87"/>
      <c r="K73" s="87"/>
      <c r="L73" s="74" t="s">
        <v>353</v>
      </c>
      <c r="M73" s="59" t="s">
        <v>235</v>
      </c>
      <c r="N73" s="125">
        <v>40107</v>
      </c>
      <c r="O73" s="59" t="s">
        <v>327</v>
      </c>
      <c r="P73" s="135" t="s">
        <v>285</v>
      </c>
      <c r="Q73" s="137" t="s">
        <v>380</v>
      </c>
    </row>
    <row r="74" spans="1:17" ht="60">
      <c r="A74" s="82">
        <v>73</v>
      </c>
      <c r="B74" s="128">
        <v>2.7</v>
      </c>
      <c r="C74" s="126" t="s">
        <v>362</v>
      </c>
      <c r="D74" s="123" t="s">
        <v>48</v>
      </c>
      <c r="E74" s="87">
        <v>4</v>
      </c>
      <c r="F74" s="87"/>
      <c r="G74" s="87" t="s">
        <v>19</v>
      </c>
      <c r="H74" s="87"/>
      <c r="I74" s="87"/>
      <c r="J74" s="87"/>
      <c r="K74" s="87"/>
      <c r="L74" s="74" t="s">
        <v>355</v>
      </c>
      <c r="M74" s="59" t="s">
        <v>235</v>
      </c>
      <c r="N74" s="125">
        <v>40107</v>
      </c>
      <c r="O74" s="59" t="s">
        <v>327</v>
      </c>
      <c r="P74" s="135" t="s">
        <v>182</v>
      </c>
      <c r="Q74" s="137" t="s">
        <v>381</v>
      </c>
    </row>
    <row r="75" spans="1:17" ht="60">
      <c r="A75" s="82">
        <v>74</v>
      </c>
      <c r="B75" s="128">
        <v>2.7</v>
      </c>
      <c r="C75" s="126" t="s">
        <v>362</v>
      </c>
      <c r="D75" s="123" t="s">
        <v>48</v>
      </c>
      <c r="E75" s="87">
        <v>5</v>
      </c>
      <c r="F75" s="87"/>
      <c r="G75" s="87" t="s">
        <v>19</v>
      </c>
      <c r="H75" s="87"/>
      <c r="I75" s="87"/>
      <c r="J75" s="87"/>
      <c r="K75" s="87"/>
      <c r="L75" s="74" t="s">
        <v>355</v>
      </c>
      <c r="M75" s="59" t="s">
        <v>235</v>
      </c>
      <c r="N75" s="125">
        <v>40107</v>
      </c>
      <c r="O75" s="94" t="s">
        <v>327</v>
      </c>
      <c r="P75" s="135" t="s">
        <v>182</v>
      </c>
      <c r="Q75" s="137" t="s">
        <v>389</v>
      </c>
    </row>
    <row r="76" spans="1:17" ht="90">
      <c r="A76" s="82">
        <v>75</v>
      </c>
      <c r="B76" s="128">
        <v>2.7</v>
      </c>
      <c r="C76" s="126" t="s">
        <v>362</v>
      </c>
      <c r="D76" s="123" t="s">
        <v>131</v>
      </c>
      <c r="E76" s="124" t="s">
        <v>364</v>
      </c>
      <c r="F76" s="87"/>
      <c r="G76" s="87"/>
      <c r="H76" s="87"/>
      <c r="I76" s="87"/>
      <c r="J76" s="87"/>
      <c r="K76" s="87" t="s">
        <v>19</v>
      </c>
      <c r="L76" s="133" t="s">
        <v>363</v>
      </c>
      <c r="M76" s="59" t="s">
        <v>235</v>
      </c>
      <c r="N76" s="125">
        <v>40107</v>
      </c>
      <c r="O76" s="135" t="s">
        <v>327</v>
      </c>
      <c r="P76" s="135" t="s">
        <v>182</v>
      </c>
      <c r="Q76" s="137" t="s">
        <v>365</v>
      </c>
    </row>
    <row r="77" spans="1:17" ht="53.25" customHeight="1">
      <c r="A77" s="82">
        <v>76</v>
      </c>
      <c r="B77" s="150">
        <v>5.0999999999999996</v>
      </c>
      <c r="C77" s="126" t="s">
        <v>356</v>
      </c>
      <c r="D77" s="122" t="s">
        <v>194</v>
      </c>
      <c r="E77" s="90">
        <v>3</v>
      </c>
      <c r="F77" s="90"/>
      <c r="G77" s="90"/>
      <c r="H77" s="90"/>
      <c r="I77" s="90"/>
      <c r="J77" s="90"/>
      <c r="K77" s="90" t="s">
        <v>19</v>
      </c>
      <c r="L77" s="74" t="s">
        <v>357</v>
      </c>
      <c r="M77" s="128" t="s">
        <v>235</v>
      </c>
      <c r="N77" s="125">
        <v>40107</v>
      </c>
      <c r="O77" s="94" t="s">
        <v>248</v>
      </c>
      <c r="P77" s="135" t="s">
        <v>317</v>
      </c>
      <c r="Q77" s="137" t="s">
        <v>366</v>
      </c>
    </row>
    <row r="78" spans="1:17" ht="75">
      <c r="A78" s="82">
        <v>77</v>
      </c>
      <c r="B78" s="150">
        <v>5.0999999999999996</v>
      </c>
      <c r="C78" s="126" t="s">
        <v>356</v>
      </c>
      <c r="D78" s="122" t="s">
        <v>194</v>
      </c>
      <c r="E78" s="90">
        <v>4</v>
      </c>
      <c r="F78" s="90"/>
      <c r="G78" s="90" t="s">
        <v>19</v>
      </c>
      <c r="H78" s="90"/>
      <c r="I78" s="90"/>
      <c r="J78" s="90"/>
      <c r="K78" s="90"/>
      <c r="L78" s="74" t="s">
        <v>358</v>
      </c>
      <c r="M78" s="128" t="s">
        <v>235</v>
      </c>
      <c r="N78" s="125">
        <v>40107</v>
      </c>
      <c r="O78" s="94" t="s">
        <v>327</v>
      </c>
      <c r="P78" s="135" t="s">
        <v>317</v>
      </c>
      <c r="Q78" s="119" t="s">
        <v>317</v>
      </c>
    </row>
    <row r="79" spans="1:17" ht="72" customHeight="1">
      <c r="A79" s="82">
        <v>78</v>
      </c>
      <c r="B79" s="150">
        <v>5.0999999999999996</v>
      </c>
      <c r="C79" s="126" t="s">
        <v>356</v>
      </c>
      <c r="D79" s="122" t="s">
        <v>194</v>
      </c>
      <c r="E79" s="90" t="s">
        <v>269</v>
      </c>
      <c r="F79" s="90"/>
      <c r="G79" s="90"/>
      <c r="H79" s="90"/>
      <c r="I79" s="90"/>
      <c r="J79" s="90"/>
      <c r="K79" s="90" t="s">
        <v>19</v>
      </c>
      <c r="L79" s="74" t="s">
        <v>359</v>
      </c>
      <c r="M79" s="128" t="s">
        <v>235</v>
      </c>
      <c r="N79" s="125">
        <v>40107</v>
      </c>
      <c r="O79" s="94" t="s">
        <v>327</v>
      </c>
      <c r="P79" s="135" t="s">
        <v>360</v>
      </c>
      <c r="Q79" s="138" t="s">
        <v>361</v>
      </c>
    </row>
    <row r="80" spans="1:17" ht="30">
      <c r="A80" s="82">
        <v>79</v>
      </c>
      <c r="B80" s="150">
        <v>5.0999999999999996</v>
      </c>
      <c r="C80" s="7" t="s">
        <v>233</v>
      </c>
      <c r="D80" s="122" t="s">
        <v>42</v>
      </c>
      <c r="E80" s="90">
        <v>3</v>
      </c>
      <c r="F80" s="90" t="s">
        <v>17</v>
      </c>
      <c r="G80" s="90"/>
      <c r="H80" s="90"/>
      <c r="I80" s="90"/>
      <c r="J80" s="90"/>
      <c r="K80" s="90"/>
      <c r="L80" s="85" t="s">
        <v>390</v>
      </c>
      <c r="M80" s="128" t="s">
        <v>235</v>
      </c>
      <c r="N80" s="125">
        <v>40108</v>
      </c>
      <c r="O80" s="90" t="s">
        <v>327</v>
      </c>
      <c r="P80" s="135" t="s">
        <v>182</v>
      </c>
      <c r="Q80" s="119" t="s">
        <v>382</v>
      </c>
    </row>
    <row r="81" spans="1:17" ht="45">
      <c r="A81" s="82">
        <v>80</v>
      </c>
      <c r="B81" s="150">
        <v>5.0999999999999996</v>
      </c>
      <c r="C81" s="7" t="s">
        <v>233</v>
      </c>
      <c r="D81" s="122" t="s">
        <v>42</v>
      </c>
      <c r="E81" s="90">
        <v>7</v>
      </c>
      <c r="F81" s="90" t="s">
        <v>17</v>
      </c>
      <c r="G81" s="90"/>
      <c r="H81" s="90"/>
      <c r="I81" s="90"/>
      <c r="J81" s="90"/>
      <c r="K81" s="90"/>
      <c r="L81" s="145" t="s">
        <v>391</v>
      </c>
      <c r="M81" s="128" t="s">
        <v>235</v>
      </c>
      <c r="N81" s="125">
        <v>40108</v>
      </c>
      <c r="O81" s="90" t="s">
        <v>327</v>
      </c>
      <c r="P81" s="135" t="s">
        <v>182</v>
      </c>
      <c r="Q81" s="119" t="s">
        <v>382</v>
      </c>
    </row>
    <row r="82" spans="1:17" ht="45">
      <c r="A82" s="82">
        <v>81</v>
      </c>
      <c r="B82" s="150">
        <v>5.0999999999999996</v>
      </c>
      <c r="C82" s="7" t="s">
        <v>233</v>
      </c>
      <c r="D82" s="122" t="s">
        <v>42</v>
      </c>
      <c r="E82" s="90">
        <v>8</v>
      </c>
      <c r="F82" s="90" t="s">
        <v>17</v>
      </c>
      <c r="G82" s="90"/>
      <c r="H82" s="90"/>
      <c r="I82" s="90"/>
      <c r="J82" s="90"/>
      <c r="K82" s="90"/>
      <c r="L82" s="145" t="s">
        <v>392</v>
      </c>
      <c r="M82" s="128" t="s">
        <v>235</v>
      </c>
      <c r="N82" s="125">
        <v>40108</v>
      </c>
      <c r="O82" s="90" t="s">
        <v>327</v>
      </c>
      <c r="P82" s="135" t="s">
        <v>182</v>
      </c>
      <c r="Q82" s="119" t="s">
        <v>382</v>
      </c>
    </row>
    <row r="83" spans="1:17" ht="45">
      <c r="A83" s="82">
        <v>82</v>
      </c>
      <c r="B83" s="150">
        <v>5.0999999999999996</v>
      </c>
      <c r="C83" s="7" t="s">
        <v>233</v>
      </c>
      <c r="D83" s="122" t="s">
        <v>42</v>
      </c>
      <c r="E83" s="90">
        <v>9</v>
      </c>
      <c r="F83" s="90" t="s">
        <v>17</v>
      </c>
      <c r="G83" s="90"/>
      <c r="H83" s="90"/>
      <c r="I83" s="90"/>
      <c r="J83" s="90"/>
      <c r="K83" s="90"/>
      <c r="L83" s="145" t="s">
        <v>393</v>
      </c>
      <c r="M83" s="128" t="s">
        <v>235</v>
      </c>
      <c r="N83" s="125">
        <v>40108</v>
      </c>
      <c r="O83" s="90" t="s">
        <v>327</v>
      </c>
      <c r="P83" s="135" t="s">
        <v>182</v>
      </c>
      <c r="Q83" s="119" t="s">
        <v>382</v>
      </c>
    </row>
    <row r="84" spans="1:17" ht="45">
      <c r="A84" s="82">
        <v>83</v>
      </c>
      <c r="B84" s="150">
        <v>5.0999999999999996</v>
      </c>
      <c r="C84" s="7" t="s">
        <v>233</v>
      </c>
      <c r="D84" s="122" t="s">
        <v>42</v>
      </c>
      <c r="E84" s="90">
        <v>10</v>
      </c>
      <c r="F84" s="90" t="s">
        <v>17</v>
      </c>
      <c r="G84" s="90"/>
      <c r="H84" s="90"/>
      <c r="I84" s="90"/>
      <c r="J84" s="90"/>
      <c r="K84" s="90"/>
      <c r="L84" s="145" t="s">
        <v>394</v>
      </c>
      <c r="M84" s="128" t="s">
        <v>235</v>
      </c>
      <c r="N84" s="125">
        <v>40108</v>
      </c>
      <c r="O84" s="90" t="s">
        <v>327</v>
      </c>
      <c r="P84" s="135" t="s">
        <v>182</v>
      </c>
      <c r="Q84" s="119" t="s">
        <v>382</v>
      </c>
    </row>
    <row r="85" spans="1:17" ht="45">
      <c r="A85" s="82">
        <v>84</v>
      </c>
      <c r="B85" s="150">
        <v>5.0999999999999996</v>
      </c>
      <c r="C85" s="7" t="s">
        <v>233</v>
      </c>
      <c r="D85" s="122" t="s">
        <v>48</v>
      </c>
      <c r="E85" s="90">
        <v>2</v>
      </c>
      <c r="F85" s="90" t="s">
        <v>17</v>
      </c>
      <c r="G85" s="90"/>
      <c r="H85" s="90"/>
      <c r="I85" s="90"/>
      <c r="J85" s="90"/>
      <c r="K85" s="90"/>
      <c r="L85" s="146" t="s">
        <v>395</v>
      </c>
      <c r="M85" s="128" t="s">
        <v>235</v>
      </c>
      <c r="N85" s="125">
        <v>40108</v>
      </c>
      <c r="O85" s="90" t="s">
        <v>327</v>
      </c>
      <c r="P85" s="135" t="s">
        <v>182</v>
      </c>
      <c r="Q85" s="119" t="s">
        <v>382</v>
      </c>
    </row>
    <row r="86" spans="1:17" ht="45">
      <c r="A86" s="82">
        <v>85</v>
      </c>
      <c r="B86" s="150">
        <v>5.0999999999999996</v>
      </c>
      <c r="C86" s="7" t="s">
        <v>233</v>
      </c>
      <c r="D86" s="122" t="s">
        <v>48</v>
      </c>
      <c r="E86" s="90" t="s">
        <v>269</v>
      </c>
      <c r="F86" s="90" t="s">
        <v>17</v>
      </c>
      <c r="G86" s="90"/>
      <c r="H86" s="90"/>
      <c r="I86" s="90"/>
      <c r="J86" s="90"/>
      <c r="K86" s="90"/>
      <c r="L86" s="146" t="s">
        <v>371</v>
      </c>
      <c r="M86" s="128" t="s">
        <v>235</v>
      </c>
      <c r="N86" s="125">
        <v>40108</v>
      </c>
      <c r="O86" s="90" t="s">
        <v>327</v>
      </c>
      <c r="P86" s="135" t="s">
        <v>182</v>
      </c>
      <c r="Q86" s="119" t="s">
        <v>382</v>
      </c>
    </row>
    <row r="87" spans="1:17" ht="135">
      <c r="A87" s="82">
        <v>86</v>
      </c>
      <c r="B87" s="150">
        <v>5.0999999999999996</v>
      </c>
      <c r="C87" s="7" t="s">
        <v>233</v>
      </c>
      <c r="D87" s="122" t="s">
        <v>160</v>
      </c>
      <c r="E87" s="90">
        <v>1</v>
      </c>
      <c r="F87" s="90" t="s">
        <v>17</v>
      </c>
      <c r="G87" s="90"/>
      <c r="H87" s="90"/>
      <c r="I87" s="90"/>
      <c r="J87" s="90"/>
      <c r="K87" s="90"/>
      <c r="L87" s="147" t="s">
        <v>396</v>
      </c>
      <c r="M87" s="128" t="s">
        <v>235</v>
      </c>
      <c r="N87" s="125">
        <v>40108</v>
      </c>
      <c r="O87" s="90" t="s">
        <v>327</v>
      </c>
      <c r="P87" s="135" t="s">
        <v>182</v>
      </c>
      <c r="Q87" s="119" t="s">
        <v>382</v>
      </c>
    </row>
    <row r="88" spans="1:17" ht="45">
      <c r="A88" s="82">
        <v>87</v>
      </c>
      <c r="B88" s="150">
        <v>5.0999999999999996</v>
      </c>
      <c r="C88" s="7" t="s">
        <v>233</v>
      </c>
      <c r="D88" s="122" t="s">
        <v>160</v>
      </c>
      <c r="E88" s="90">
        <v>2</v>
      </c>
      <c r="F88" s="90" t="s">
        <v>17</v>
      </c>
      <c r="G88" s="90"/>
      <c r="H88" s="90"/>
      <c r="I88" s="90"/>
      <c r="J88" s="90"/>
      <c r="K88" s="90"/>
      <c r="L88" s="147" t="s">
        <v>397</v>
      </c>
      <c r="M88" s="128" t="s">
        <v>235</v>
      </c>
      <c r="N88" s="125">
        <v>40108</v>
      </c>
      <c r="O88" s="90" t="s">
        <v>327</v>
      </c>
      <c r="P88" s="135" t="s">
        <v>182</v>
      </c>
      <c r="Q88" s="119" t="s">
        <v>382</v>
      </c>
    </row>
    <row r="89" spans="1:17" ht="60">
      <c r="A89" s="82">
        <v>88</v>
      </c>
      <c r="B89" s="150">
        <v>5.0999999999999996</v>
      </c>
      <c r="C89" s="7" t="s">
        <v>233</v>
      </c>
      <c r="D89" s="122" t="s">
        <v>160</v>
      </c>
      <c r="E89" s="90">
        <v>3</v>
      </c>
      <c r="F89" s="90" t="s">
        <v>17</v>
      </c>
      <c r="G89" s="90"/>
      <c r="H89" s="90"/>
      <c r="I89" s="90"/>
      <c r="J89" s="90"/>
      <c r="K89" s="90"/>
      <c r="L89" s="147" t="s">
        <v>398</v>
      </c>
      <c r="M89" s="128" t="s">
        <v>235</v>
      </c>
      <c r="N89" s="125">
        <v>40108</v>
      </c>
      <c r="O89" s="90" t="s">
        <v>327</v>
      </c>
      <c r="P89" s="135" t="s">
        <v>182</v>
      </c>
      <c r="Q89" s="119" t="s">
        <v>382</v>
      </c>
    </row>
    <row r="90" spans="1:17" ht="45">
      <c r="A90" s="82">
        <v>89</v>
      </c>
      <c r="B90" s="150">
        <v>5.0999999999999996</v>
      </c>
      <c r="C90" s="7" t="s">
        <v>233</v>
      </c>
      <c r="D90" s="122" t="s">
        <v>160</v>
      </c>
      <c r="E90" s="90">
        <v>4</v>
      </c>
      <c r="F90" s="90" t="s">
        <v>17</v>
      </c>
      <c r="G90" s="90"/>
      <c r="H90" s="90"/>
      <c r="I90" s="90"/>
      <c r="J90" s="90"/>
      <c r="K90" s="90"/>
      <c r="L90" s="147" t="s">
        <v>399</v>
      </c>
      <c r="M90" s="128" t="s">
        <v>235</v>
      </c>
      <c r="N90" s="125">
        <v>40108</v>
      </c>
      <c r="O90" s="90" t="s">
        <v>327</v>
      </c>
      <c r="P90" s="135" t="s">
        <v>182</v>
      </c>
      <c r="Q90" s="119" t="s">
        <v>382</v>
      </c>
    </row>
    <row r="91" spans="1:17" ht="75">
      <c r="A91" s="82">
        <v>90</v>
      </c>
      <c r="B91" s="150">
        <v>5.0999999999999996</v>
      </c>
      <c r="C91" s="7" t="s">
        <v>233</v>
      </c>
      <c r="D91" s="122" t="s">
        <v>160</v>
      </c>
      <c r="E91" s="90">
        <v>5</v>
      </c>
      <c r="F91" s="90" t="s">
        <v>17</v>
      </c>
      <c r="G91" s="90"/>
      <c r="H91" s="90"/>
      <c r="I91" s="90"/>
      <c r="J91" s="90"/>
      <c r="K91" s="90"/>
      <c r="L91" s="147" t="s">
        <v>400</v>
      </c>
      <c r="M91" s="128" t="s">
        <v>235</v>
      </c>
      <c r="N91" s="125">
        <v>40108</v>
      </c>
      <c r="O91" s="90" t="s">
        <v>327</v>
      </c>
      <c r="P91" s="135" t="s">
        <v>182</v>
      </c>
      <c r="Q91" s="119" t="s">
        <v>382</v>
      </c>
    </row>
    <row r="92" spans="1:17" ht="75">
      <c r="A92" s="82">
        <v>91</v>
      </c>
      <c r="B92" s="150">
        <v>5.0999999999999996</v>
      </c>
      <c r="C92" s="7" t="s">
        <v>233</v>
      </c>
      <c r="D92" s="122" t="s">
        <v>160</v>
      </c>
      <c r="E92" s="90">
        <v>6</v>
      </c>
      <c r="F92" s="90"/>
      <c r="G92" s="90"/>
      <c r="H92" s="90"/>
      <c r="I92" s="90"/>
      <c r="J92" s="90" t="s">
        <v>19</v>
      </c>
      <c r="K92" s="90"/>
      <c r="L92" s="147" t="s">
        <v>401</v>
      </c>
      <c r="M92" s="128" t="s">
        <v>235</v>
      </c>
      <c r="N92" s="125">
        <v>40108</v>
      </c>
      <c r="O92" s="90" t="s">
        <v>327</v>
      </c>
      <c r="P92" s="135" t="s">
        <v>182</v>
      </c>
      <c r="Q92" s="119" t="s">
        <v>382</v>
      </c>
    </row>
    <row r="93" spans="1:17" ht="75">
      <c r="A93" s="82">
        <v>92</v>
      </c>
      <c r="B93" s="150">
        <v>5.0999999999999996</v>
      </c>
      <c r="C93" s="7" t="s">
        <v>233</v>
      </c>
      <c r="D93" s="122" t="s">
        <v>160</v>
      </c>
      <c r="E93" s="90">
        <v>2</v>
      </c>
      <c r="F93" s="90"/>
      <c r="G93" s="90"/>
      <c r="H93" s="90"/>
      <c r="I93" s="90"/>
      <c r="J93" s="90"/>
      <c r="K93" s="90" t="s">
        <v>19</v>
      </c>
      <c r="L93" s="148" t="s">
        <v>402</v>
      </c>
      <c r="M93" s="128" t="s">
        <v>235</v>
      </c>
      <c r="N93" s="125">
        <v>40108</v>
      </c>
      <c r="O93" s="90" t="s">
        <v>327</v>
      </c>
      <c r="P93" s="135" t="s">
        <v>182</v>
      </c>
      <c r="Q93" s="119" t="s">
        <v>382</v>
      </c>
    </row>
    <row r="94" spans="1:17" ht="45">
      <c r="A94" s="82">
        <v>93</v>
      </c>
      <c r="B94" s="150">
        <v>5.0999999999999996</v>
      </c>
      <c r="C94" s="7" t="s">
        <v>233</v>
      </c>
      <c r="D94" s="122" t="s">
        <v>160</v>
      </c>
      <c r="E94" s="90">
        <v>3</v>
      </c>
      <c r="F94" s="90"/>
      <c r="G94" s="90"/>
      <c r="H94" s="90"/>
      <c r="I94" s="90"/>
      <c r="J94" s="90"/>
      <c r="K94" s="90" t="s">
        <v>19</v>
      </c>
      <c r="L94" s="148" t="s">
        <v>403</v>
      </c>
      <c r="M94" s="128" t="s">
        <v>235</v>
      </c>
      <c r="N94" s="125">
        <v>40108</v>
      </c>
      <c r="O94" s="90" t="s">
        <v>327</v>
      </c>
      <c r="P94" s="135" t="s">
        <v>182</v>
      </c>
      <c r="Q94" s="119" t="s">
        <v>382</v>
      </c>
    </row>
    <row r="95" spans="1:17" ht="45">
      <c r="A95" s="82">
        <v>94</v>
      </c>
      <c r="B95" s="150">
        <v>5.0999999999999996</v>
      </c>
      <c r="C95" s="7" t="s">
        <v>233</v>
      </c>
      <c r="D95" s="122" t="s">
        <v>160</v>
      </c>
      <c r="E95" s="90">
        <v>4</v>
      </c>
      <c r="F95" s="90"/>
      <c r="G95" s="90"/>
      <c r="H95" s="90"/>
      <c r="I95" s="90"/>
      <c r="J95" s="90"/>
      <c r="K95" s="90" t="s">
        <v>19</v>
      </c>
      <c r="L95" s="148" t="s">
        <v>404</v>
      </c>
      <c r="M95" s="128" t="s">
        <v>235</v>
      </c>
      <c r="N95" s="125">
        <v>40108</v>
      </c>
      <c r="O95" s="90" t="s">
        <v>327</v>
      </c>
      <c r="P95" s="135" t="s">
        <v>182</v>
      </c>
      <c r="Q95" s="119" t="s">
        <v>382</v>
      </c>
    </row>
    <row r="96" spans="1:17" ht="74.25" customHeight="1">
      <c r="A96" s="82">
        <v>95</v>
      </c>
      <c r="B96" s="150">
        <v>5.0999999999999996</v>
      </c>
      <c r="C96" s="7" t="s">
        <v>233</v>
      </c>
      <c r="D96" s="122" t="s">
        <v>136</v>
      </c>
      <c r="E96" s="90">
        <v>5</v>
      </c>
      <c r="F96" s="90" t="s">
        <v>17</v>
      </c>
      <c r="G96" s="90"/>
      <c r="H96" s="90"/>
      <c r="I96" s="90"/>
      <c r="J96" s="90"/>
      <c r="K96" s="90"/>
      <c r="L96" s="84" t="s">
        <v>405</v>
      </c>
      <c r="M96" s="128" t="s">
        <v>235</v>
      </c>
      <c r="N96" s="125">
        <v>40108</v>
      </c>
      <c r="O96" s="90" t="s">
        <v>327</v>
      </c>
      <c r="P96" s="135" t="s">
        <v>182</v>
      </c>
      <c r="Q96" s="119" t="s">
        <v>382</v>
      </c>
    </row>
    <row r="97" spans="1:17" ht="122.25" customHeight="1">
      <c r="A97" s="82">
        <v>96</v>
      </c>
      <c r="B97" s="150">
        <v>5.0999999999999996</v>
      </c>
      <c r="C97" s="7" t="s">
        <v>233</v>
      </c>
      <c r="D97" s="122" t="s">
        <v>136</v>
      </c>
      <c r="E97" s="90">
        <v>7</v>
      </c>
      <c r="F97" s="90" t="s">
        <v>17</v>
      </c>
      <c r="G97" s="90"/>
      <c r="H97" s="90"/>
      <c r="I97" s="90"/>
      <c r="J97" s="90"/>
      <c r="K97" s="90"/>
      <c r="L97" s="146" t="s">
        <v>406</v>
      </c>
      <c r="M97" s="128" t="s">
        <v>235</v>
      </c>
      <c r="N97" s="125">
        <v>40108</v>
      </c>
      <c r="O97" s="90" t="s">
        <v>327</v>
      </c>
      <c r="P97" s="135" t="s">
        <v>182</v>
      </c>
      <c r="Q97" s="119" t="s">
        <v>382</v>
      </c>
    </row>
    <row r="98" spans="1:17" ht="105">
      <c r="A98" s="82">
        <v>97</v>
      </c>
      <c r="B98" s="150">
        <v>5.0999999999999996</v>
      </c>
      <c r="C98" s="7" t="s">
        <v>233</v>
      </c>
      <c r="D98" s="122" t="s">
        <v>136</v>
      </c>
      <c r="E98" s="90">
        <v>11</v>
      </c>
      <c r="F98" s="90"/>
      <c r="G98" s="90" t="s">
        <v>19</v>
      </c>
      <c r="H98" s="90"/>
      <c r="I98" s="90"/>
      <c r="J98" s="90"/>
      <c r="K98" s="90"/>
      <c r="L98" s="147" t="s">
        <v>407</v>
      </c>
      <c r="M98" s="128" t="s">
        <v>235</v>
      </c>
      <c r="N98" s="125">
        <v>40108</v>
      </c>
      <c r="O98" s="90" t="s">
        <v>327</v>
      </c>
      <c r="P98" s="135" t="s">
        <v>317</v>
      </c>
      <c r="Q98" s="119" t="s">
        <v>382</v>
      </c>
    </row>
    <row r="99" spans="1:17" ht="134.25" customHeight="1">
      <c r="A99" s="82">
        <v>98</v>
      </c>
      <c r="B99" s="150">
        <v>5.0999999999999996</v>
      </c>
      <c r="C99" s="7" t="s">
        <v>233</v>
      </c>
      <c r="D99" s="122" t="s">
        <v>136</v>
      </c>
      <c r="E99" s="90">
        <v>11</v>
      </c>
      <c r="F99" s="90"/>
      <c r="G99" s="90"/>
      <c r="H99" s="90"/>
      <c r="I99" s="90"/>
      <c r="J99" s="90"/>
      <c r="K99" s="90" t="s">
        <v>19</v>
      </c>
      <c r="L99" s="148" t="s">
        <v>408</v>
      </c>
      <c r="M99" s="128" t="s">
        <v>235</v>
      </c>
      <c r="N99" s="125">
        <v>40108</v>
      </c>
      <c r="O99" s="90" t="s">
        <v>327</v>
      </c>
      <c r="P99" s="135" t="s">
        <v>182</v>
      </c>
      <c r="Q99" s="119" t="s">
        <v>382</v>
      </c>
    </row>
    <row r="100" spans="1:17" ht="113.25" customHeight="1">
      <c r="A100" s="82">
        <v>99</v>
      </c>
      <c r="B100" s="150">
        <v>5.0999999999999996</v>
      </c>
      <c r="C100" s="7" t="s">
        <v>233</v>
      </c>
      <c r="D100" s="122" t="s">
        <v>46</v>
      </c>
      <c r="E100" s="90" t="s">
        <v>300</v>
      </c>
      <c r="F100" s="90" t="s">
        <v>17</v>
      </c>
      <c r="G100" s="90"/>
      <c r="H100" s="90"/>
      <c r="I100" s="90"/>
      <c r="J100" s="90"/>
      <c r="K100" s="90"/>
      <c r="L100" s="149" t="s">
        <v>372</v>
      </c>
      <c r="M100" s="128" t="s">
        <v>235</v>
      </c>
      <c r="N100" s="125">
        <v>40108</v>
      </c>
      <c r="O100" s="90" t="s">
        <v>383</v>
      </c>
      <c r="P100" s="135" t="s">
        <v>182</v>
      </c>
      <c r="Q100" s="119" t="s">
        <v>409</v>
      </c>
    </row>
    <row r="101" spans="1:17" ht="30">
      <c r="A101" s="82">
        <v>100</v>
      </c>
      <c r="B101" s="150">
        <v>5.0999999999999996</v>
      </c>
      <c r="C101" s="7" t="s">
        <v>233</v>
      </c>
      <c r="D101" s="122" t="s">
        <v>46</v>
      </c>
      <c r="E101" s="90">
        <v>2</v>
      </c>
      <c r="F101" s="90" t="s">
        <v>17</v>
      </c>
      <c r="G101" s="90"/>
      <c r="H101" s="90"/>
      <c r="I101" s="90"/>
      <c r="J101" s="90"/>
      <c r="K101" s="90"/>
      <c r="L101" s="85" t="s">
        <v>373</v>
      </c>
      <c r="M101" s="128" t="s">
        <v>235</v>
      </c>
      <c r="N101" s="125">
        <v>40108</v>
      </c>
      <c r="O101" s="90" t="s">
        <v>327</v>
      </c>
      <c r="P101" s="135" t="s">
        <v>182</v>
      </c>
      <c r="Q101" s="119"/>
    </row>
    <row r="102" spans="1:17" ht="63" customHeight="1">
      <c r="A102" s="82">
        <v>101</v>
      </c>
      <c r="B102" s="150">
        <v>5.0999999999999996</v>
      </c>
      <c r="C102" s="7" t="s">
        <v>233</v>
      </c>
      <c r="D102" s="122" t="s">
        <v>46</v>
      </c>
      <c r="E102" s="90">
        <v>3</v>
      </c>
      <c r="F102" s="90" t="s">
        <v>17</v>
      </c>
      <c r="G102" s="90"/>
      <c r="H102" s="90"/>
      <c r="I102" s="90"/>
      <c r="J102" s="90"/>
      <c r="K102" s="90"/>
      <c r="L102" s="85" t="s">
        <v>410</v>
      </c>
      <c r="M102" s="128" t="s">
        <v>235</v>
      </c>
      <c r="N102" s="125">
        <v>40108</v>
      </c>
      <c r="O102" s="90" t="s">
        <v>327</v>
      </c>
      <c r="P102" s="135" t="s">
        <v>182</v>
      </c>
      <c r="Q102" s="119" t="s">
        <v>382</v>
      </c>
    </row>
    <row r="103" spans="1:17" ht="105">
      <c r="A103" s="82">
        <v>102</v>
      </c>
      <c r="B103" s="150">
        <v>5.0999999999999996</v>
      </c>
      <c r="C103" s="7" t="s">
        <v>233</v>
      </c>
      <c r="D103" s="122" t="s">
        <v>131</v>
      </c>
      <c r="E103" s="90">
        <v>3</v>
      </c>
      <c r="F103" s="90" t="s">
        <v>17</v>
      </c>
      <c r="G103" s="90"/>
      <c r="H103" s="90"/>
      <c r="I103" s="90"/>
      <c r="J103" s="90"/>
      <c r="K103" s="90"/>
      <c r="L103" s="147" t="s">
        <v>411</v>
      </c>
      <c r="M103" s="128" t="s">
        <v>235</v>
      </c>
      <c r="N103" s="125">
        <v>40108</v>
      </c>
      <c r="O103" s="90" t="s">
        <v>327</v>
      </c>
      <c r="P103" s="135" t="s">
        <v>182</v>
      </c>
      <c r="Q103" s="119" t="s">
        <v>382</v>
      </c>
    </row>
    <row r="104" spans="1:17" ht="90">
      <c r="A104" s="82">
        <v>103</v>
      </c>
      <c r="B104" s="150">
        <v>5.0999999999999996</v>
      </c>
      <c r="C104" s="7" t="s">
        <v>233</v>
      </c>
      <c r="D104" s="122" t="s">
        <v>131</v>
      </c>
      <c r="E104" s="90"/>
      <c r="F104" s="90"/>
      <c r="G104" s="90"/>
      <c r="H104" s="90"/>
      <c r="I104" s="90"/>
      <c r="J104" s="90"/>
      <c r="K104" s="90"/>
      <c r="L104" s="147" t="s">
        <v>412</v>
      </c>
      <c r="M104" s="128" t="s">
        <v>235</v>
      </c>
      <c r="N104" s="125">
        <v>40108</v>
      </c>
      <c r="O104" s="90" t="s">
        <v>327</v>
      </c>
      <c r="P104" s="135" t="s">
        <v>182</v>
      </c>
      <c r="Q104" s="119" t="s">
        <v>382</v>
      </c>
    </row>
    <row r="105" spans="1:17" ht="75">
      <c r="A105" s="82">
        <v>104</v>
      </c>
      <c r="B105" s="150">
        <v>5.0999999999999996</v>
      </c>
      <c r="C105" s="7" t="s">
        <v>233</v>
      </c>
      <c r="D105" s="122" t="s">
        <v>131</v>
      </c>
      <c r="E105" s="90"/>
      <c r="F105" s="90"/>
      <c r="G105" s="90"/>
      <c r="H105" s="90"/>
      <c r="I105" s="90"/>
      <c r="J105" s="90"/>
      <c r="K105" s="90"/>
      <c r="L105" s="147" t="s">
        <v>413</v>
      </c>
      <c r="M105" s="128" t="s">
        <v>235</v>
      </c>
      <c r="N105" s="125">
        <v>40108</v>
      </c>
      <c r="O105" s="90" t="s">
        <v>327</v>
      </c>
      <c r="P105" s="135" t="s">
        <v>182</v>
      </c>
      <c r="Q105" s="119" t="s">
        <v>382</v>
      </c>
    </row>
    <row r="106" spans="1:17" ht="180">
      <c r="A106" s="82">
        <v>105</v>
      </c>
      <c r="B106" s="150">
        <v>5.0999999999999996</v>
      </c>
      <c r="C106" s="7" t="s">
        <v>233</v>
      </c>
      <c r="D106" s="122" t="s">
        <v>131</v>
      </c>
      <c r="E106" s="90"/>
      <c r="F106" s="90"/>
      <c r="G106" s="90"/>
      <c r="H106" s="90"/>
      <c r="I106" s="90"/>
      <c r="J106" s="90"/>
      <c r="K106" s="90"/>
      <c r="L106" s="147" t="s">
        <v>414</v>
      </c>
      <c r="M106" s="128" t="s">
        <v>235</v>
      </c>
      <c r="N106" s="125">
        <v>40108</v>
      </c>
      <c r="O106" s="90" t="s">
        <v>327</v>
      </c>
      <c r="P106" s="135" t="s">
        <v>182</v>
      </c>
      <c r="Q106" s="119" t="s">
        <v>382</v>
      </c>
    </row>
    <row r="107" spans="1:17" ht="120">
      <c r="A107" s="82">
        <v>106</v>
      </c>
      <c r="B107" s="150">
        <v>5.0999999999999996</v>
      </c>
      <c r="C107" s="7" t="s">
        <v>233</v>
      </c>
      <c r="D107" s="122" t="s">
        <v>131</v>
      </c>
      <c r="E107" s="90"/>
      <c r="F107" s="90"/>
      <c r="G107" s="90"/>
      <c r="H107" s="90"/>
      <c r="I107" s="90"/>
      <c r="J107" s="90"/>
      <c r="K107" s="90"/>
      <c r="L107" s="147" t="s">
        <v>415</v>
      </c>
      <c r="M107" s="128" t="s">
        <v>235</v>
      </c>
      <c r="N107" s="125">
        <v>40108</v>
      </c>
      <c r="O107" s="90" t="s">
        <v>327</v>
      </c>
      <c r="P107" s="135" t="s">
        <v>182</v>
      </c>
      <c r="Q107" s="119" t="s">
        <v>382</v>
      </c>
    </row>
    <row r="108" spans="1:17" ht="75">
      <c r="A108" s="82">
        <v>107</v>
      </c>
      <c r="B108" s="150">
        <v>5.0999999999999996</v>
      </c>
      <c r="C108" s="7" t="s">
        <v>233</v>
      </c>
      <c r="D108" s="122" t="s">
        <v>131</v>
      </c>
      <c r="E108" s="90">
        <v>5</v>
      </c>
      <c r="F108" s="90"/>
      <c r="G108" s="90"/>
      <c r="H108" s="90"/>
      <c r="I108" s="90"/>
      <c r="J108" s="90"/>
      <c r="K108" s="90"/>
      <c r="L108" s="148" t="s">
        <v>416</v>
      </c>
      <c r="M108" s="128" t="s">
        <v>235</v>
      </c>
      <c r="N108" s="125">
        <v>40108</v>
      </c>
      <c r="O108" s="90" t="s">
        <v>327</v>
      </c>
      <c r="P108" s="135" t="s">
        <v>182</v>
      </c>
      <c r="Q108" s="119" t="s">
        <v>382</v>
      </c>
    </row>
    <row r="109" spans="1:17" ht="210.75" customHeight="1">
      <c r="A109" s="82">
        <v>108</v>
      </c>
      <c r="B109" s="150">
        <v>5.0999999999999996</v>
      </c>
      <c r="C109" s="7" t="s">
        <v>233</v>
      </c>
      <c r="D109" s="122" t="s">
        <v>131</v>
      </c>
      <c r="E109" s="90">
        <v>6</v>
      </c>
      <c r="F109" s="90"/>
      <c r="G109" s="90"/>
      <c r="H109" s="90"/>
      <c r="I109" s="90"/>
      <c r="J109" s="151"/>
      <c r="K109" s="90"/>
      <c r="L109" s="7" t="s">
        <v>374</v>
      </c>
      <c r="M109" s="128" t="s">
        <v>235</v>
      </c>
      <c r="N109" s="125">
        <v>40108</v>
      </c>
      <c r="O109" s="90" t="s">
        <v>383</v>
      </c>
      <c r="P109" s="135" t="s">
        <v>328</v>
      </c>
      <c r="Q109" s="119" t="s">
        <v>417</v>
      </c>
    </row>
    <row r="110" spans="1:17" ht="31.5" customHeight="1">
      <c r="A110" s="82">
        <v>109</v>
      </c>
      <c r="B110" s="150">
        <v>5.0999999999999996</v>
      </c>
      <c r="C110" s="7" t="s">
        <v>233</v>
      </c>
      <c r="D110" s="122" t="s">
        <v>131</v>
      </c>
      <c r="E110" s="90">
        <v>7</v>
      </c>
      <c r="F110" s="90" t="s">
        <v>17</v>
      </c>
      <c r="G110" s="90"/>
      <c r="H110" s="90"/>
      <c r="I110" s="90"/>
      <c r="J110" s="90"/>
      <c r="K110" s="90"/>
      <c r="L110" s="7" t="s">
        <v>375</v>
      </c>
      <c r="M110" s="128" t="s">
        <v>235</v>
      </c>
      <c r="N110" s="125">
        <v>40108</v>
      </c>
      <c r="O110" s="90" t="s">
        <v>327</v>
      </c>
      <c r="P110" s="135" t="s">
        <v>182</v>
      </c>
      <c r="Q110" s="119" t="s">
        <v>417</v>
      </c>
    </row>
    <row r="111" spans="1:17" ht="30">
      <c r="A111" s="82">
        <v>110</v>
      </c>
      <c r="B111" s="150">
        <v>5.0999999999999996</v>
      </c>
      <c r="C111" s="7" t="s">
        <v>233</v>
      </c>
      <c r="D111" s="122" t="s">
        <v>131</v>
      </c>
      <c r="E111" s="90">
        <v>8</v>
      </c>
      <c r="F111" s="90" t="s">
        <v>17</v>
      </c>
      <c r="G111" s="90"/>
      <c r="H111" s="90"/>
      <c r="I111" s="90"/>
      <c r="J111" s="90"/>
      <c r="K111" s="90"/>
      <c r="L111" s="7" t="s">
        <v>376</v>
      </c>
      <c r="M111" s="128" t="s">
        <v>235</v>
      </c>
      <c r="N111" s="125">
        <v>40108</v>
      </c>
      <c r="O111" s="90" t="s">
        <v>327</v>
      </c>
      <c r="P111" s="135" t="s">
        <v>182</v>
      </c>
      <c r="Q111" s="119" t="s">
        <v>417</v>
      </c>
    </row>
    <row r="112" spans="1:17" ht="165">
      <c r="A112" s="82">
        <v>111</v>
      </c>
      <c r="B112" s="150">
        <v>5.0999999999999996</v>
      </c>
      <c r="C112" s="7" t="s">
        <v>233</v>
      </c>
      <c r="D112" s="122" t="s">
        <v>131</v>
      </c>
      <c r="E112" s="90">
        <v>9</v>
      </c>
      <c r="F112" s="90"/>
      <c r="G112" s="151"/>
      <c r="H112" s="90"/>
      <c r="I112" s="90"/>
      <c r="J112" s="90"/>
      <c r="K112" s="90" t="s">
        <v>19</v>
      </c>
      <c r="L112" s="11" t="s">
        <v>418</v>
      </c>
      <c r="M112" s="128" t="s">
        <v>235</v>
      </c>
      <c r="N112" s="125">
        <v>40108</v>
      </c>
      <c r="O112" s="90" t="s">
        <v>327</v>
      </c>
      <c r="P112" s="135" t="s">
        <v>182</v>
      </c>
      <c r="Q112" s="119" t="s">
        <v>382</v>
      </c>
    </row>
    <row r="113" spans="1:17" ht="30">
      <c r="A113" s="152">
        <v>112</v>
      </c>
      <c r="B113" s="94">
        <v>2.2999999999999998</v>
      </c>
      <c r="C113" s="7" t="s">
        <v>285</v>
      </c>
      <c r="D113" s="153" t="s">
        <v>41</v>
      </c>
      <c r="E113" s="90"/>
      <c r="F113" s="90"/>
      <c r="G113" s="90"/>
      <c r="H113" s="90"/>
      <c r="I113" s="90"/>
      <c r="J113" s="90"/>
      <c r="K113" s="90"/>
      <c r="L113" s="91" t="s">
        <v>378</v>
      </c>
      <c r="M113" s="90" t="s">
        <v>235</v>
      </c>
      <c r="N113" s="125">
        <v>40108</v>
      </c>
      <c r="O113" s="90" t="s">
        <v>327</v>
      </c>
      <c r="P113" s="135" t="s">
        <v>285</v>
      </c>
      <c r="Q113" s="119" t="s">
        <v>377</v>
      </c>
    </row>
    <row r="114" spans="1:17" ht="120">
      <c r="A114" s="152">
        <v>113</v>
      </c>
      <c r="B114" s="94">
        <v>5.3</v>
      </c>
      <c r="C114" s="7" t="s">
        <v>285</v>
      </c>
      <c r="D114" s="153" t="s">
        <v>41</v>
      </c>
      <c r="E114" s="90"/>
      <c r="F114" s="90"/>
      <c r="G114" s="90"/>
      <c r="H114" s="90"/>
      <c r="I114" s="90"/>
      <c r="J114" s="90"/>
      <c r="K114" s="90"/>
      <c r="L114" s="91" t="s">
        <v>379</v>
      </c>
      <c r="M114" s="90" t="s">
        <v>235</v>
      </c>
      <c r="N114" s="125">
        <v>40108</v>
      </c>
      <c r="O114" s="90" t="s">
        <v>327</v>
      </c>
      <c r="P114" s="135" t="s">
        <v>285</v>
      </c>
      <c r="Q114" s="119" t="s">
        <v>377</v>
      </c>
    </row>
    <row r="115" spans="1:17" ht="30">
      <c r="A115" s="152">
        <v>114</v>
      </c>
      <c r="B115" s="94">
        <v>5.2</v>
      </c>
      <c r="C115" s="7" t="s">
        <v>233</v>
      </c>
      <c r="D115" s="153" t="s">
        <v>42</v>
      </c>
      <c r="E115" s="90">
        <v>7</v>
      </c>
      <c r="F115" s="90" t="s">
        <v>17</v>
      </c>
      <c r="G115" s="90"/>
      <c r="H115" s="90"/>
      <c r="I115" s="90"/>
      <c r="J115" s="90"/>
      <c r="K115" s="90" t="s">
        <v>19</v>
      </c>
      <c r="L115" s="131" t="s">
        <v>419</v>
      </c>
      <c r="M115" s="90" t="s">
        <v>235</v>
      </c>
      <c r="N115" s="125">
        <v>40108</v>
      </c>
      <c r="O115" s="90" t="s">
        <v>327</v>
      </c>
      <c r="P115" s="135" t="s">
        <v>317</v>
      </c>
      <c r="Q115" s="119" t="s">
        <v>268</v>
      </c>
    </row>
    <row r="116" spans="1:17" ht="30">
      <c r="A116" s="152">
        <v>115</v>
      </c>
      <c r="B116" s="94">
        <v>5.2</v>
      </c>
      <c r="C116" s="7" t="s">
        <v>233</v>
      </c>
      <c r="D116" s="153" t="s">
        <v>160</v>
      </c>
      <c r="E116" s="90">
        <v>2</v>
      </c>
      <c r="F116" s="90" t="s">
        <v>17</v>
      </c>
      <c r="G116" s="90"/>
      <c r="H116" s="90"/>
      <c r="I116" s="90"/>
      <c r="J116" s="90"/>
      <c r="K116" s="90"/>
      <c r="L116" s="85" t="s">
        <v>420</v>
      </c>
      <c r="M116" s="90" t="s">
        <v>235</v>
      </c>
      <c r="N116" s="125">
        <v>40108</v>
      </c>
      <c r="O116" s="90" t="s">
        <v>421</v>
      </c>
      <c r="P116" s="135" t="s">
        <v>182</v>
      </c>
      <c r="Q116" s="119" t="s">
        <v>382</v>
      </c>
    </row>
    <row r="117" spans="1:17" ht="75">
      <c r="A117" s="152">
        <v>116</v>
      </c>
      <c r="B117" s="94">
        <v>5.2</v>
      </c>
      <c r="C117" s="7" t="s">
        <v>233</v>
      </c>
      <c r="D117" s="153" t="s">
        <v>160</v>
      </c>
      <c r="E117" s="90">
        <v>3</v>
      </c>
      <c r="F117" s="90" t="s">
        <v>17</v>
      </c>
      <c r="G117" s="90"/>
      <c r="H117" s="90"/>
      <c r="I117" s="90"/>
      <c r="J117" s="90"/>
      <c r="K117" s="90"/>
      <c r="L117" s="147" t="s">
        <v>422</v>
      </c>
      <c r="M117" s="90" t="s">
        <v>235</v>
      </c>
      <c r="N117" s="125">
        <v>40108</v>
      </c>
      <c r="O117" s="90" t="s">
        <v>421</v>
      </c>
      <c r="P117" s="135" t="s">
        <v>182</v>
      </c>
      <c r="Q117" s="119" t="s">
        <v>382</v>
      </c>
    </row>
    <row r="118" spans="1:17" ht="45">
      <c r="A118" s="152">
        <v>117</v>
      </c>
      <c r="B118" s="94">
        <v>5.2</v>
      </c>
      <c r="C118" s="7" t="s">
        <v>233</v>
      </c>
      <c r="D118" s="153" t="s">
        <v>160</v>
      </c>
      <c r="E118" s="90">
        <v>4</v>
      </c>
      <c r="F118" s="90" t="s">
        <v>17</v>
      </c>
      <c r="G118" s="90"/>
      <c r="H118" s="90"/>
      <c r="I118" s="90"/>
      <c r="J118" s="90"/>
      <c r="K118" s="90"/>
      <c r="L118" s="85" t="s">
        <v>423</v>
      </c>
      <c r="M118" s="90" t="s">
        <v>235</v>
      </c>
      <c r="N118" s="125">
        <v>40108</v>
      </c>
      <c r="O118" s="90" t="s">
        <v>421</v>
      </c>
      <c r="P118" s="135" t="s">
        <v>182</v>
      </c>
      <c r="Q118" s="119" t="s">
        <v>382</v>
      </c>
    </row>
    <row r="119" spans="1:17" ht="150">
      <c r="A119" s="152">
        <v>118</v>
      </c>
      <c r="B119" s="94">
        <v>5.2</v>
      </c>
      <c r="C119" s="7" t="s">
        <v>233</v>
      </c>
      <c r="D119" s="153" t="s">
        <v>160</v>
      </c>
      <c r="E119" s="90"/>
      <c r="F119" s="90" t="s">
        <v>17</v>
      </c>
      <c r="G119" s="90"/>
      <c r="H119" s="90"/>
      <c r="I119" s="90"/>
      <c r="J119" s="90"/>
      <c r="K119" s="90"/>
      <c r="L119" s="147" t="s">
        <v>424</v>
      </c>
      <c r="M119" s="90" t="s">
        <v>235</v>
      </c>
      <c r="N119" s="125">
        <v>40108</v>
      </c>
      <c r="O119" s="90" t="s">
        <v>421</v>
      </c>
      <c r="P119" s="135" t="s">
        <v>182</v>
      </c>
      <c r="Q119" s="119" t="s">
        <v>382</v>
      </c>
    </row>
    <row r="120" spans="1:17" ht="75">
      <c r="A120" s="152">
        <v>119</v>
      </c>
      <c r="B120" s="94">
        <v>5.2</v>
      </c>
      <c r="C120" s="7" t="s">
        <v>233</v>
      </c>
      <c r="D120" s="153" t="s">
        <v>160</v>
      </c>
      <c r="E120" s="90"/>
      <c r="F120" s="90" t="s">
        <v>17</v>
      </c>
      <c r="G120" s="90"/>
      <c r="H120" s="90"/>
      <c r="I120" s="90"/>
      <c r="J120" s="90"/>
      <c r="K120" s="90"/>
      <c r="L120" s="147" t="s">
        <v>425</v>
      </c>
      <c r="M120" s="90" t="s">
        <v>235</v>
      </c>
      <c r="N120" s="125">
        <v>40108</v>
      </c>
      <c r="O120" s="90" t="s">
        <v>421</v>
      </c>
      <c r="P120" s="135" t="s">
        <v>182</v>
      </c>
      <c r="Q120" s="119" t="s">
        <v>382</v>
      </c>
    </row>
    <row r="121" spans="1:17" ht="75">
      <c r="A121" s="152">
        <v>120</v>
      </c>
      <c r="B121" s="94">
        <v>5.2</v>
      </c>
      <c r="C121" s="7" t="s">
        <v>233</v>
      </c>
      <c r="D121" s="153" t="s">
        <v>160</v>
      </c>
      <c r="E121" s="90"/>
      <c r="F121" s="90" t="s">
        <v>17</v>
      </c>
      <c r="G121" s="90"/>
      <c r="H121" s="90"/>
      <c r="I121" s="90"/>
      <c r="J121" s="90"/>
      <c r="K121" s="90"/>
      <c r="L121" s="147" t="s">
        <v>426</v>
      </c>
      <c r="M121" s="90" t="s">
        <v>235</v>
      </c>
      <c r="N121" s="125">
        <v>40108</v>
      </c>
      <c r="O121" s="90" t="s">
        <v>421</v>
      </c>
      <c r="P121" s="135" t="s">
        <v>182</v>
      </c>
      <c r="Q121" s="119" t="s">
        <v>382</v>
      </c>
    </row>
    <row r="122" spans="1:17" ht="75">
      <c r="A122" s="152">
        <v>121</v>
      </c>
      <c r="B122" s="94">
        <v>5.2</v>
      </c>
      <c r="C122" s="7" t="s">
        <v>233</v>
      </c>
      <c r="D122" s="153" t="s">
        <v>160</v>
      </c>
      <c r="E122" s="90"/>
      <c r="F122" s="90" t="s">
        <v>17</v>
      </c>
      <c r="G122" s="90"/>
      <c r="H122" s="90"/>
      <c r="I122" s="90"/>
      <c r="J122" s="90"/>
      <c r="K122" s="90"/>
      <c r="L122" s="147" t="s">
        <v>427</v>
      </c>
      <c r="M122" s="90" t="s">
        <v>235</v>
      </c>
      <c r="N122" s="125">
        <v>40108</v>
      </c>
      <c r="O122" s="90" t="s">
        <v>421</v>
      </c>
      <c r="P122" s="135" t="s">
        <v>182</v>
      </c>
      <c r="Q122" s="119" t="s">
        <v>382</v>
      </c>
    </row>
    <row r="123" spans="1:17" ht="185.25" customHeight="1">
      <c r="A123" s="152">
        <v>122</v>
      </c>
      <c r="B123" s="94">
        <v>5.2</v>
      </c>
      <c r="C123" s="7" t="s">
        <v>233</v>
      </c>
      <c r="D123" s="153" t="s">
        <v>160</v>
      </c>
      <c r="E123" s="90"/>
      <c r="F123" s="90" t="s">
        <v>17</v>
      </c>
      <c r="G123" s="90"/>
      <c r="H123" s="90"/>
      <c r="I123" s="90"/>
      <c r="J123" s="90"/>
      <c r="K123" s="90"/>
      <c r="L123" s="147" t="s">
        <v>428</v>
      </c>
      <c r="M123" s="90" t="s">
        <v>235</v>
      </c>
      <c r="N123" s="125">
        <v>40108</v>
      </c>
      <c r="O123" s="90" t="s">
        <v>421</v>
      </c>
      <c r="P123" s="135" t="s">
        <v>182</v>
      </c>
      <c r="Q123" s="119" t="s">
        <v>382</v>
      </c>
    </row>
    <row r="124" spans="1:17" ht="90">
      <c r="A124" s="152">
        <v>123</v>
      </c>
      <c r="B124" s="94">
        <v>5.2</v>
      </c>
      <c r="C124" s="7" t="s">
        <v>233</v>
      </c>
      <c r="D124" s="153" t="s">
        <v>160</v>
      </c>
      <c r="E124" s="90"/>
      <c r="F124" s="90" t="s">
        <v>17</v>
      </c>
      <c r="G124" s="90"/>
      <c r="H124" s="90"/>
      <c r="I124" s="90"/>
      <c r="J124" s="90"/>
      <c r="K124" s="90"/>
      <c r="L124" s="147" t="s">
        <v>429</v>
      </c>
      <c r="M124" s="90" t="s">
        <v>235</v>
      </c>
      <c r="N124" s="125">
        <v>40108</v>
      </c>
      <c r="O124" s="90" t="s">
        <v>421</v>
      </c>
      <c r="P124" s="135" t="s">
        <v>182</v>
      </c>
      <c r="Q124" s="119" t="s">
        <v>382</v>
      </c>
    </row>
    <row r="125" spans="1:17" ht="60">
      <c r="A125" s="152">
        <v>124</v>
      </c>
      <c r="B125" s="94">
        <v>5.2</v>
      </c>
      <c r="C125" s="7" t="s">
        <v>233</v>
      </c>
      <c r="D125" s="153" t="s">
        <v>160</v>
      </c>
      <c r="E125" s="90">
        <v>6</v>
      </c>
      <c r="F125" s="90"/>
      <c r="G125" s="90"/>
      <c r="H125" s="90"/>
      <c r="I125" s="90"/>
      <c r="J125" s="90"/>
      <c r="K125" s="90"/>
      <c r="L125" s="148" t="s">
        <v>430</v>
      </c>
      <c r="M125" s="90" t="s">
        <v>235</v>
      </c>
      <c r="N125" s="125">
        <v>40108</v>
      </c>
      <c r="O125" s="90" t="s">
        <v>421</v>
      </c>
      <c r="P125" s="135" t="s">
        <v>182</v>
      </c>
      <c r="Q125" s="119" t="s">
        <v>382</v>
      </c>
    </row>
    <row r="126" spans="1:17" ht="60">
      <c r="A126" s="152">
        <v>125</v>
      </c>
      <c r="B126" s="94">
        <v>5.2</v>
      </c>
      <c r="C126" s="7" t="s">
        <v>233</v>
      </c>
      <c r="D126" s="153" t="s">
        <v>160</v>
      </c>
      <c r="E126" s="90">
        <v>7</v>
      </c>
      <c r="F126" s="90"/>
      <c r="G126" s="90"/>
      <c r="H126" s="90"/>
      <c r="I126" s="90"/>
      <c r="J126" s="90"/>
      <c r="K126" s="90"/>
      <c r="L126" s="148" t="s">
        <v>431</v>
      </c>
      <c r="M126" s="90" t="s">
        <v>235</v>
      </c>
      <c r="N126" s="125">
        <v>40108</v>
      </c>
      <c r="O126" s="90" t="s">
        <v>421</v>
      </c>
      <c r="P126" s="135" t="s">
        <v>182</v>
      </c>
      <c r="Q126" s="119" t="s">
        <v>382</v>
      </c>
    </row>
    <row r="127" spans="1:17" ht="30">
      <c r="A127" s="152">
        <v>126</v>
      </c>
      <c r="B127" s="94">
        <v>5.2</v>
      </c>
      <c r="C127" s="7" t="s">
        <v>233</v>
      </c>
      <c r="D127" s="153" t="s">
        <v>160</v>
      </c>
      <c r="E127" s="90">
        <v>7</v>
      </c>
      <c r="F127" s="90"/>
      <c r="G127" s="90"/>
      <c r="H127" s="90"/>
      <c r="I127" s="90"/>
      <c r="J127" s="90"/>
      <c r="K127" s="90"/>
      <c r="L127" s="148" t="s">
        <v>432</v>
      </c>
      <c r="M127" s="90" t="s">
        <v>235</v>
      </c>
      <c r="N127" s="125">
        <v>40108</v>
      </c>
      <c r="O127" s="90" t="s">
        <v>421</v>
      </c>
      <c r="P127" s="135" t="s">
        <v>182</v>
      </c>
      <c r="Q127" s="119" t="s">
        <v>382</v>
      </c>
    </row>
    <row r="128" spans="1:17" ht="30">
      <c r="A128" s="152">
        <v>127</v>
      </c>
      <c r="B128" s="94">
        <v>5.2</v>
      </c>
      <c r="C128" s="7" t="s">
        <v>233</v>
      </c>
      <c r="D128" s="153" t="s">
        <v>160</v>
      </c>
      <c r="E128" s="90">
        <v>8</v>
      </c>
      <c r="F128" s="90"/>
      <c r="G128" s="90"/>
      <c r="H128" s="90"/>
      <c r="I128" s="90"/>
      <c r="J128" s="90"/>
      <c r="K128" s="90"/>
      <c r="L128" s="148" t="s">
        <v>433</v>
      </c>
      <c r="M128" s="90" t="s">
        <v>235</v>
      </c>
      <c r="N128" s="125">
        <v>40108</v>
      </c>
      <c r="O128" s="90" t="s">
        <v>421</v>
      </c>
      <c r="P128" s="135" t="s">
        <v>182</v>
      </c>
      <c r="Q128" s="119" t="s">
        <v>382</v>
      </c>
    </row>
    <row r="129" spans="1:17" ht="45">
      <c r="A129" s="152">
        <v>128</v>
      </c>
      <c r="B129" s="94">
        <v>5.2</v>
      </c>
      <c r="C129" s="7" t="s">
        <v>233</v>
      </c>
      <c r="D129" s="153" t="s">
        <v>48</v>
      </c>
      <c r="E129" s="90">
        <v>5</v>
      </c>
      <c r="F129" s="90"/>
      <c r="G129" s="90"/>
      <c r="H129" s="90"/>
      <c r="I129" s="90"/>
      <c r="J129" s="90"/>
      <c r="K129" s="90"/>
      <c r="L129" s="146" t="s">
        <v>434</v>
      </c>
      <c r="M129" s="90" t="s">
        <v>235</v>
      </c>
      <c r="N129" s="125">
        <v>40108</v>
      </c>
      <c r="O129" s="90" t="s">
        <v>421</v>
      </c>
      <c r="P129" s="135" t="s">
        <v>182</v>
      </c>
      <c r="Q129" s="119" t="s">
        <v>382</v>
      </c>
    </row>
    <row r="130" spans="1:17" ht="90">
      <c r="A130" s="152">
        <v>129</v>
      </c>
      <c r="B130" s="94">
        <v>5.2</v>
      </c>
      <c r="C130" s="7" t="s">
        <v>233</v>
      </c>
      <c r="D130" s="153" t="s">
        <v>157</v>
      </c>
      <c r="E130" s="90"/>
      <c r="F130" s="90" t="s">
        <v>17</v>
      </c>
      <c r="G130" s="90"/>
      <c r="H130" s="90"/>
      <c r="I130" s="90"/>
      <c r="J130" s="90"/>
      <c r="K130" s="90"/>
      <c r="L130" s="176" t="s">
        <v>435</v>
      </c>
      <c r="M130" s="90" t="s">
        <v>235</v>
      </c>
      <c r="N130" s="125">
        <v>40108</v>
      </c>
      <c r="O130" s="90" t="s">
        <v>327</v>
      </c>
      <c r="P130" s="135" t="s">
        <v>182</v>
      </c>
      <c r="Q130" s="119" t="s">
        <v>382</v>
      </c>
    </row>
    <row r="131" spans="1:17" ht="60">
      <c r="A131" s="152">
        <v>130</v>
      </c>
      <c r="B131" s="94">
        <v>1.1000000000000001</v>
      </c>
      <c r="C131" s="7" t="s">
        <v>233</v>
      </c>
      <c r="D131" s="153" t="s">
        <v>42</v>
      </c>
      <c r="E131" s="90">
        <v>2</v>
      </c>
      <c r="F131" s="90" t="s">
        <v>17</v>
      </c>
      <c r="G131" s="90"/>
      <c r="H131" s="90"/>
      <c r="I131" s="90"/>
      <c r="J131" s="90"/>
      <c r="K131" s="90"/>
      <c r="L131" s="85" t="s">
        <v>436</v>
      </c>
      <c r="M131" s="90" t="s">
        <v>437</v>
      </c>
      <c r="N131" s="125">
        <v>40108</v>
      </c>
      <c r="O131" s="90" t="s">
        <v>248</v>
      </c>
      <c r="P131" s="135" t="s">
        <v>182</v>
      </c>
      <c r="Q131" s="119"/>
    </row>
    <row r="132" spans="1:17" ht="60">
      <c r="A132" s="152">
        <v>131</v>
      </c>
      <c r="B132" s="94">
        <v>1.1000000000000001</v>
      </c>
      <c r="C132" s="7" t="s">
        <v>233</v>
      </c>
      <c r="D132" s="153" t="s">
        <v>42</v>
      </c>
      <c r="E132" s="90">
        <v>4</v>
      </c>
      <c r="F132" s="90"/>
      <c r="G132" s="90" t="s">
        <v>19</v>
      </c>
      <c r="H132" s="90"/>
      <c r="I132" s="90"/>
      <c r="J132" s="90"/>
      <c r="K132" s="90"/>
      <c r="L132" s="177" t="s">
        <v>438</v>
      </c>
      <c r="M132" s="90" t="s">
        <v>437</v>
      </c>
      <c r="N132" s="125">
        <v>40108</v>
      </c>
      <c r="O132" s="90" t="s">
        <v>248</v>
      </c>
      <c r="P132" s="135" t="s">
        <v>317</v>
      </c>
      <c r="Q132" s="119" t="s">
        <v>439</v>
      </c>
    </row>
    <row r="133" spans="1:17" ht="105">
      <c r="A133" s="152">
        <v>132</v>
      </c>
      <c r="B133" s="94">
        <v>1.1000000000000001</v>
      </c>
      <c r="C133" s="7" t="s">
        <v>233</v>
      </c>
      <c r="D133" s="153" t="s">
        <v>42</v>
      </c>
      <c r="E133" s="90">
        <v>5</v>
      </c>
      <c r="F133" s="90" t="s">
        <v>17</v>
      </c>
      <c r="G133" s="90"/>
      <c r="H133" s="90"/>
      <c r="I133" s="90"/>
      <c r="J133" s="90"/>
      <c r="K133" s="90"/>
      <c r="L133" s="177" t="s">
        <v>440</v>
      </c>
      <c r="M133" s="90" t="s">
        <v>437</v>
      </c>
      <c r="N133" s="125">
        <v>40108</v>
      </c>
      <c r="O133" s="90" t="s">
        <v>248</v>
      </c>
      <c r="P133" s="135" t="s">
        <v>182</v>
      </c>
      <c r="Q133" s="119" t="s">
        <v>439</v>
      </c>
    </row>
    <row r="134" spans="1:17" ht="105">
      <c r="A134" s="152">
        <v>133</v>
      </c>
      <c r="B134" s="94">
        <v>1.1000000000000001</v>
      </c>
      <c r="C134" s="7" t="s">
        <v>233</v>
      </c>
      <c r="D134" s="153" t="s">
        <v>42</v>
      </c>
      <c r="E134" s="90">
        <v>6</v>
      </c>
      <c r="F134" s="90" t="s">
        <v>17</v>
      </c>
      <c r="G134" s="90"/>
      <c r="H134" s="90"/>
      <c r="I134" s="90"/>
      <c r="J134" s="90"/>
      <c r="K134" s="90"/>
      <c r="L134" s="177" t="s">
        <v>441</v>
      </c>
      <c r="M134" s="90" t="s">
        <v>437</v>
      </c>
      <c r="N134" s="125">
        <v>40108</v>
      </c>
      <c r="O134" s="90" t="s">
        <v>248</v>
      </c>
      <c r="P134" s="135" t="s">
        <v>182</v>
      </c>
      <c r="Q134" s="119" t="s">
        <v>439</v>
      </c>
    </row>
    <row r="135" spans="1:17" ht="105">
      <c r="A135" s="152">
        <v>134</v>
      </c>
      <c r="B135" s="94">
        <v>1.1000000000000001</v>
      </c>
      <c r="C135" s="7" t="s">
        <v>233</v>
      </c>
      <c r="D135" s="153" t="s">
        <v>42</v>
      </c>
      <c r="E135" s="90">
        <v>7</v>
      </c>
      <c r="F135" s="90" t="s">
        <v>17</v>
      </c>
      <c r="G135" s="90"/>
      <c r="H135" s="90"/>
      <c r="I135" s="90"/>
      <c r="J135" s="90"/>
      <c r="K135" s="90"/>
      <c r="L135" s="177" t="s">
        <v>442</v>
      </c>
      <c r="M135" s="90" t="s">
        <v>437</v>
      </c>
      <c r="N135" s="125">
        <v>40108</v>
      </c>
      <c r="O135" s="90" t="s">
        <v>248</v>
      </c>
      <c r="P135" s="135" t="s">
        <v>182</v>
      </c>
      <c r="Q135" s="119" t="s">
        <v>439</v>
      </c>
    </row>
    <row r="136" spans="1:17" ht="90" customHeight="1">
      <c r="A136" s="152">
        <v>135</v>
      </c>
      <c r="B136" s="94">
        <v>1.1000000000000001</v>
      </c>
      <c r="C136" s="7" t="s">
        <v>233</v>
      </c>
      <c r="D136" s="153" t="s">
        <v>42</v>
      </c>
      <c r="E136" s="90">
        <v>8</v>
      </c>
      <c r="F136" s="90" t="s">
        <v>17</v>
      </c>
      <c r="G136" s="90"/>
      <c r="H136" s="90"/>
      <c r="I136" s="90"/>
      <c r="J136" s="90"/>
      <c r="K136" s="90"/>
      <c r="L136" s="177" t="s">
        <v>443</v>
      </c>
      <c r="M136" s="90" t="s">
        <v>437</v>
      </c>
      <c r="N136" s="125">
        <v>40108</v>
      </c>
      <c r="O136" s="90" t="s">
        <v>248</v>
      </c>
      <c r="P136" s="135" t="s">
        <v>182</v>
      </c>
      <c r="Q136" s="119" t="s">
        <v>439</v>
      </c>
    </row>
    <row r="137" spans="1:17" ht="105">
      <c r="A137" s="152">
        <v>136</v>
      </c>
      <c r="B137" s="94">
        <v>1.1000000000000001</v>
      </c>
      <c r="C137" s="7" t="s">
        <v>233</v>
      </c>
      <c r="D137" s="153" t="s">
        <v>42</v>
      </c>
      <c r="E137" s="90">
        <v>9</v>
      </c>
      <c r="F137" s="90" t="s">
        <v>17</v>
      </c>
      <c r="G137" s="90"/>
      <c r="H137" s="90"/>
      <c r="I137" s="90"/>
      <c r="J137" s="90"/>
      <c r="K137" s="90"/>
      <c r="L137" s="177" t="s">
        <v>444</v>
      </c>
      <c r="M137" s="90" t="s">
        <v>437</v>
      </c>
      <c r="N137" s="125">
        <v>40108</v>
      </c>
      <c r="O137" s="90" t="s">
        <v>248</v>
      </c>
      <c r="P137" s="135" t="s">
        <v>182</v>
      </c>
      <c r="Q137" s="119" t="s">
        <v>439</v>
      </c>
    </row>
    <row r="138" spans="1:17" ht="90">
      <c r="A138" s="152">
        <v>137</v>
      </c>
      <c r="B138" s="94">
        <v>1.1000000000000001</v>
      </c>
      <c r="C138" s="7" t="s">
        <v>233</v>
      </c>
      <c r="D138" s="153" t="s">
        <v>42</v>
      </c>
      <c r="E138" s="90">
        <v>10</v>
      </c>
      <c r="F138" s="90" t="s">
        <v>17</v>
      </c>
      <c r="G138" s="90"/>
      <c r="H138" s="90"/>
      <c r="I138" s="90"/>
      <c r="J138" s="90"/>
      <c r="K138" s="90"/>
      <c r="L138" s="177" t="s">
        <v>445</v>
      </c>
      <c r="M138" s="90" t="s">
        <v>437</v>
      </c>
      <c r="N138" s="125">
        <v>40108</v>
      </c>
      <c r="O138" s="90" t="s">
        <v>248</v>
      </c>
      <c r="P138" s="135" t="s">
        <v>182</v>
      </c>
      <c r="Q138" s="119" t="s">
        <v>439</v>
      </c>
    </row>
    <row r="139" spans="1:17" ht="60">
      <c r="A139" s="152">
        <v>138</v>
      </c>
      <c r="B139" s="94">
        <v>1.1000000000000001</v>
      </c>
      <c r="C139" s="7" t="s">
        <v>233</v>
      </c>
      <c r="D139" s="153" t="s">
        <v>137</v>
      </c>
      <c r="E139" s="90" t="s">
        <v>446</v>
      </c>
      <c r="F139" s="90"/>
      <c r="G139" s="90"/>
      <c r="H139" s="90"/>
      <c r="I139" s="90"/>
      <c r="J139" s="90"/>
      <c r="K139" s="90"/>
      <c r="L139" s="178" t="s">
        <v>447</v>
      </c>
      <c r="M139" s="90" t="s">
        <v>437</v>
      </c>
      <c r="N139" s="125">
        <v>40108</v>
      </c>
      <c r="O139" s="90" t="s">
        <v>248</v>
      </c>
      <c r="P139" s="135" t="s">
        <v>182</v>
      </c>
      <c r="Q139" s="119" t="s">
        <v>382</v>
      </c>
    </row>
    <row r="140" spans="1:17" ht="45">
      <c r="A140" s="152">
        <v>139</v>
      </c>
      <c r="B140" s="94">
        <v>1.1000000000000001</v>
      </c>
      <c r="C140" s="7" t="s">
        <v>233</v>
      </c>
      <c r="D140" s="153" t="s">
        <v>139</v>
      </c>
      <c r="E140" s="90"/>
      <c r="F140" s="90"/>
      <c r="G140" s="90"/>
      <c r="H140" s="90"/>
      <c r="I140" s="90"/>
      <c r="J140" s="90"/>
      <c r="K140" s="90"/>
      <c r="L140" s="179" t="s">
        <v>448</v>
      </c>
      <c r="M140" s="90" t="s">
        <v>437</v>
      </c>
      <c r="N140" s="125">
        <v>40108</v>
      </c>
      <c r="O140" s="90" t="s">
        <v>248</v>
      </c>
      <c r="P140" s="135" t="s">
        <v>182</v>
      </c>
      <c r="Q140" s="119" t="s">
        <v>382</v>
      </c>
    </row>
    <row r="141" spans="1:17" ht="45">
      <c r="A141" s="152">
        <v>140</v>
      </c>
      <c r="B141" s="94">
        <v>1.1000000000000001</v>
      </c>
      <c r="C141" s="7" t="s">
        <v>449</v>
      </c>
      <c r="D141" s="153" t="s">
        <v>143</v>
      </c>
      <c r="E141" s="90"/>
      <c r="F141" s="90" t="s">
        <v>17</v>
      </c>
      <c r="G141" s="90"/>
      <c r="H141" s="90"/>
      <c r="I141" s="90"/>
      <c r="J141" s="90"/>
      <c r="K141" s="90"/>
      <c r="L141" s="179" t="s">
        <v>450</v>
      </c>
      <c r="M141" s="90" t="s">
        <v>437</v>
      </c>
      <c r="N141" s="125">
        <v>40108</v>
      </c>
      <c r="O141" s="90" t="s">
        <v>248</v>
      </c>
      <c r="P141" s="135" t="s">
        <v>182</v>
      </c>
      <c r="Q141" s="119" t="s">
        <v>382</v>
      </c>
    </row>
    <row r="142" spans="1:17" ht="45">
      <c r="A142" s="152">
        <v>141</v>
      </c>
      <c r="B142" s="94">
        <v>1.1000000000000001</v>
      </c>
      <c r="C142" s="7" t="s">
        <v>449</v>
      </c>
      <c r="D142" s="153" t="s">
        <v>143</v>
      </c>
      <c r="E142" s="90"/>
      <c r="F142" s="90"/>
      <c r="G142" s="90"/>
      <c r="H142" s="90"/>
      <c r="I142" s="90"/>
      <c r="J142" s="90"/>
      <c r="K142" s="90"/>
      <c r="L142" s="180" t="s">
        <v>451</v>
      </c>
      <c r="M142" s="90" t="s">
        <v>437</v>
      </c>
      <c r="N142" s="125">
        <v>40108</v>
      </c>
      <c r="O142" s="90" t="s">
        <v>248</v>
      </c>
      <c r="P142" s="135" t="s">
        <v>182</v>
      </c>
      <c r="Q142" s="119" t="s">
        <v>382</v>
      </c>
    </row>
    <row r="143" spans="1:17" ht="45">
      <c r="A143" s="152">
        <v>142</v>
      </c>
      <c r="B143" s="94">
        <v>1.1000000000000001</v>
      </c>
      <c r="C143" s="7" t="s">
        <v>452</v>
      </c>
      <c r="D143" s="153" t="s">
        <v>144</v>
      </c>
      <c r="E143" s="90" t="s">
        <v>453</v>
      </c>
      <c r="F143" s="90"/>
      <c r="G143" s="90"/>
      <c r="H143" s="90"/>
      <c r="I143" s="90"/>
      <c r="J143" s="90"/>
      <c r="K143" s="90"/>
      <c r="L143" s="180" t="s">
        <v>454</v>
      </c>
      <c r="M143" s="90" t="s">
        <v>437</v>
      </c>
      <c r="N143" s="125">
        <v>40108</v>
      </c>
      <c r="O143" s="90" t="s">
        <v>248</v>
      </c>
      <c r="P143" s="135" t="s">
        <v>182</v>
      </c>
      <c r="Q143" s="119" t="s">
        <v>382</v>
      </c>
    </row>
    <row r="144" spans="1:17" ht="45">
      <c r="A144" s="152">
        <v>143</v>
      </c>
      <c r="B144" s="94">
        <v>1.1000000000000001</v>
      </c>
      <c r="C144" s="7" t="s">
        <v>452</v>
      </c>
      <c r="D144" s="153" t="s">
        <v>145</v>
      </c>
      <c r="E144" s="90" t="s">
        <v>453</v>
      </c>
      <c r="F144" s="90"/>
      <c r="G144" s="90"/>
      <c r="H144" s="90"/>
      <c r="I144" s="90"/>
      <c r="J144" s="90"/>
      <c r="K144" s="90"/>
      <c r="L144" s="180" t="s">
        <v>455</v>
      </c>
      <c r="M144" s="90" t="s">
        <v>437</v>
      </c>
      <c r="N144" s="125">
        <v>40108</v>
      </c>
      <c r="O144" s="90" t="s">
        <v>248</v>
      </c>
      <c r="P144" s="135" t="s">
        <v>182</v>
      </c>
      <c r="Q144" s="119" t="s">
        <v>382</v>
      </c>
    </row>
    <row r="145" spans="1:17" ht="45">
      <c r="A145" s="157">
        <v>144</v>
      </c>
      <c r="B145" s="163">
        <v>1.1000000000000001</v>
      </c>
      <c r="C145" s="181" t="s">
        <v>233</v>
      </c>
      <c r="D145" s="163" t="s">
        <v>42</v>
      </c>
      <c r="E145" s="163">
        <v>4</v>
      </c>
      <c r="F145" s="163" t="s">
        <v>456</v>
      </c>
      <c r="G145" s="163"/>
      <c r="H145" s="163"/>
      <c r="I145" s="163"/>
      <c r="J145" s="163"/>
      <c r="K145" s="163"/>
      <c r="L145" s="166" t="s">
        <v>457</v>
      </c>
      <c r="M145" s="163" t="s">
        <v>437</v>
      </c>
      <c r="N145" s="182">
        <v>40108</v>
      </c>
      <c r="O145" s="163" t="s">
        <v>248</v>
      </c>
      <c r="P145" s="183" t="s">
        <v>182</v>
      </c>
      <c r="Q145" s="184"/>
    </row>
    <row r="146" spans="1:17" ht="45">
      <c r="A146" s="157">
        <v>145</v>
      </c>
      <c r="B146" s="163">
        <v>1.1000000000000001</v>
      </c>
      <c r="C146" s="181" t="s">
        <v>233</v>
      </c>
      <c r="D146" s="163" t="s">
        <v>42</v>
      </c>
      <c r="E146" s="163">
        <v>5</v>
      </c>
      <c r="F146" s="163" t="s">
        <v>17</v>
      </c>
      <c r="G146" s="163"/>
      <c r="H146" s="163"/>
      <c r="I146" s="163"/>
      <c r="J146" s="163"/>
      <c r="K146" s="163"/>
      <c r="L146" s="166" t="s">
        <v>457</v>
      </c>
      <c r="M146" s="163" t="s">
        <v>437</v>
      </c>
      <c r="N146" s="182">
        <v>40108</v>
      </c>
      <c r="O146" s="163" t="s">
        <v>248</v>
      </c>
      <c r="P146" s="183" t="s">
        <v>182</v>
      </c>
      <c r="Q146" s="184"/>
    </row>
    <row r="147" spans="1:17" ht="45">
      <c r="A147" s="157">
        <v>146</v>
      </c>
      <c r="B147" s="163">
        <v>1.1000000000000001</v>
      </c>
      <c r="C147" s="181" t="s">
        <v>233</v>
      </c>
      <c r="D147" s="163" t="s">
        <v>42</v>
      </c>
      <c r="E147" s="163">
        <v>6</v>
      </c>
      <c r="F147" s="163" t="s">
        <v>17</v>
      </c>
      <c r="G147" s="163"/>
      <c r="H147" s="163"/>
      <c r="I147" s="163"/>
      <c r="J147" s="163"/>
      <c r="K147" s="163"/>
      <c r="L147" s="166" t="s">
        <v>457</v>
      </c>
      <c r="M147" s="163" t="s">
        <v>437</v>
      </c>
      <c r="N147" s="182">
        <v>40108</v>
      </c>
      <c r="O147" s="163" t="s">
        <v>248</v>
      </c>
      <c r="P147" s="183" t="s">
        <v>182</v>
      </c>
      <c r="Q147" s="184"/>
    </row>
    <row r="148" spans="1:17" ht="45">
      <c r="A148" s="157">
        <v>147</v>
      </c>
      <c r="B148" s="163">
        <v>1.1000000000000001</v>
      </c>
      <c r="C148" s="181" t="s">
        <v>233</v>
      </c>
      <c r="D148" s="163" t="s">
        <v>42</v>
      </c>
      <c r="E148" s="163">
        <v>7</v>
      </c>
      <c r="F148" s="163" t="s">
        <v>17</v>
      </c>
      <c r="G148" s="163"/>
      <c r="H148" s="163"/>
      <c r="I148" s="163"/>
      <c r="J148" s="163"/>
      <c r="K148" s="163"/>
      <c r="L148" s="166" t="s">
        <v>457</v>
      </c>
      <c r="M148" s="163" t="s">
        <v>437</v>
      </c>
      <c r="N148" s="182">
        <v>40108</v>
      </c>
      <c r="O148" s="163" t="s">
        <v>248</v>
      </c>
      <c r="P148" s="183" t="s">
        <v>182</v>
      </c>
      <c r="Q148" s="184"/>
    </row>
    <row r="149" spans="1:17" ht="45">
      <c r="A149" s="157">
        <v>148</v>
      </c>
      <c r="B149" s="163">
        <v>1.1000000000000001</v>
      </c>
      <c r="C149" s="181" t="s">
        <v>233</v>
      </c>
      <c r="D149" s="163" t="s">
        <v>42</v>
      </c>
      <c r="E149" s="163">
        <v>8</v>
      </c>
      <c r="F149" s="163" t="s">
        <v>17</v>
      </c>
      <c r="G149" s="163"/>
      <c r="H149" s="163"/>
      <c r="I149" s="163"/>
      <c r="J149" s="163"/>
      <c r="K149" s="163"/>
      <c r="L149" s="166" t="s">
        <v>457</v>
      </c>
      <c r="M149" s="163" t="s">
        <v>437</v>
      </c>
      <c r="N149" s="182">
        <v>40108</v>
      </c>
      <c r="O149" s="163" t="s">
        <v>248</v>
      </c>
      <c r="P149" s="183" t="s">
        <v>182</v>
      </c>
      <c r="Q149" s="184"/>
    </row>
    <row r="150" spans="1:17" ht="45">
      <c r="A150" s="157">
        <v>149</v>
      </c>
      <c r="B150" s="163">
        <v>1.1000000000000001</v>
      </c>
      <c r="C150" s="181" t="s">
        <v>233</v>
      </c>
      <c r="D150" s="163" t="s">
        <v>42</v>
      </c>
      <c r="E150" s="163">
        <v>9</v>
      </c>
      <c r="F150" s="163" t="s">
        <v>17</v>
      </c>
      <c r="G150" s="163"/>
      <c r="H150" s="163"/>
      <c r="I150" s="163"/>
      <c r="J150" s="163"/>
      <c r="K150" s="163"/>
      <c r="L150" s="166" t="s">
        <v>457</v>
      </c>
      <c r="M150" s="163" t="s">
        <v>437</v>
      </c>
      <c r="N150" s="182">
        <v>40108</v>
      </c>
      <c r="O150" s="163" t="s">
        <v>248</v>
      </c>
      <c r="P150" s="183" t="s">
        <v>182</v>
      </c>
      <c r="Q150" s="184"/>
    </row>
    <row r="151" spans="1:17" ht="93" customHeight="1">
      <c r="A151" s="157">
        <v>150</v>
      </c>
      <c r="B151" s="163">
        <v>1.1000000000000001</v>
      </c>
      <c r="C151" s="181" t="s">
        <v>233</v>
      </c>
      <c r="D151" s="163" t="s">
        <v>42</v>
      </c>
      <c r="E151" s="163">
        <v>10</v>
      </c>
      <c r="F151" s="163" t="s">
        <v>17</v>
      </c>
      <c r="G151" s="163"/>
      <c r="H151" s="163"/>
      <c r="I151" s="163"/>
      <c r="J151" s="163"/>
      <c r="K151" s="163"/>
      <c r="L151" s="185" t="s">
        <v>458</v>
      </c>
      <c r="M151" s="163" t="s">
        <v>437</v>
      </c>
      <c r="N151" s="182">
        <v>40108</v>
      </c>
      <c r="O151" s="163" t="s">
        <v>248</v>
      </c>
      <c r="P151" s="183" t="s">
        <v>182</v>
      </c>
      <c r="Q151" s="184"/>
    </row>
    <row r="152" spans="1:17" ht="30">
      <c r="A152" s="152">
        <v>151</v>
      </c>
      <c r="B152" s="94">
        <v>1.1000000000000001</v>
      </c>
      <c r="C152" s="7" t="s">
        <v>449</v>
      </c>
      <c r="D152" s="153" t="s">
        <v>220</v>
      </c>
      <c r="E152" s="90">
        <v>1</v>
      </c>
      <c r="F152" s="90" t="s">
        <v>17</v>
      </c>
      <c r="G152" s="90"/>
      <c r="H152" s="90"/>
      <c r="I152" s="90"/>
      <c r="J152" s="90"/>
      <c r="K152" s="90"/>
      <c r="L152" s="7" t="s">
        <v>459</v>
      </c>
      <c r="M152" s="90" t="s">
        <v>437</v>
      </c>
      <c r="N152" s="125">
        <v>40108</v>
      </c>
      <c r="O152" s="90" t="s">
        <v>248</v>
      </c>
      <c r="P152" s="135" t="s">
        <v>182</v>
      </c>
      <c r="Q152" s="119" t="s">
        <v>382</v>
      </c>
    </row>
    <row r="153" spans="1:17" ht="45">
      <c r="A153" s="152">
        <v>152</v>
      </c>
      <c r="B153" s="94">
        <v>1.1000000000000001</v>
      </c>
      <c r="C153" s="7" t="s">
        <v>449</v>
      </c>
      <c r="D153" s="153" t="s">
        <v>143</v>
      </c>
      <c r="E153" s="90"/>
      <c r="F153" s="90" t="s">
        <v>17</v>
      </c>
      <c r="G153" s="90"/>
      <c r="H153" s="90"/>
      <c r="I153" s="90"/>
      <c r="J153" s="90"/>
      <c r="K153" s="90"/>
      <c r="L153" s="186" t="s">
        <v>460</v>
      </c>
      <c r="M153" s="90" t="s">
        <v>437</v>
      </c>
      <c r="N153" s="125">
        <v>40108</v>
      </c>
      <c r="O153" s="90" t="s">
        <v>248</v>
      </c>
      <c r="P153" s="135" t="s">
        <v>182</v>
      </c>
      <c r="Q153" s="119" t="s">
        <v>382</v>
      </c>
    </row>
    <row r="154" spans="1:17" ht="45">
      <c r="A154" s="152">
        <v>153</v>
      </c>
      <c r="B154" s="94">
        <v>1.1000000000000001</v>
      </c>
      <c r="C154" s="7" t="s">
        <v>449</v>
      </c>
      <c r="D154" s="153" t="s">
        <v>143</v>
      </c>
      <c r="E154" s="90"/>
      <c r="F154" s="90" t="s">
        <v>17</v>
      </c>
      <c r="G154" s="90"/>
      <c r="H154" s="90"/>
      <c r="I154" s="90"/>
      <c r="J154" s="90"/>
      <c r="K154" s="90"/>
      <c r="L154" s="186" t="s">
        <v>461</v>
      </c>
      <c r="M154" s="90" t="s">
        <v>437</v>
      </c>
      <c r="N154" s="125">
        <v>40108</v>
      </c>
      <c r="O154" s="90" t="s">
        <v>248</v>
      </c>
      <c r="P154" s="135" t="s">
        <v>182</v>
      </c>
      <c r="Q154" s="119" t="s">
        <v>382</v>
      </c>
    </row>
    <row r="155" spans="1:17" ht="60" customHeight="1">
      <c r="A155" s="152">
        <v>154</v>
      </c>
      <c r="B155" s="94">
        <v>1.1000000000000001</v>
      </c>
      <c r="C155" s="7" t="s">
        <v>452</v>
      </c>
      <c r="D155" s="153" t="s">
        <v>143</v>
      </c>
      <c r="E155" s="90"/>
      <c r="F155" s="90" t="s">
        <v>17</v>
      </c>
      <c r="G155" s="90"/>
      <c r="H155" s="90"/>
      <c r="I155" s="90"/>
      <c r="J155" s="90"/>
      <c r="K155" s="90"/>
      <c r="L155" s="186" t="s">
        <v>462</v>
      </c>
      <c r="M155" s="90" t="s">
        <v>437</v>
      </c>
      <c r="N155" s="125">
        <v>40108</v>
      </c>
      <c r="O155" s="90" t="s">
        <v>248</v>
      </c>
      <c r="P155" s="135" t="s">
        <v>182</v>
      </c>
      <c r="Q155" s="119" t="s">
        <v>382</v>
      </c>
    </row>
    <row r="156" spans="1:17" ht="45">
      <c r="A156" s="152">
        <v>155</v>
      </c>
      <c r="B156" s="94">
        <v>1.1000000000000001</v>
      </c>
      <c r="C156" s="7" t="s">
        <v>452</v>
      </c>
      <c r="D156" s="153" t="s">
        <v>143</v>
      </c>
      <c r="E156" s="90"/>
      <c r="F156" s="90" t="s">
        <v>17</v>
      </c>
      <c r="G156" s="90"/>
      <c r="H156" s="90"/>
      <c r="I156" s="90"/>
      <c r="J156" s="90"/>
      <c r="K156" s="90"/>
      <c r="L156" s="186" t="s">
        <v>463</v>
      </c>
      <c r="M156" s="90" t="s">
        <v>437</v>
      </c>
      <c r="N156" s="125">
        <v>40108</v>
      </c>
      <c r="O156" s="90" t="s">
        <v>248</v>
      </c>
      <c r="P156" s="135" t="s">
        <v>182</v>
      </c>
      <c r="Q156" s="119" t="s">
        <v>382</v>
      </c>
    </row>
    <row r="157" spans="1:17" ht="45">
      <c r="A157" s="152">
        <v>156</v>
      </c>
      <c r="B157" s="94">
        <v>1.1000000000000001</v>
      </c>
      <c r="C157" s="7" t="s">
        <v>449</v>
      </c>
      <c r="D157" s="153" t="s">
        <v>143</v>
      </c>
      <c r="E157" s="90"/>
      <c r="F157" s="90" t="s">
        <v>17</v>
      </c>
      <c r="G157" s="90"/>
      <c r="H157" s="90"/>
      <c r="I157" s="90"/>
      <c r="J157" s="90"/>
      <c r="K157" s="90"/>
      <c r="L157" s="186" t="s">
        <v>464</v>
      </c>
      <c r="M157" s="90" t="s">
        <v>437</v>
      </c>
      <c r="N157" s="125">
        <v>40108</v>
      </c>
      <c r="O157" s="90" t="s">
        <v>248</v>
      </c>
      <c r="P157" s="135" t="s">
        <v>182</v>
      </c>
      <c r="Q157" s="119" t="s">
        <v>382</v>
      </c>
    </row>
    <row r="158" spans="1:17" ht="45">
      <c r="A158" s="152">
        <v>157</v>
      </c>
      <c r="B158" s="94">
        <v>1.1000000000000001</v>
      </c>
      <c r="C158" s="7" t="s">
        <v>449</v>
      </c>
      <c r="D158" s="153" t="s">
        <v>143</v>
      </c>
      <c r="E158" s="90"/>
      <c r="F158" s="90" t="s">
        <v>17</v>
      </c>
      <c r="G158" s="90"/>
      <c r="H158" s="90"/>
      <c r="I158" s="90"/>
      <c r="J158" s="90"/>
      <c r="K158" s="90"/>
      <c r="L158" s="186" t="s">
        <v>465</v>
      </c>
      <c r="M158" s="90" t="s">
        <v>437</v>
      </c>
      <c r="N158" s="125">
        <v>40108</v>
      </c>
      <c r="O158" s="90" t="s">
        <v>248</v>
      </c>
      <c r="P158" s="135" t="s">
        <v>182</v>
      </c>
      <c r="Q158" s="119" t="s">
        <v>382</v>
      </c>
    </row>
    <row r="159" spans="1:17" ht="60">
      <c r="A159" s="152">
        <v>158</v>
      </c>
      <c r="B159" s="94">
        <v>1.1000000000000001</v>
      </c>
      <c r="C159" s="7" t="s">
        <v>449</v>
      </c>
      <c r="D159" s="153" t="s">
        <v>143</v>
      </c>
      <c r="E159" s="90"/>
      <c r="F159" s="90" t="s">
        <v>17</v>
      </c>
      <c r="G159" s="90"/>
      <c r="H159" s="90"/>
      <c r="I159" s="90"/>
      <c r="J159" s="90"/>
      <c r="K159" s="90"/>
      <c r="L159" s="186" t="s">
        <v>466</v>
      </c>
      <c r="M159" s="90" t="s">
        <v>437</v>
      </c>
      <c r="N159" s="125">
        <v>40108</v>
      </c>
      <c r="O159" s="90" t="s">
        <v>248</v>
      </c>
      <c r="P159" s="135" t="s">
        <v>182</v>
      </c>
      <c r="Q159" s="119" t="s">
        <v>382</v>
      </c>
    </row>
  </sheetData>
  <autoFilter ref="B1:Q159"/>
  <conditionalFormatting sqref="F49:F52">
    <cfRule type="cellIs" dxfId="345" priority="1" stopIfTrue="1" operator="equal">
      <formula>"Ready for Retest"</formula>
    </cfRule>
    <cfRule type="cellIs" dxfId="344" priority="2" stopIfTrue="1" operator="equal">
      <formula>"Do Not Test"</formula>
    </cfRule>
    <cfRule type="cellIs" dxfId="343" priority="3" stopIfTrue="1" operator="equal">
      <formula>"Ready to Test"</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sheetPr>
    <tabColor rgb="FFFF0000"/>
  </sheetPr>
  <dimension ref="A1:BD231"/>
  <sheetViews>
    <sheetView tabSelected="1" zoomScaleNormal="100" workbookViewId="0">
      <selection activeCell="A17" sqref="A17"/>
    </sheetView>
  </sheetViews>
  <sheetFormatPr defaultRowHeight="15.75"/>
  <cols>
    <col min="1" max="1" width="13.7109375" style="36" customWidth="1"/>
    <col min="2" max="2" width="21.42578125" style="36" customWidth="1"/>
    <col min="3" max="3" width="81.7109375" style="36" customWidth="1"/>
    <col min="4" max="4" width="42" style="36" customWidth="1"/>
    <col min="5" max="5" width="9.85546875" style="36" bestFit="1" customWidth="1"/>
    <col min="6" max="56" width="9.140625" style="249"/>
    <col min="57" max="16384" width="9.140625" style="36"/>
  </cols>
  <sheetData>
    <row r="1" spans="1:6" s="249" customFormat="1" ht="16.5" thickBot="1">
      <c r="A1" s="250"/>
      <c r="B1" s="250"/>
      <c r="C1" s="250"/>
      <c r="D1" s="250"/>
      <c r="E1" s="250"/>
      <c r="F1" s="250"/>
    </row>
    <row r="2" spans="1:6" s="249" customFormat="1">
      <c r="A2" s="265" t="s">
        <v>589</v>
      </c>
      <c r="B2" s="266"/>
      <c r="C2" s="269" t="s">
        <v>597</v>
      </c>
      <c r="D2" s="246" t="s">
        <v>590</v>
      </c>
      <c r="E2" s="245"/>
      <c r="F2" s="251"/>
    </row>
    <row r="3" spans="1:6" s="249" customFormat="1">
      <c r="A3" s="277" t="s">
        <v>591</v>
      </c>
      <c r="B3" s="268"/>
      <c r="C3" s="270" t="s">
        <v>1219</v>
      </c>
      <c r="D3" s="244" t="s">
        <v>1469</v>
      </c>
      <c r="E3" s="243"/>
      <c r="F3" s="251"/>
    </row>
    <row r="4" spans="1:6" s="249" customFormat="1">
      <c r="A4" s="277" t="s">
        <v>1470</v>
      </c>
      <c r="B4" s="268"/>
      <c r="C4" s="270" t="s">
        <v>1220</v>
      </c>
      <c r="D4" s="244"/>
      <c r="E4" s="243"/>
    </row>
    <row r="5" spans="1:6" s="249" customFormat="1" ht="16.5" customHeight="1">
      <c r="A5" s="277" t="s">
        <v>1471</v>
      </c>
      <c r="B5" s="268"/>
      <c r="C5" s="402" t="s">
        <v>1318</v>
      </c>
      <c r="D5" s="244"/>
      <c r="E5" s="243"/>
    </row>
    <row r="6" spans="1:6" s="249" customFormat="1">
      <c r="A6" s="463" t="s">
        <v>1472</v>
      </c>
      <c r="B6" s="268"/>
      <c r="C6" s="270" t="s">
        <v>1468</v>
      </c>
      <c r="D6" s="244"/>
      <c r="E6" s="243"/>
    </row>
    <row r="7" spans="1:6" s="249" customFormat="1">
      <c r="A7" s="463" t="s">
        <v>1473</v>
      </c>
      <c r="B7" s="268"/>
      <c r="C7" s="270" t="s">
        <v>1467</v>
      </c>
      <c r="D7" s="244" t="s">
        <v>592</v>
      </c>
      <c r="E7" s="264">
        <v>1</v>
      </c>
    </row>
    <row r="8" spans="1:6" s="249" customFormat="1">
      <c r="A8" s="463" t="s">
        <v>1482</v>
      </c>
      <c r="B8" s="268"/>
      <c r="C8" s="270" t="s">
        <v>1221</v>
      </c>
      <c r="D8" s="244"/>
      <c r="E8" s="264"/>
    </row>
    <row r="9" spans="1:6" s="249" customFormat="1">
      <c r="A9" s="463" t="s">
        <v>1474</v>
      </c>
      <c r="B9" s="268"/>
      <c r="C9" s="270"/>
      <c r="D9" s="244"/>
      <c r="E9" s="242"/>
    </row>
    <row r="10" spans="1:6" s="249" customFormat="1" ht="16.5" thickBot="1">
      <c r="A10" s="463" t="s">
        <v>1218</v>
      </c>
      <c r="B10" s="268"/>
      <c r="C10" s="271"/>
      <c r="D10" s="244" t="s">
        <v>593</v>
      </c>
      <c r="E10" s="242">
        <v>41865</v>
      </c>
    </row>
    <row r="11" spans="1:6" s="249" customFormat="1" ht="16.5" thickBot="1">
      <c r="A11" s="277" t="s">
        <v>1475</v>
      </c>
      <c r="B11" s="268"/>
      <c r="D11" s="241"/>
      <c r="E11" s="247"/>
    </row>
    <row r="12" spans="1:6" s="249" customFormat="1">
      <c r="A12" s="277" t="s">
        <v>1476</v>
      </c>
      <c r="B12" s="268"/>
      <c r="F12" s="251"/>
    </row>
    <row r="13" spans="1:6" s="249" customFormat="1">
      <c r="A13" s="463" t="s">
        <v>1477</v>
      </c>
      <c r="B13" s="268"/>
      <c r="F13" s="251"/>
    </row>
    <row r="14" spans="1:6" s="249" customFormat="1">
      <c r="A14" s="463" t="s">
        <v>1478</v>
      </c>
      <c r="B14" s="268"/>
      <c r="F14" s="251"/>
    </row>
    <row r="15" spans="1:6" s="249" customFormat="1">
      <c r="A15" s="466" t="s">
        <v>1479</v>
      </c>
      <c r="B15" s="467"/>
      <c r="F15" s="251"/>
    </row>
    <row r="16" spans="1:6" s="249" customFormat="1">
      <c r="A16" s="277" t="s">
        <v>1480</v>
      </c>
      <c r="B16" s="268"/>
      <c r="C16" s="251"/>
      <c r="F16" s="251"/>
    </row>
    <row r="17" spans="1:6" s="249" customFormat="1">
      <c r="A17" s="308" t="s">
        <v>1481</v>
      </c>
      <c r="B17" s="268"/>
      <c r="C17" s="250"/>
      <c r="F17" s="251"/>
    </row>
    <row r="18" spans="1:6" s="249" customFormat="1">
      <c r="A18" s="277" t="s">
        <v>605</v>
      </c>
      <c r="B18" s="268"/>
      <c r="C18" s="250"/>
      <c r="F18" s="251"/>
    </row>
    <row r="19" spans="1:6" s="249" customFormat="1">
      <c r="A19" s="277"/>
      <c r="B19" s="268"/>
      <c r="C19" s="250"/>
    </row>
    <row r="20" spans="1:6" s="249" customFormat="1">
      <c r="A20" s="277"/>
      <c r="B20" s="268"/>
      <c r="C20" s="250"/>
      <c r="D20" s="250"/>
      <c r="E20" s="250"/>
      <c r="F20" s="250"/>
    </row>
    <row r="21" spans="1:6" s="249" customFormat="1">
      <c r="A21" s="267"/>
      <c r="B21" s="268"/>
      <c r="C21" s="250"/>
      <c r="D21" s="250"/>
      <c r="E21" s="250"/>
      <c r="F21" s="250"/>
    </row>
    <row r="22" spans="1:6" s="249" customFormat="1">
      <c r="A22" s="267"/>
      <c r="B22" s="268"/>
      <c r="C22" s="250"/>
      <c r="D22" s="250"/>
      <c r="E22" s="250"/>
      <c r="F22" s="250"/>
    </row>
    <row r="23" spans="1:6" s="249" customFormat="1">
      <c r="A23" s="267"/>
      <c r="B23" s="268"/>
      <c r="C23" s="250"/>
      <c r="D23" s="250"/>
      <c r="E23" s="250"/>
      <c r="F23" s="250"/>
    </row>
    <row r="24" spans="1:6" ht="16.5" thickBot="1">
      <c r="A24" s="217" t="s">
        <v>547</v>
      </c>
      <c r="B24" s="218"/>
      <c r="C24" s="236"/>
      <c r="D24" s="249"/>
      <c r="E24" s="249"/>
    </row>
    <row r="25" spans="1:6">
      <c r="A25" s="219" t="s">
        <v>548</v>
      </c>
      <c r="B25" s="220" t="s">
        <v>549</v>
      </c>
      <c r="C25" s="221" t="s">
        <v>550</v>
      </c>
      <c r="D25" s="249"/>
      <c r="E25" s="249"/>
    </row>
    <row r="26" spans="1:6">
      <c r="A26" s="468"/>
      <c r="B26" s="469"/>
      <c r="C26" s="470"/>
      <c r="D26" s="249"/>
      <c r="E26" s="249"/>
    </row>
    <row r="27" spans="1:6" ht="63">
      <c r="A27" s="222" t="s">
        <v>541</v>
      </c>
      <c r="B27" s="223" t="s">
        <v>551</v>
      </c>
      <c r="C27" s="224" t="s">
        <v>552</v>
      </c>
      <c r="D27" s="249"/>
      <c r="E27" s="249"/>
    </row>
    <row r="28" spans="1:6" ht="94.5">
      <c r="A28" s="222" t="s">
        <v>546</v>
      </c>
      <c r="B28" s="223" t="s">
        <v>553</v>
      </c>
      <c r="C28" s="225" t="s">
        <v>554</v>
      </c>
      <c r="D28" s="249"/>
      <c r="E28" s="249"/>
    </row>
    <row r="29" spans="1:6" ht="32.450000000000003" customHeight="1" thickBot="1">
      <c r="A29" s="226" t="s">
        <v>555</v>
      </c>
      <c r="B29" s="227" t="s">
        <v>556</v>
      </c>
      <c r="C29" s="228" t="s">
        <v>557</v>
      </c>
      <c r="D29" s="249"/>
      <c r="E29" s="249"/>
    </row>
    <row r="30" spans="1:6" s="249" customFormat="1"/>
    <row r="31" spans="1:6" s="249" customFormat="1" ht="30" customHeight="1" thickBot="1"/>
    <row r="32" spans="1:6" ht="16.5" thickBot="1">
      <c r="A32" s="471" t="s">
        <v>558</v>
      </c>
      <c r="B32" s="472"/>
      <c r="C32" s="472"/>
      <c r="D32" s="473"/>
    </row>
    <row r="33" spans="1:56">
      <c r="A33" s="474"/>
      <c r="B33" s="475"/>
      <c r="C33" s="475"/>
      <c r="D33" s="476"/>
      <c r="E33" s="249"/>
    </row>
    <row r="34" spans="1:56">
      <c r="A34" s="477" t="s">
        <v>559</v>
      </c>
      <c r="B34" s="478"/>
      <c r="C34" s="478"/>
      <c r="D34" s="479"/>
      <c r="E34" s="249"/>
    </row>
    <row r="35" spans="1:56">
      <c r="A35" s="480" t="s">
        <v>560</v>
      </c>
      <c r="B35" s="229" t="s">
        <v>542</v>
      </c>
      <c r="C35" s="464" t="s">
        <v>561</v>
      </c>
      <c r="D35" s="465"/>
      <c r="E35" s="249"/>
    </row>
    <row r="36" spans="1:56" ht="15.75" customHeight="1">
      <c r="A36" s="481"/>
      <c r="B36" s="229" t="s">
        <v>543</v>
      </c>
      <c r="C36" s="464" t="s">
        <v>562</v>
      </c>
      <c r="D36" s="465"/>
      <c r="E36" s="249"/>
    </row>
    <row r="37" spans="1:56" ht="15.75" customHeight="1">
      <c r="A37" s="481"/>
      <c r="B37" s="229" t="s">
        <v>544</v>
      </c>
      <c r="C37" s="464" t="s">
        <v>563</v>
      </c>
      <c r="D37" s="465"/>
      <c r="E37" s="249"/>
    </row>
    <row r="38" spans="1:56" s="235" customFormat="1" ht="15.75" customHeight="1">
      <c r="A38" s="482"/>
      <c r="B38" s="229" t="s">
        <v>545</v>
      </c>
      <c r="C38" s="464" t="s">
        <v>564</v>
      </c>
      <c r="D38" s="465"/>
      <c r="E38" s="249"/>
      <c r="F38" s="249"/>
      <c r="G38" s="248"/>
      <c r="H38" s="248"/>
      <c r="I38" s="248"/>
      <c r="J38" s="248"/>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8"/>
      <c r="BC38" s="248"/>
      <c r="BD38" s="248"/>
    </row>
    <row r="39" spans="1:56" s="235" customFormat="1">
      <c r="A39" s="486" t="s">
        <v>565</v>
      </c>
      <c r="B39" s="487"/>
      <c r="C39" s="487"/>
      <c r="D39" s="488"/>
      <c r="E39" s="249"/>
      <c r="F39" s="249"/>
      <c r="G39" s="248"/>
      <c r="H39" s="248"/>
      <c r="I39" s="248"/>
      <c r="J39" s="248"/>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8"/>
      <c r="AZ39" s="248"/>
      <c r="BA39" s="248"/>
      <c r="BB39" s="248"/>
      <c r="BC39" s="248"/>
      <c r="BD39" s="248"/>
    </row>
    <row r="40" spans="1:56" s="235" customFormat="1" ht="15.75" customHeight="1">
      <c r="A40" s="489" t="s">
        <v>566</v>
      </c>
      <c r="B40" s="230" t="s">
        <v>567</v>
      </c>
      <c r="C40" s="492" t="s">
        <v>568</v>
      </c>
      <c r="D40" s="493"/>
      <c r="E40" s="249"/>
      <c r="F40" s="249"/>
      <c r="G40" s="248"/>
      <c r="H40" s="248"/>
      <c r="I40" s="248"/>
      <c r="J40" s="248"/>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248"/>
      <c r="AY40" s="248"/>
      <c r="AZ40" s="248"/>
      <c r="BA40" s="248"/>
      <c r="BB40" s="248"/>
      <c r="BC40" s="248"/>
      <c r="BD40" s="248"/>
    </row>
    <row r="41" spans="1:56" s="235" customFormat="1" ht="15.75" customHeight="1">
      <c r="A41" s="490"/>
      <c r="B41" s="230" t="s">
        <v>569</v>
      </c>
      <c r="C41" s="492" t="s">
        <v>570</v>
      </c>
      <c r="D41" s="493"/>
      <c r="E41" s="249"/>
      <c r="F41" s="249"/>
      <c r="G41" s="248"/>
      <c r="H41" s="248"/>
      <c r="I41" s="248"/>
      <c r="J41" s="248"/>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X41" s="248"/>
      <c r="AY41" s="248"/>
      <c r="AZ41" s="248"/>
      <c r="BA41" s="248"/>
      <c r="BB41" s="248"/>
      <c r="BC41" s="248"/>
      <c r="BD41" s="248"/>
    </row>
    <row r="42" spans="1:56" ht="15.75" customHeight="1">
      <c r="A42" s="490"/>
      <c r="B42" s="230" t="s">
        <v>571</v>
      </c>
      <c r="C42" s="492" t="s">
        <v>572</v>
      </c>
      <c r="D42" s="493"/>
      <c r="E42" s="249"/>
    </row>
    <row r="43" spans="1:56" ht="15.75" customHeight="1">
      <c r="A43" s="490"/>
      <c r="B43" s="230" t="s">
        <v>573</v>
      </c>
      <c r="C43" s="492" t="s">
        <v>574</v>
      </c>
      <c r="D43" s="493"/>
      <c r="E43" s="249"/>
    </row>
    <row r="44" spans="1:56">
      <c r="A44" s="491"/>
      <c r="B44" s="231">
        <v>5</v>
      </c>
      <c r="C44" s="464" t="s">
        <v>575</v>
      </c>
      <c r="D44" s="465"/>
      <c r="E44" s="249"/>
    </row>
    <row r="45" spans="1:56" s="249" customFormat="1"/>
    <row r="46" spans="1:56" s="249" customFormat="1"/>
    <row r="47" spans="1:56" s="249" customFormat="1"/>
    <row r="48" spans="1:56">
      <c r="A48" s="494" t="s">
        <v>576</v>
      </c>
      <c r="B48" s="495"/>
      <c r="C48" s="496"/>
      <c r="D48" s="249"/>
      <c r="E48" s="249"/>
    </row>
    <row r="49" spans="1:6">
      <c r="A49" s="483"/>
      <c r="B49" s="484"/>
      <c r="C49" s="485"/>
      <c r="D49" s="249"/>
      <c r="E49" s="249"/>
    </row>
    <row r="50" spans="1:6">
      <c r="A50" s="232" t="s">
        <v>17</v>
      </c>
      <c r="B50" s="233" t="s">
        <v>2</v>
      </c>
      <c r="C50" s="234" t="s">
        <v>577</v>
      </c>
      <c r="D50" s="248"/>
      <c r="E50" s="248"/>
      <c r="F50" s="248"/>
    </row>
    <row r="51" spans="1:6">
      <c r="A51" s="232" t="s">
        <v>18</v>
      </c>
      <c r="B51" s="233" t="s">
        <v>566</v>
      </c>
      <c r="C51" s="234" t="s">
        <v>578</v>
      </c>
      <c r="D51" s="248"/>
      <c r="E51" s="248"/>
      <c r="F51" s="248"/>
    </row>
    <row r="52" spans="1:6">
      <c r="A52" s="232" t="s">
        <v>19</v>
      </c>
      <c r="B52" s="233" t="s">
        <v>579</v>
      </c>
      <c r="C52" s="234" t="s">
        <v>580</v>
      </c>
      <c r="D52" s="248"/>
      <c r="E52" s="248"/>
      <c r="F52" s="248"/>
    </row>
    <row r="53" spans="1:6">
      <c r="A53" s="232">
        <v>0</v>
      </c>
      <c r="B53" s="233" t="s">
        <v>581</v>
      </c>
      <c r="C53" s="234" t="s">
        <v>582</v>
      </c>
      <c r="D53" s="248"/>
      <c r="E53" s="248"/>
      <c r="F53" s="248"/>
    </row>
    <row r="54" spans="1:6" s="249" customFormat="1"/>
    <row r="55" spans="1:6" s="249" customFormat="1"/>
    <row r="56" spans="1:6" s="249" customFormat="1"/>
    <row r="57" spans="1:6" s="249" customFormat="1"/>
    <row r="58" spans="1:6" s="249" customFormat="1"/>
    <row r="59" spans="1:6" s="249" customFormat="1"/>
    <row r="60" spans="1:6" s="249" customFormat="1"/>
    <row r="61" spans="1:6" s="249" customFormat="1"/>
    <row r="62" spans="1:6" s="249" customFormat="1"/>
    <row r="63" spans="1:6" s="249" customFormat="1"/>
    <row r="64" spans="1:6" s="249" customFormat="1"/>
    <row r="65" s="249" customFormat="1"/>
    <row r="66" s="249" customFormat="1"/>
    <row r="67" s="249" customFormat="1"/>
    <row r="68" s="249" customFormat="1"/>
    <row r="69" s="249" customFormat="1"/>
    <row r="70" s="249" customFormat="1"/>
    <row r="71" s="249" customFormat="1"/>
    <row r="72" s="249" customFormat="1"/>
    <row r="73" s="249" customFormat="1"/>
    <row r="74" s="249" customFormat="1"/>
    <row r="75" s="249" customFormat="1"/>
    <row r="76" s="249" customFormat="1"/>
    <row r="77" s="249" customFormat="1"/>
    <row r="78" s="249" customFormat="1"/>
    <row r="79" s="249" customFormat="1"/>
    <row r="80" s="249" customFormat="1"/>
    <row r="81" s="249" customFormat="1"/>
    <row r="82" s="249" customFormat="1"/>
    <row r="83" s="249" customFormat="1"/>
    <row r="84" s="249" customFormat="1"/>
    <row r="85" s="249" customFormat="1"/>
    <row r="86" s="249" customFormat="1"/>
    <row r="87" s="249" customFormat="1"/>
    <row r="88" s="249" customFormat="1"/>
    <row r="89" s="249" customFormat="1"/>
    <row r="90" s="249" customFormat="1"/>
    <row r="91" s="249" customFormat="1"/>
    <row r="92" s="249" customFormat="1"/>
    <row r="93" s="249" customFormat="1"/>
    <row r="94" s="249" customFormat="1"/>
    <row r="95" s="249" customFormat="1"/>
    <row r="96" s="249" customFormat="1"/>
    <row r="97" s="249" customFormat="1"/>
    <row r="98" s="249" customFormat="1"/>
    <row r="99" s="249" customFormat="1"/>
    <row r="100" s="249" customFormat="1"/>
    <row r="101" s="249" customFormat="1"/>
    <row r="102" s="249" customFormat="1"/>
    <row r="103" s="249" customFormat="1"/>
    <row r="104" s="249" customFormat="1"/>
    <row r="105" s="249" customFormat="1"/>
    <row r="106" s="249" customFormat="1"/>
    <row r="107" s="249" customFormat="1"/>
    <row r="108" s="249" customFormat="1"/>
    <row r="109" s="249" customFormat="1"/>
    <row r="110" s="249" customFormat="1"/>
    <row r="111" s="249" customFormat="1"/>
    <row r="112" s="249" customFormat="1"/>
    <row r="113" s="249" customFormat="1"/>
    <row r="114" s="249" customFormat="1"/>
    <row r="115" s="249" customFormat="1"/>
    <row r="116" s="249" customFormat="1"/>
    <row r="117" s="249" customFormat="1"/>
    <row r="118" s="249" customFormat="1"/>
    <row r="119" s="249" customFormat="1"/>
    <row r="120" s="249" customFormat="1"/>
    <row r="121" s="249" customFormat="1"/>
    <row r="122" s="249" customFormat="1"/>
    <row r="123" s="249" customFormat="1"/>
    <row r="124" s="249" customFormat="1"/>
    <row r="125" s="249" customFormat="1"/>
    <row r="126" s="249" customFormat="1"/>
    <row r="127" s="249" customFormat="1"/>
    <row r="128" s="249" customFormat="1"/>
    <row r="129" s="249" customFormat="1"/>
    <row r="130" s="249" customFormat="1"/>
    <row r="131" s="249" customFormat="1"/>
    <row r="132" s="249" customFormat="1"/>
    <row r="133" s="249" customFormat="1"/>
    <row r="134" s="249" customFormat="1"/>
    <row r="135" s="249" customFormat="1"/>
    <row r="136" s="249" customFormat="1"/>
    <row r="137" s="249" customFormat="1"/>
    <row r="138" s="249" customFormat="1"/>
    <row r="139" s="249" customFormat="1"/>
    <row r="140" s="249" customFormat="1"/>
    <row r="141" s="249" customFormat="1"/>
    <row r="142" s="249" customFormat="1"/>
    <row r="143" s="249" customFormat="1"/>
    <row r="144" s="249" customFormat="1"/>
    <row r="145" s="249" customFormat="1"/>
    <row r="146" s="249" customFormat="1"/>
    <row r="147" s="249" customFormat="1"/>
    <row r="148" s="249" customFormat="1"/>
    <row r="149" s="249" customFormat="1"/>
    <row r="150" s="249" customFormat="1"/>
    <row r="151" s="249" customFormat="1"/>
    <row r="152" s="249" customFormat="1"/>
    <row r="153" s="249" customFormat="1"/>
    <row r="154" s="249" customFormat="1"/>
    <row r="155" s="249" customFormat="1"/>
    <row r="156" s="249" customFormat="1"/>
    <row r="157" s="249" customFormat="1"/>
    <row r="158" s="249" customFormat="1"/>
    <row r="159" s="249" customFormat="1"/>
    <row r="160" s="249" customFormat="1"/>
    <row r="161" s="249" customFormat="1"/>
    <row r="162" s="249" customFormat="1"/>
    <row r="163" s="249" customFormat="1"/>
    <row r="164" s="249" customFormat="1"/>
    <row r="165" s="249" customFormat="1"/>
    <row r="166" s="249" customFormat="1"/>
    <row r="167" s="249" customFormat="1"/>
    <row r="168" s="249" customFormat="1"/>
    <row r="169" s="249" customFormat="1"/>
    <row r="170" s="249" customFormat="1"/>
    <row r="171" s="249" customFormat="1"/>
    <row r="172" s="249" customFormat="1"/>
    <row r="173" s="249" customFormat="1"/>
    <row r="174" s="249" customFormat="1"/>
    <row r="175" s="249" customFormat="1"/>
    <row r="176" s="249" customFormat="1"/>
    <row r="177" s="249" customFormat="1"/>
    <row r="178" s="249" customFormat="1"/>
    <row r="179" s="249" customFormat="1"/>
    <row r="180" s="249" customFormat="1"/>
    <row r="181" s="249" customFormat="1"/>
    <row r="182" s="249" customFormat="1"/>
    <row r="183" s="249" customFormat="1"/>
    <row r="184" s="249" customFormat="1"/>
    <row r="185" s="249" customFormat="1"/>
    <row r="186" s="249" customFormat="1"/>
    <row r="187" s="249" customFormat="1"/>
    <row r="188" s="249" customFormat="1"/>
    <row r="189" s="249" customFormat="1"/>
    <row r="190" s="249" customFormat="1"/>
    <row r="191" s="249" customFormat="1"/>
    <row r="192" s="249" customFormat="1"/>
    <row r="193" s="249" customFormat="1"/>
    <row r="194" s="249" customFormat="1"/>
    <row r="195" s="249" customFormat="1"/>
    <row r="196" s="249" customFormat="1"/>
    <row r="197" s="249" customFormat="1"/>
    <row r="198" s="249" customFormat="1"/>
    <row r="199" s="249" customFormat="1"/>
    <row r="200" s="249" customFormat="1"/>
    <row r="201" s="249" customFormat="1"/>
    <row r="202" s="249" customFormat="1"/>
    <row r="203" s="249" customFormat="1"/>
    <row r="204" s="249" customFormat="1"/>
    <row r="205" s="249" customFormat="1"/>
    <row r="206" s="249" customFormat="1"/>
    <row r="207" s="249" customFormat="1"/>
    <row r="208" s="249" customFormat="1"/>
    <row r="209" s="249" customFormat="1"/>
    <row r="210" s="249" customFormat="1"/>
    <row r="211" s="249" customFormat="1"/>
    <row r="212" s="249" customFormat="1"/>
    <row r="213" s="249" customFormat="1"/>
    <row r="214" s="249" customFormat="1"/>
    <row r="215" s="249" customFormat="1"/>
    <row r="216" s="249" customFormat="1"/>
    <row r="217" s="249" customFormat="1"/>
    <row r="218" s="249" customFormat="1"/>
    <row r="219" s="249" customFormat="1"/>
    <row r="220" s="249" customFormat="1"/>
    <row r="221" s="249" customFormat="1"/>
    <row r="222" s="249" customFormat="1"/>
    <row r="223" s="249" customFormat="1"/>
    <row r="224" s="249" customFormat="1"/>
    <row r="225" s="249" customFormat="1"/>
    <row r="226" s="249" customFormat="1"/>
    <row r="227" s="249" customFormat="1"/>
    <row r="228" s="249" customFormat="1"/>
    <row r="229" s="249" customFormat="1"/>
    <row r="230" s="249" customFormat="1"/>
    <row r="231" s="249" customFormat="1"/>
  </sheetData>
  <mergeCells count="19">
    <mergeCell ref="A49:C49"/>
    <mergeCell ref="A39:D39"/>
    <mergeCell ref="A40:A44"/>
    <mergeCell ref="C40:D40"/>
    <mergeCell ref="C41:D41"/>
    <mergeCell ref="C42:D42"/>
    <mergeCell ref="C43:D43"/>
    <mergeCell ref="C44:D44"/>
    <mergeCell ref="A48:C48"/>
    <mergeCell ref="C36:D36"/>
    <mergeCell ref="C37:D37"/>
    <mergeCell ref="C38:D38"/>
    <mergeCell ref="A15:B15"/>
    <mergeCell ref="A26:C26"/>
    <mergeCell ref="A32:D32"/>
    <mergeCell ref="A33:D33"/>
    <mergeCell ref="A34:D34"/>
    <mergeCell ref="A35:A38"/>
    <mergeCell ref="C35:D35"/>
  </mergeCells>
  <hyperlinks>
    <hyperlink ref="A6" location="'(BT44) MEB MEMOS'!A1" display="(BT44) MEB Memos"/>
    <hyperlink ref="A3" location="'I3 -CVT Master'!A1" display="I3 - CVT Master"/>
    <hyperlink ref="A4" location="'(BT44) WWD MEMOS'!A1" display="(BT44) WWD Memos"/>
    <hyperlink ref="A5" location="'(BT44) IRILO MEMOS'!A1" display="(BT44) IRILO Memos"/>
    <hyperlink ref="A7" location="'(BT44) BMT WF'!A1" display="(BT44) BMT WF"/>
    <hyperlink ref="A8" location="'Informal LOD'!A1" display="Informal LOD"/>
    <hyperlink ref="A9" location="'(BT44) Participation Waiver WF'!A1" display="(BT44) Participation Waiver WF"/>
    <hyperlink ref="A10" location="'(BT44) MEDICAL HOLDS WF'!A1" display="(BT44) Medical Holds WF"/>
    <hyperlink ref="A11" location="'(BT44) Deployment Waiver WF'!A1" display="(BT44) Deployment Waiver WF"/>
    <hyperlink ref="A12" location="'(BT44) Non Emergent Surgery'!A1" display="(BT44) Non Emergent Surgery WF"/>
    <hyperlink ref="A13" location="'(BT44) Modification WF'!A1" display="(BT44) Modification WF"/>
    <hyperlink ref="A14" location="'(BT44) BCMR WF'!A1" display="(BT44) BCMR WF"/>
    <hyperlink ref="A15:B15" location="'(BT44) Congressionals WF'!A1" display="(BT44) Congressionals WF"/>
    <hyperlink ref="A16" location="'(BT44) PEPP WF'!A1" display="(BT44) PEPP WF"/>
    <hyperlink ref="A17" location="'Full Search'!A1" display="Full Search"/>
    <hyperlink ref="A18" location="'Common Tools'!A1" display="TC Common Tools"/>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sheetPr>
    <outlinePr summaryBelow="0"/>
    <pageSetUpPr fitToPage="1"/>
  </sheetPr>
  <dimension ref="A1:Z100"/>
  <sheetViews>
    <sheetView workbookViewId="0">
      <selection sqref="A1:W1"/>
    </sheetView>
  </sheetViews>
  <sheetFormatPr defaultRowHeight="15.75"/>
  <cols>
    <col min="1" max="2" width="12.5703125" style="50" customWidth="1"/>
    <col min="3" max="3" width="16" style="50" customWidth="1"/>
    <col min="4" max="4" width="55.7109375" style="49" customWidth="1"/>
    <col min="5" max="5" width="16.140625" style="49" customWidth="1"/>
    <col min="6" max="6" width="14.85546875" style="49" customWidth="1"/>
    <col min="7" max="8" width="12.85546875" style="50" bestFit="1" customWidth="1"/>
    <col min="9" max="9" width="12.85546875" style="50" hidden="1" customWidth="1"/>
    <col min="10" max="12" width="8.42578125" style="50" hidden="1" customWidth="1"/>
    <col min="13" max="13" width="14.85546875" style="50" customWidth="1"/>
    <col min="14" max="14" width="5.140625" style="50" hidden="1" customWidth="1"/>
    <col min="15" max="17" width="5.7109375" style="50" hidden="1" customWidth="1"/>
    <col min="18" max="18" width="6" style="50" hidden="1" customWidth="1"/>
    <col min="19" max="19" width="8.42578125" style="50" hidden="1" customWidth="1"/>
    <col min="20" max="20" width="6.85546875" style="50" hidden="1" customWidth="1"/>
    <col min="21" max="21" width="18.42578125" style="50" hidden="1" customWidth="1"/>
    <col min="22" max="22" width="47" style="49" customWidth="1"/>
    <col min="23" max="23" width="26.28515625" style="50" customWidth="1"/>
    <col min="24" max="16384" width="9.140625" style="50"/>
  </cols>
  <sheetData>
    <row r="1" spans="1:26" s="46" customFormat="1">
      <c r="A1" s="501" t="s">
        <v>13</v>
      </c>
      <c r="B1" s="502"/>
      <c r="C1" s="502"/>
      <c r="D1" s="502"/>
      <c r="E1" s="502"/>
      <c r="F1" s="502"/>
      <c r="G1" s="502"/>
      <c r="H1" s="502"/>
      <c r="I1" s="502"/>
      <c r="J1" s="502"/>
      <c r="K1" s="502"/>
      <c r="L1" s="502"/>
      <c r="M1" s="502"/>
      <c r="N1" s="502"/>
      <c r="O1" s="502"/>
      <c r="P1" s="502"/>
      <c r="Q1" s="502"/>
      <c r="R1" s="502"/>
      <c r="S1" s="502"/>
      <c r="T1" s="502"/>
      <c r="U1" s="502"/>
      <c r="V1" s="502"/>
      <c r="W1" s="502"/>
      <c r="Y1" s="53"/>
      <c r="Z1" s="54"/>
    </row>
    <row r="2" spans="1:26" s="39" customFormat="1" ht="15.75" customHeight="1">
      <c r="A2" s="508" t="s">
        <v>11</v>
      </c>
      <c r="B2" s="506" t="s">
        <v>0</v>
      </c>
      <c r="C2" s="506" t="s">
        <v>182</v>
      </c>
      <c r="D2" s="497" t="s">
        <v>15</v>
      </c>
      <c r="E2" s="37" t="s">
        <v>214</v>
      </c>
      <c r="F2" s="497" t="s">
        <v>20</v>
      </c>
      <c r="G2" s="497" t="s">
        <v>21</v>
      </c>
      <c r="H2" s="497" t="s">
        <v>22</v>
      </c>
      <c r="I2" s="499" t="s">
        <v>531</v>
      </c>
      <c r="J2" s="215"/>
      <c r="K2" s="215"/>
      <c r="L2" s="215"/>
      <c r="M2" s="499" t="s">
        <v>330</v>
      </c>
      <c r="N2" s="503" t="s">
        <v>16</v>
      </c>
      <c r="O2" s="504"/>
      <c r="P2" s="504"/>
      <c r="Q2" s="504"/>
      <c r="R2" s="505"/>
      <c r="S2" s="38"/>
      <c r="T2" s="38"/>
      <c r="U2" s="38"/>
      <c r="V2" s="497" t="s">
        <v>1</v>
      </c>
      <c r="W2" s="497" t="s">
        <v>14</v>
      </c>
      <c r="Y2" s="55"/>
    </row>
    <row r="3" spans="1:26" s="39" customFormat="1" ht="31.5">
      <c r="A3" s="509"/>
      <c r="B3" s="507"/>
      <c r="C3" s="507"/>
      <c r="D3" s="498"/>
      <c r="E3" s="40"/>
      <c r="F3" s="498"/>
      <c r="G3" s="498"/>
      <c r="H3" s="498"/>
      <c r="I3" s="500"/>
      <c r="J3" s="42" t="s">
        <v>10</v>
      </c>
      <c r="K3" s="42" t="s">
        <v>23</v>
      </c>
      <c r="L3" s="42" t="s">
        <v>26</v>
      </c>
      <c r="M3" s="500"/>
      <c r="N3" s="41">
        <v>1</v>
      </c>
      <c r="O3" s="41">
        <v>2</v>
      </c>
      <c r="P3" s="41">
        <v>3</v>
      </c>
      <c r="Q3" s="41">
        <v>4</v>
      </c>
      <c r="R3" s="41">
        <v>5</v>
      </c>
      <c r="S3" s="42" t="s">
        <v>10</v>
      </c>
      <c r="T3" s="42" t="s">
        <v>23</v>
      </c>
      <c r="U3" s="42" t="s">
        <v>26</v>
      </c>
      <c r="V3" s="498"/>
      <c r="W3" s="498"/>
      <c r="Y3" s="55"/>
    </row>
    <row r="4" spans="1:26" s="39" customFormat="1">
      <c r="A4" s="210"/>
      <c r="B4" s="56"/>
      <c r="C4" s="43"/>
      <c r="D4" s="56" t="s">
        <v>38</v>
      </c>
      <c r="E4" s="56"/>
      <c r="F4" s="43"/>
      <c r="G4" s="43"/>
      <c r="H4" s="43"/>
      <c r="I4" s="43"/>
      <c r="J4" s="43"/>
      <c r="K4" s="43"/>
      <c r="L4" s="43"/>
      <c r="M4" s="43"/>
      <c r="N4" s="43"/>
      <c r="O4" s="43"/>
      <c r="P4" s="43"/>
      <c r="Q4" s="44"/>
      <c r="R4" s="45"/>
      <c r="S4" s="45"/>
      <c r="T4" s="45"/>
      <c r="U4" s="45"/>
      <c r="V4" s="44"/>
      <c r="W4" s="45"/>
      <c r="Y4" s="55"/>
    </row>
    <row r="5" spans="1:26" s="39" customFormat="1">
      <c r="A5" s="210" t="s">
        <v>176</v>
      </c>
      <c r="B5" s="56" t="s">
        <v>23</v>
      </c>
      <c r="C5" s="57" t="s">
        <v>39</v>
      </c>
      <c r="D5" s="51" t="s">
        <v>40</v>
      </c>
      <c r="E5" s="190" t="s">
        <v>215</v>
      </c>
      <c r="F5" s="58"/>
      <c r="G5" s="59"/>
      <c r="H5" s="59"/>
      <c r="I5" s="204" t="s">
        <v>17</v>
      </c>
      <c r="J5" s="61" t="str">
        <f t="shared" ref="J5:L9" si="0">IF($B5=J$3,$I5,"")</f>
        <v/>
      </c>
      <c r="K5" s="61" t="str">
        <f t="shared" si="0"/>
        <v>P</v>
      </c>
      <c r="L5" s="61" t="str">
        <f t="shared" si="0"/>
        <v/>
      </c>
      <c r="M5" s="204" t="s">
        <v>17</v>
      </c>
      <c r="N5" s="59"/>
      <c r="O5" s="59"/>
      <c r="P5" s="59"/>
      <c r="Q5" s="60"/>
      <c r="R5" s="60"/>
      <c r="S5" s="61" t="str">
        <f t="shared" ref="S5:U9" si="1">IF($B5=S$3,$M5,"")</f>
        <v/>
      </c>
      <c r="T5" s="61" t="str">
        <f t="shared" si="1"/>
        <v>P</v>
      </c>
      <c r="U5" s="61" t="str">
        <f t="shared" si="1"/>
        <v/>
      </c>
      <c r="V5" s="197"/>
      <c r="W5" s="60"/>
      <c r="Y5" s="55"/>
    </row>
    <row r="6" spans="1:26" s="39" customFormat="1" ht="33" customHeight="1">
      <c r="A6" s="210" t="s">
        <v>41</v>
      </c>
      <c r="B6" s="56" t="s">
        <v>23</v>
      </c>
      <c r="C6" s="57" t="s">
        <v>42</v>
      </c>
      <c r="D6" s="51" t="s">
        <v>43</v>
      </c>
      <c r="E6" s="190" t="s">
        <v>215</v>
      </c>
      <c r="F6" s="58"/>
      <c r="G6" s="59"/>
      <c r="H6" s="59"/>
      <c r="I6" s="204" t="s">
        <v>17</v>
      </c>
      <c r="J6" s="61" t="str">
        <f t="shared" si="0"/>
        <v/>
      </c>
      <c r="K6" s="61" t="str">
        <f t="shared" si="0"/>
        <v>P</v>
      </c>
      <c r="L6" s="61" t="str">
        <f t="shared" si="0"/>
        <v/>
      </c>
      <c r="M6" s="204" t="s">
        <v>17</v>
      </c>
      <c r="N6" s="59"/>
      <c r="O6" s="59"/>
      <c r="P6" s="59"/>
      <c r="Q6" s="60"/>
      <c r="R6" s="60"/>
      <c r="S6" s="61" t="str">
        <f t="shared" si="1"/>
        <v/>
      </c>
      <c r="T6" s="61" t="str">
        <f t="shared" si="1"/>
        <v>P</v>
      </c>
      <c r="U6" s="61" t="str">
        <f t="shared" si="1"/>
        <v/>
      </c>
      <c r="V6" s="131" t="s">
        <v>513</v>
      </c>
      <c r="W6" s="200"/>
      <c r="Y6" s="55"/>
    </row>
    <row r="7" spans="1:26" s="39" customFormat="1" ht="45.75" customHeight="1">
      <c r="A7" s="210" t="s">
        <v>199</v>
      </c>
      <c r="B7" s="56" t="s">
        <v>23</v>
      </c>
      <c r="C7" s="57" t="s">
        <v>44</v>
      </c>
      <c r="D7" s="51" t="s">
        <v>45</v>
      </c>
      <c r="E7" s="190" t="s">
        <v>215</v>
      </c>
      <c r="F7" s="58"/>
      <c r="G7" s="59"/>
      <c r="H7" s="59"/>
      <c r="I7" s="204" t="s">
        <v>17</v>
      </c>
      <c r="J7" s="61" t="str">
        <f t="shared" si="0"/>
        <v/>
      </c>
      <c r="K7" s="61" t="str">
        <f t="shared" si="0"/>
        <v>P</v>
      </c>
      <c r="L7" s="61" t="str">
        <f t="shared" si="0"/>
        <v/>
      </c>
      <c r="M7" s="204" t="s">
        <v>17</v>
      </c>
      <c r="N7" s="59"/>
      <c r="O7" s="59"/>
      <c r="P7" s="59"/>
      <c r="Q7" s="60"/>
      <c r="R7" s="60"/>
      <c r="S7" s="61" t="str">
        <f t="shared" si="1"/>
        <v/>
      </c>
      <c r="T7" s="61" t="str">
        <f t="shared" si="1"/>
        <v>P</v>
      </c>
      <c r="U7" s="61" t="str">
        <f t="shared" si="1"/>
        <v/>
      </c>
      <c r="V7" s="131" t="s">
        <v>513</v>
      </c>
      <c r="W7" s="60"/>
      <c r="Y7" s="55"/>
    </row>
    <row r="8" spans="1:26" s="39" customFormat="1">
      <c r="A8" s="210" t="s">
        <v>200</v>
      </c>
      <c r="B8" s="56" t="s">
        <v>10</v>
      </c>
      <c r="C8" s="57" t="s">
        <v>46</v>
      </c>
      <c r="D8" s="51" t="s">
        <v>47</v>
      </c>
      <c r="E8" s="190" t="s">
        <v>215</v>
      </c>
      <c r="F8" s="58"/>
      <c r="G8" s="59"/>
      <c r="H8" s="59"/>
      <c r="I8" s="204" t="s">
        <v>17</v>
      </c>
      <c r="J8" s="61" t="str">
        <f t="shared" si="0"/>
        <v>P</v>
      </c>
      <c r="K8" s="61" t="str">
        <f t="shared" si="0"/>
        <v/>
      </c>
      <c r="L8" s="61" t="str">
        <f t="shared" si="0"/>
        <v/>
      </c>
      <c r="M8" s="204" t="s">
        <v>17</v>
      </c>
      <c r="N8" s="189" t="s">
        <v>469</v>
      </c>
      <c r="O8" s="59"/>
      <c r="P8" s="59"/>
      <c r="Q8" s="60"/>
      <c r="R8" s="189" t="s">
        <v>469</v>
      </c>
      <c r="S8" s="61" t="str">
        <f t="shared" si="1"/>
        <v>P</v>
      </c>
      <c r="T8" s="61" t="str">
        <f t="shared" si="1"/>
        <v/>
      </c>
      <c r="U8" s="61" t="str">
        <f t="shared" si="1"/>
        <v/>
      </c>
      <c r="V8" s="131" t="s">
        <v>513</v>
      </c>
      <c r="W8" s="60"/>
      <c r="Y8" s="55"/>
    </row>
    <row r="9" spans="1:26" s="53" customFormat="1" ht="30">
      <c r="A9" s="210" t="s">
        <v>36</v>
      </c>
      <c r="B9" s="56" t="s">
        <v>10</v>
      </c>
      <c r="C9" s="57" t="s">
        <v>48</v>
      </c>
      <c r="D9" s="51" t="s">
        <v>49</v>
      </c>
      <c r="E9" s="190" t="s">
        <v>215</v>
      </c>
      <c r="F9" s="58"/>
      <c r="G9" s="59"/>
      <c r="H9" s="59"/>
      <c r="I9" s="204" t="s">
        <v>17</v>
      </c>
      <c r="J9" s="61" t="str">
        <f t="shared" si="0"/>
        <v>P</v>
      </c>
      <c r="K9" s="61" t="str">
        <f t="shared" si="0"/>
        <v/>
      </c>
      <c r="L9" s="61" t="str">
        <f t="shared" si="0"/>
        <v/>
      </c>
      <c r="M9" s="204" t="s">
        <v>17</v>
      </c>
      <c r="N9" s="189" t="s">
        <v>469</v>
      </c>
      <c r="O9" s="59"/>
      <c r="P9" s="59"/>
      <c r="Q9" s="60"/>
      <c r="R9" s="60"/>
      <c r="S9" s="61" t="str">
        <f t="shared" si="1"/>
        <v>P</v>
      </c>
      <c r="T9" s="61" t="str">
        <f t="shared" si="1"/>
        <v/>
      </c>
      <c r="U9" s="61" t="str">
        <f t="shared" si="1"/>
        <v/>
      </c>
      <c r="V9" s="131"/>
      <c r="W9" s="60"/>
      <c r="Z9" s="46"/>
    </row>
    <row r="10" spans="1:26" s="53" customFormat="1">
      <c r="A10" s="210"/>
      <c r="B10" s="56"/>
      <c r="C10" s="43"/>
      <c r="D10" s="43" t="s">
        <v>50</v>
      </c>
      <c r="E10" s="43"/>
      <c r="F10" s="43"/>
      <c r="G10" s="43"/>
      <c r="H10" s="43"/>
      <c r="I10" s="43"/>
      <c r="J10" s="43"/>
      <c r="K10" s="43"/>
      <c r="L10" s="43"/>
      <c r="M10" s="43"/>
      <c r="N10" s="43"/>
      <c r="O10" s="43"/>
      <c r="P10" s="43"/>
      <c r="Q10" s="44"/>
      <c r="R10" s="45"/>
      <c r="S10" s="45"/>
      <c r="T10" s="45"/>
      <c r="U10" s="45"/>
      <c r="V10" s="44"/>
      <c r="W10" s="45"/>
      <c r="Z10" s="46"/>
    </row>
    <row r="11" spans="1:26">
      <c r="A11" s="210" t="s">
        <v>51</v>
      </c>
      <c r="B11" s="56" t="s">
        <v>10</v>
      </c>
      <c r="C11" s="57" t="s">
        <v>52</v>
      </c>
      <c r="D11" s="51" t="s">
        <v>53</v>
      </c>
      <c r="E11" s="190" t="s">
        <v>215</v>
      </c>
      <c r="F11" s="58"/>
      <c r="G11" s="59"/>
      <c r="H11" s="59"/>
      <c r="I11" s="204" t="s">
        <v>41</v>
      </c>
      <c r="J11" s="61" t="str">
        <f t="shared" ref="J11:L15" si="2">IF($B11=J$3,$I11,"")</f>
        <v>N/A</v>
      </c>
      <c r="K11" s="61" t="str">
        <f t="shared" si="2"/>
        <v/>
      </c>
      <c r="L11" s="61" t="str">
        <f t="shared" si="2"/>
        <v/>
      </c>
      <c r="M11" s="204" t="s">
        <v>41</v>
      </c>
      <c r="N11" s="59"/>
      <c r="O11" s="59"/>
      <c r="P11" s="59"/>
      <c r="Q11" s="60"/>
      <c r="R11" s="60"/>
      <c r="S11" s="61" t="str">
        <f t="shared" ref="S11:U15" si="3">IF($B11=S$3,$M11,"")</f>
        <v>N/A</v>
      </c>
      <c r="T11" s="61" t="str">
        <f t="shared" si="3"/>
        <v/>
      </c>
      <c r="U11" s="61" t="str">
        <f t="shared" si="3"/>
        <v/>
      </c>
      <c r="V11" s="205" t="s">
        <v>523</v>
      </c>
      <c r="W11" s="60"/>
    </row>
    <row r="12" spans="1:26">
      <c r="A12" s="210" t="s">
        <v>54</v>
      </c>
      <c r="B12" s="56" t="s">
        <v>10</v>
      </c>
      <c r="C12" s="57" t="s">
        <v>55</v>
      </c>
      <c r="D12" s="51" t="s">
        <v>56</v>
      </c>
      <c r="E12" s="190" t="s">
        <v>215</v>
      </c>
      <c r="F12" s="58"/>
      <c r="G12" s="59"/>
      <c r="H12" s="59"/>
      <c r="I12" s="204" t="s">
        <v>17</v>
      </c>
      <c r="J12" s="61" t="str">
        <f t="shared" si="2"/>
        <v>P</v>
      </c>
      <c r="K12" s="61" t="str">
        <f t="shared" si="2"/>
        <v/>
      </c>
      <c r="L12" s="61" t="str">
        <f t="shared" si="2"/>
        <v/>
      </c>
      <c r="M12" s="204" t="s">
        <v>17</v>
      </c>
      <c r="N12" s="59"/>
      <c r="O12" s="59"/>
      <c r="P12" s="59"/>
      <c r="Q12" s="60"/>
      <c r="R12" s="60"/>
      <c r="S12" s="61" t="str">
        <f t="shared" si="3"/>
        <v>P</v>
      </c>
      <c r="T12" s="61" t="str">
        <f t="shared" si="3"/>
        <v/>
      </c>
      <c r="U12" s="61" t="str">
        <f t="shared" si="3"/>
        <v/>
      </c>
      <c r="V12" s="62"/>
      <c r="W12" s="60"/>
    </row>
    <row r="13" spans="1:26">
      <c r="A13" s="210" t="s">
        <v>54</v>
      </c>
      <c r="B13" s="56" t="s">
        <v>10</v>
      </c>
      <c r="C13" s="57" t="s">
        <v>57</v>
      </c>
      <c r="D13" s="51" t="s">
        <v>58</v>
      </c>
      <c r="E13" s="190" t="s">
        <v>215</v>
      </c>
      <c r="F13" s="58"/>
      <c r="G13" s="59"/>
      <c r="H13" s="59"/>
      <c r="I13" s="204" t="s">
        <v>17</v>
      </c>
      <c r="J13" s="61" t="str">
        <f t="shared" si="2"/>
        <v>P</v>
      </c>
      <c r="K13" s="61" t="str">
        <f t="shared" si="2"/>
        <v/>
      </c>
      <c r="L13" s="61" t="str">
        <f t="shared" si="2"/>
        <v/>
      </c>
      <c r="M13" s="204" t="s">
        <v>17</v>
      </c>
      <c r="N13" s="59"/>
      <c r="O13" s="59"/>
      <c r="P13" s="59"/>
      <c r="Q13" s="60"/>
      <c r="R13" s="60"/>
      <c r="S13" s="61" t="str">
        <f t="shared" si="3"/>
        <v>P</v>
      </c>
      <c r="T13" s="61" t="str">
        <f t="shared" si="3"/>
        <v/>
      </c>
      <c r="U13" s="61" t="str">
        <f t="shared" si="3"/>
        <v/>
      </c>
      <c r="V13" s="191"/>
      <c r="W13" s="60"/>
    </row>
    <row r="14" spans="1:26">
      <c r="A14" s="210" t="s">
        <v>54</v>
      </c>
      <c r="B14" s="56" t="s">
        <v>10</v>
      </c>
      <c r="C14" s="57" t="s">
        <v>59</v>
      </c>
      <c r="D14" s="51" t="s">
        <v>60</v>
      </c>
      <c r="E14" s="190" t="s">
        <v>215</v>
      </c>
      <c r="F14" s="58"/>
      <c r="G14" s="59"/>
      <c r="H14" s="59"/>
      <c r="I14" s="204" t="s">
        <v>504</v>
      </c>
      <c r="J14" s="61" t="str">
        <f t="shared" si="2"/>
        <v>R</v>
      </c>
      <c r="K14" s="61" t="str">
        <f t="shared" si="2"/>
        <v/>
      </c>
      <c r="L14" s="61" t="str">
        <f t="shared" si="2"/>
        <v/>
      </c>
      <c r="M14" s="204" t="s">
        <v>504</v>
      </c>
      <c r="N14" s="59"/>
      <c r="O14" s="59"/>
      <c r="P14" s="59"/>
      <c r="Q14" s="60"/>
      <c r="R14" s="60"/>
      <c r="S14" s="61" t="str">
        <f t="shared" si="3"/>
        <v>R</v>
      </c>
      <c r="T14" s="61" t="str">
        <f t="shared" si="3"/>
        <v/>
      </c>
      <c r="U14" s="61" t="str">
        <f t="shared" si="3"/>
        <v/>
      </c>
      <c r="V14" s="205" t="s">
        <v>515</v>
      </c>
      <c r="W14" s="60"/>
    </row>
    <row r="15" spans="1:26">
      <c r="A15" s="210" t="s">
        <v>54</v>
      </c>
      <c r="B15" s="56" t="s">
        <v>23</v>
      </c>
      <c r="C15" s="57" t="s">
        <v>61</v>
      </c>
      <c r="D15" s="51" t="s">
        <v>62</v>
      </c>
      <c r="E15" s="190" t="s">
        <v>215</v>
      </c>
      <c r="F15" s="58"/>
      <c r="G15" s="59"/>
      <c r="H15" s="59"/>
      <c r="I15" s="204" t="s">
        <v>17</v>
      </c>
      <c r="J15" s="61" t="str">
        <f t="shared" si="2"/>
        <v/>
      </c>
      <c r="K15" s="61" t="str">
        <f t="shared" si="2"/>
        <v>P</v>
      </c>
      <c r="L15" s="61" t="str">
        <f t="shared" si="2"/>
        <v/>
      </c>
      <c r="M15" s="204" t="s">
        <v>17</v>
      </c>
      <c r="N15" s="59"/>
      <c r="O15" s="59"/>
      <c r="P15" s="59"/>
      <c r="Q15" s="60"/>
      <c r="R15" s="60"/>
      <c r="S15" s="61" t="str">
        <f t="shared" si="3"/>
        <v/>
      </c>
      <c r="T15" s="61" t="str">
        <f t="shared" si="3"/>
        <v>P</v>
      </c>
      <c r="U15" s="61" t="str">
        <f t="shared" si="3"/>
        <v/>
      </c>
      <c r="V15" s="62"/>
      <c r="W15" s="60"/>
    </row>
    <row r="16" spans="1:26">
      <c r="A16" s="211"/>
      <c r="B16" s="43"/>
      <c r="C16" s="43"/>
      <c r="D16" s="43" t="s">
        <v>63</v>
      </c>
      <c r="E16" s="43"/>
      <c r="F16" s="43"/>
      <c r="G16" s="43"/>
      <c r="H16" s="43"/>
      <c r="I16" s="43"/>
      <c r="J16" s="43"/>
      <c r="K16" s="43"/>
      <c r="L16" s="43"/>
      <c r="M16" s="43"/>
      <c r="N16" s="43"/>
      <c r="O16" s="43"/>
      <c r="P16" s="43"/>
      <c r="Q16" s="44"/>
      <c r="R16" s="45"/>
      <c r="S16" s="45"/>
      <c r="T16" s="45"/>
      <c r="U16" s="45"/>
      <c r="V16" s="44"/>
      <c r="W16" s="45"/>
    </row>
    <row r="17" spans="1:23">
      <c r="A17" s="211" t="s">
        <v>202</v>
      </c>
      <c r="B17" s="43" t="s">
        <v>10</v>
      </c>
      <c r="C17" s="57" t="s">
        <v>64</v>
      </c>
      <c r="D17" s="51" t="s">
        <v>65</v>
      </c>
      <c r="E17" s="190" t="s">
        <v>215</v>
      </c>
      <c r="F17" s="58"/>
      <c r="G17" s="59"/>
      <c r="H17" s="59"/>
      <c r="I17" s="204" t="s">
        <v>17</v>
      </c>
      <c r="J17" s="61" t="str">
        <f t="shared" ref="J17:L22" si="4">IF($B17=J$3,$I17,"")</f>
        <v>P</v>
      </c>
      <c r="K17" s="61" t="str">
        <f t="shared" si="4"/>
        <v/>
      </c>
      <c r="L17" s="61" t="str">
        <f t="shared" si="4"/>
        <v/>
      </c>
      <c r="M17" s="204" t="s">
        <v>17</v>
      </c>
      <c r="N17" s="59"/>
      <c r="O17" s="59"/>
      <c r="P17" s="59"/>
      <c r="Q17" s="60"/>
      <c r="R17" s="60"/>
      <c r="S17" s="61" t="str">
        <f t="shared" ref="S17:U22" si="5">IF($B17=S$3,$M17,"")</f>
        <v>P</v>
      </c>
      <c r="T17" s="61" t="str">
        <f t="shared" si="5"/>
        <v/>
      </c>
      <c r="U17" s="61" t="str">
        <f t="shared" si="5"/>
        <v/>
      </c>
      <c r="V17" s="194"/>
      <c r="W17" s="60"/>
    </row>
    <row r="18" spans="1:23">
      <c r="A18" s="211">
        <v>4.8</v>
      </c>
      <c r="B18" s="43" t="s">
        <v>23</v>
      </c>
      <c r="C18" s="57" t="s">
        <v>6</v>
      </c>
      <c r="D18" s="51" t="s">
        <v>7</v>
      </c>
      <c r="E18" s="190" t="s">
        <v>215</v>
      </c>
      <c r="F18" s="58"/>
      <c r="G18" s="59"/>
      <c r="H18" s="59"/>
      <c r="I18" s="204" t="s">
        <v>17</v>
      </c>
      <c r="J18" s="61" t="str">
        <f t="shared" si="4"/>
        <v/>
      </c>
      <c r="K18" s="61" t="str">
        <f t="shared" si="4"/>
        <v>P</v>
      </c>
      <c r="L18" s="61" t="str">
        <f t="shared" si="4"/>
        <v/>
      </c>
      <c r="M18" s="204" t="s">
        <v>17</v>
      </c>
      <c r="N18" s="59"/>
      <c r="O18" s="59"/>
      <c r="P18" s="59"/>
      <c r="Q18" s="60"/>
      <c r="R18" s="60"/>
      <c r="S18" s="61" t="str">
        <f t="shared" si="5"/>
        <v/>
      </c>
      <c r="T18" s="61" t="str">
        <f t="shared" si="5"/>
        <v>P</v>
      </c>
      <c r="U18" s="61" t="str">
        <f t="shared" si="5"/>
        <v/>
      </c>
      <c r="V18" s="203"/>
      <c r="W18" s="60"/>
    </row>
    <row r="19" spans="1:23" ht="64.5" customHeight="1">
      <c r="A19" s="211" t="s">
        <v>201</v>
      </c>
      <c r="B19" s="43" t="s">
        <v>23</v>
      </c>
      <c r="C19" s="57" t="s">
        <v>4</v>
      </c>
      <c r="D19" s="51" t="s">
        <v>9</v>
      </c>
      <c r="E19" s="190" t="s">
        <v>215</v>
      </c>
      <c r="F19" s="58"/>
      <c r="G19" s="59"/>
      <c r="H19" s="59"/>
      <c r="I19" s="204" t="s">
        <v>17</v>
      </c>
      <c r="J19" s="61" t="str">
        <f t="shared" si="4"/>
        <v/>
      </c>
      <c r="K19" s="61" t="str">
        <f t="shared" si="4"/>
        <v>P</v>
      </c>
      <c r="L19" s="61" t="str">
        <f t="shared" si="4"/>
        <v/>
      </c>
      <c r="M19" s="204" t="s">
        <v>17</v>
      </c>
      <c r="N19" s="59"/>
      <c r="O19" s="59"/>
      <c r="P19" s="59"/>
      <c r="Q19" s="60"/>
      <c r="R19" s="60"/>
      <c r="S19" s="61" t="str">
        <f t="shared" si="5"/>
        <v/>
      </c>
      <c r="T19" s="61" t="str">
        <f t="shared" si="5"/>
        <v>P</v>
      </c>
      <c r="U19" s="61" t="str">
        <f t="shared" si="5"/>
        <v/>
      </c>
      <c r="V19" s="203"/>
      <c r="W19" s="60"/>
    </row>
    <row r="20" spans="1:23">
      <c r="A20" s="211">
        <v>2.2999999999999998</v>
      </c>
      <c r="B20" s="43" t="s">
        <v>10</v>
      </c>
      <c r="C20" s="57" t="s">
        <v>3</v>
      </c>
      <c r="D20" s="51" t="s">
        <v>5</v>
      </c>
      <c r="E20" s="190" t="s">
        <v>215</v>
      </c>
      <c r="F20" s="58"/>
      <c r="G20" s="59"/>
      <c r="H20" s="59"/>
      <c r="I20" s="204" t="s">
        <v>17</v>
      </c>
      <c r="J20" s="61" t="str">
        <f t="shared" si="4"/>
        <v>P</v>
      </c>
      <c r="K20" s="61" t="str">
        <f t="shared" si="4"/>
        <v/>
      </c>
      <c r="L20" s="61" t="str">
        <f t="shared" si="4"/>
        <v/>
      </c>
      <c r="M20" s="204" t="s">
        <v>17</v>
      </c>
      <c r="N20" s="59"/>
      <c r="O20" s="59"/>
      <c r="P20" s="59"/>
      <c r="Q20" s="60"/>
      <c r="R20" s="60"/>
      <c r="S20" s="61" t="str">
        <f t="shared" si="5"/>
        <v>P</v>
      </c>
      <c r="T20" s="61" t="str">
        <f t="shared" si="5"/>
        <v/>
      </c>
      <c r="U20" s="61" t="str">
        <f t="shared" si="5"/>
        <v/>
      </c>
      <c r="V20" s="195"/>
      <c r="W20" s="60"/>
    </row>
    <row r="21" spans="1:23">
      <c r="A21" s="211" t="s">
        <v>203</v>
      </c>
      <c r="B21" s="43" t="s">
        <v>23</v>
      </c>
      <c r="C21" s="57" t="s">
        <v>66</v>
      </c>
      <c r="D21" s="51" t="s">
        <v>67</v>
      </c>
      <c r="E21" s="190" t="s">
        <v>215</v>
      </c>
      <c r="F21" s="58"/>
      <c r="G21" s="59"/>
      <c r="H21" s="59"/>
      <c r="I21" s="204" t="s">
        <v>17</v>
      </c>
      <c r="J21" s="61" t="str">
        <f t="shared" si="4"/>
        <v/>
      </c>
      <c r="K21" s="61" t="str">
        <f t="shared" si="4"/>
        <v>P</v>
      </c>
      <c r="L21" s="61" t="str">
        <f t="shared" si="4"/>
        <v/>
      </c>
      <c r="M21" s="204" t="s">
        <v>17</v>
      </c>
      <c r="N21" s="59"/>
      <c r="O21" s="59"/>
      <c r="P21" s="59"/>
      <c r="Q21" s="60"/>
      <c r="R21" s="60"/>
      <c r="S21" s="61" t="str">
        <f t="shared" si="5"/>
        <v/>
      </c>
      <c r="T21" s="61" t="str">
        <f t="shared" si="5"/>
        <v>P</v>
      </c>
      <c r="U21" s="61" t="str">
        <f t="shared" si="5"/>
        <v/>
      </c>
      <c r="V21" s="100"/>
      <c r="W21" s="60"/>
    </row>
    <row r="22" spans="1:23" ht="25.5" customHeight="1">
      <c r="A22" s="211" t="s">
        <v>203</v>
      </c>
      <c r="B22" s="43" t="s">
        <v>23</v>
      </c>
      <c r="C22" s="57" t="s">
        <v>8</v>
      </c>
      <c r="D22" s="51" t="s">
        <v>68</v>
      </c>
      <c r="E22" s="190" t="s">
        <v>215</v>
      </c>
      <c r="F22" s="58"/>
      <c r="G22" s="59"/>
      <c r="H22" s="59"/>
      <c r="I22" s="204" t="s">
        <v>17</v>
      </c>
      <c r="J22" s="61" t="str">
        <f t="shared" si="4"/>
        <v/>
      </c>
      <c r="K22" s="61" t="str">
        <f t="shared" si="4"/>
        <v>P</v>
      </c>
      <c r="L22" s="61" t="str">
        <f t="shared" si="4"/>
        <v/>
      </c>
      <c r="M22" s="204" t="s">
        <v>17</v>
      </c>
      <c r="N22" s="59"/>
      <c r="O22" s="59"/>
      <c r="P22" s="59"/>
      <c r="Q22" s="60"/>
      <c r="R22" s="60"/>
      <c r="S22" s="61" t="str">
        <f t="shared" si="5"/>
        <v/>
      </c>
      <c r="T22" s="61" t="str">
        <f t="shared" si="5"/>
        <v>P</v>
      </c>
      <c r="U22" s="61" t="str">
        <f t="shared" si="5"/>
        <v/>
      </c>
      <c r="V22" s="100"/>
      <c r="W22" s="60"/>
    </row>
    <row r="23" spans="1:23">
      <c r="A23" s="211"/>
      <c r="B23" s="43"/>
      <c r="C23" s="43"/>
      <c r="D23" s="43" t="s">
        <v>69</v>
      </c>
      <c r="E23" s="43"/>
      <c r="F23" s="43"/>
      <c r="G23" s="43"/>
      <c r="H23" s="43"/>
      <c r="I23" s="43"/>
      <c r="J23" s="43"/>
      <c r="K23" s="43"/>
      <c r="L23" s="43"/>
      <c r="M23" s="43"/>
      <c r="N23" s="43"/>
      <c r="O23" s="43"/>
      <c r="P23" s="43"/>
      <c r="Q23" s="44"/>
      <c r="R23" s="45"/>
      <c r="S23" s="45"/>
      <c r="T23" s="45"/>
      <c r="U23" s="45"/>
      <c r="V23" s="44"/>
      <c r="W23" s="45"/>
    </row>
    <row r="24" spans="1:23" ht="45" customHeight="1">
      <c r="A24" s="211" t="s">
        <v>206</v>
      </c>
      <c r="B24" s="43" t="s">
        <v>10</v>
      </c>
      <c r="C24" s="57" t="s">
        <v>70</v>
      </c>
      <c r="D24" s="51" t="s">
        <v>71</v>
      </c>
      <c r="E24" s="201" t="s">
        <v>476</v>
      </c>
      <c r="F24" s="58"/>
      <c r="G24" s="59"/>
      <c r="H24" s="59"/>
      <c r="I24" s="204" t="s">
        <v>533</v>
      </c>
      <c r="J24" s="61" t="str">
        <f t="shared" ref="J24:L33" si="6">IF($B24=J$3,$I24,"")</f>
        <v>Data call</v>
      </c>
      <c r="K24" s="61" t="str">
        <f t="shared" si="6"/>
        <v/>
      </c>
      <c r="L24" s="61" t="str">
        <f t="shared" si="6"/>
        <v/>
      </c>
      <c r="M24" s="204" t="s">
        <v>197</v>
      </c>
      <c r="N24" s="59"/>
      <c r="O24" s="59"/>
      <c r="P24" s="59"/>
      <c r="Q24" s="60"/>
      <c r="R24" s="60"/>
      <c r="S24" s="61" t="str">
        <f t="shared" ref="S24:U33" si="7">IF($B24=S$3,$M24,"")</f>
        <v>NT</v>
      </c>
      <c r="T24" s="61" t="str">
        <f t="shared" si="7"/>
        <v/>
      </c>
      <c r="U24" s="61" t="str">
        <f t="shared" si="7"/>
        <v/>
      </c>
      <c r="V24" s="199"/>
      <c r="W24" s="60"/>
    </row>
    <row r="25" spans="1:23" ht="34.5" customHeight="1">
      <c r="A25" s="211" t="s">
        <v>206</v>
      </c>
      <c r="B25" s="43" t="s">
        <v>10</v>
      </c>
      <c r="C25" s="57" t="s">
        <v>72</v>
      </c>
      <c r="D25" s="51" t="s">
        <v>73</v>
      </c>
      <c r="E25" s="201" t="s">
        <v>476</v>
      </c>
      <c r="F25" s="58"/>
      <c r="G25" s="59"/>
      <c r="H25" s="59"/>
      <c r="I25" s="204" t="s">
        <v>533</v>
      </c>
      <c r="J25" s="61" t="str">
        <f t="shared" si="6"/>
        <v>Data call</v>
      </c>
      <c r="K25" s="61" t="str">
        <f t="shared" si="6"/>
        <v/>
      </c>
      <c r="L25" s="61" t="str">
        <f t="shared" si="6"/>
        <v/>
      </c>
      <c r="M25" s="204" t="s">
        <v>197</v>
      </c>
      <c r="N25" s="59"/>
      <c r="O25" s="59"/>
      <c r="P25" s="59"/>
      <c r="Q25" s="60"/>
      <c r="R25" s="189"/>
      <c r="S25" s="61" t="str">
        <f t="shared" si="7"/>
        <v>NT</v>
      </c>
      <c r="T25" s="61" t="str">
        <f t="shared" si="7"/>
        <v/>
      </c>
      <c r="U25" s="61" t="str">
        <f t="shared" si="7"/>
        <v/>
      </c>
      <c r="V25" s="199"/>
      <c r="W25" s="60"/>
    </row>
    <row r="26" spans="1:23">
      <c r="A26" s="211" t="s">
        <v>207</v>
      </c>
      <c r="B26" s="43" t="s">
        <v>10</v>
      </c>
      <c r="C26" s="57" t="s">
        <v>74</v>
      </c>
      <c r="D26" s="51" t="s">
        <v>75</v>
      </c>
      <c r="E26" s="190" t="s">
        <v>215</v>
      </c>
      <c r="F26" s="58"/>
      <c r="G26" s="59"/>
      <c r="H26" s="59"/>
      <c r="I26" s="204" t="s">
        <v>504</v>
      </c>
      <c r="J26" s="61" t="str">
        <f t="shared" si="6"/>
        <v>R</v>
      </c>
      <c r="K26" s="61" t="str">
        <f t="shared" si="6"/>
        <v/>
      </c>
      <c r="L26" s="61" t="str">
        <f t="shared" si="6"/>
        <v/>
      </c>
      <c r="M26" s="204" t="s">
        <v>504</v>
      </c>
      <c r="N26" s="59"/>
      <c r="O26" s="59"/>
      <c r="P26" s="59"/>
      <c r="Q26" s="60"/>
      <c r="R26" s="60"/>
      <c r="S26" s="61" t="str">
        <f t="shared" si="7"/>
        <v>R</v>
      </c>
      <c r="T26" s="61" t="str">
        <f t="shared" si="7"/>
        <v/>
      </c>
      <c r="U26" s="61" t="str">
        <f t="shared" si="7"/>
        <v/>
      </c>
      <c r="V26" s="205" t="s">
        <v>505</v>
      </c>
      <c r="W26" s="60"/>
    </row>
    <row r="27" spans="1:23">
      <c r="A27" s="211" t="s">
        <v>31</v>
      </c>
      <c r="B27" s="43" t="s">
        <v>10</v>
      </c>
      <c r="C27" s="57" t="s">
        <v>76</v>
      </c>
      <c r="D27" s="51" t="s">
        <v>77</v>
      </c>
      <c r="E27" s="190" t="s">
        <v>215</v>
      </c>
      <c r="F27" s="58"/>
      <c r="G27" s="59"/>
      <c r="H27" s="59"/>
      <c r="I27" s="204" t="s">
        <v>533</v>
      </c>
      <c r="J27" s="61" t="str">
        <f t="shared" si="6"/>
        <v>Data call</v>
      </c>
      <c r="K27" s="61" t="str">
        <f t="shared" si="6"/>
        <v/>
      </c>
      <c r="L27" s="61" t="str">
        <f t="shared" si="6"/>
        <v/>
      </c>
      <c r="M27" s="204" t="s">
        <v>197</v>
      </c>
      <c r="N27" s="59"/>
      <c r="O27" s="59"/>
      <c r="P27" s="59"/>
      <c r="Q27" s="60"/>
      <c r="R27" s="60"/>
      <c r="S27" s="61" t="str">
        <f t="shared" si="7"/>
        <v>NT</v>
      </c>
      <c r="T27" s="61" t="str">
        <f t="shared" si="7"/>
        <v/>
      </c>
      <c r="U27" s="61" t="str">
        <f t="shared" si="7"/>
        <v/>
      </c>
      <c r="V27" s="199"/>
      <c r="W27" s="60"/>
    </row>
    <row r="28" spans="1:23" ht="30" customHeight="1">
      <c r="A28" s="211" t="s">
        <v>208</v>
      </c>
      <c r="B28" s="43" t="s">
        <v>10</v>
      </c>
      <c r="C28" s="57" t="s">
        <v>78</v>
      </c>
      <c r="D28" s="51" t="s">
        <v>79</v>
      </c>
      <c r="E28" s="190" t="s">
        <v>215</v>
      </c>
      <c r="F28" s="58"/>
      <c r="G28" s="59"/>
      <c r="H28" s="59"/>
      <c r="I28" s="204" t="s">
        <v>533</v>
      </c>
      <c r="J28" s="61" t="str">
        <f t="shared" si="6"/>
        <v>Data call</v>
      </c>
      <c r="K28" s="61" t="str">
        <f t="shared" si="6"/>
        <v/>
      </c>
      <c r="L28" s="61" t="str">
        <f t="shared" si="6"/>
        <v/>
      </c>
      <c r="M28" s="204" t="s">
        <v>197</v>
      </c>
      <c r="N28" s="189"/>
      <c r="O28" s="59"/>
      <c r="P28" s="59"/>
      <c r="Q28" s="60"/>
      <c r="R28" s="189"/>
      <c r="S28" s="61" t="str">
        <f t="shared" si="7"/>
        <v>NT</v>
      </c>
      <c r="T28" s="61" t="str">
        <f t="shared" si="7"/>
        <v/>
      </c>
      <c r="U28" s="61" t="str">
        <f t="shared" si="7"/>
        <v/>
      </c>
      <c r="V28" s="199"/>
      <c r="W28" s="60"/>
    </row>
    <row r="29" spans="1:23" ht="29.25" customHeight="1">
      <c r="A29" s="211" t="s">
        <v>34</v>
      </c>
      <c r="B29" s="43" t="s">
        <v>23</v>
      </c>
      <c r="C29" s="57" t="s">
        <v>80</v>
      </c>
      <c r="D29" s="51" t="s">
        <v>81</v>
      </c>
      <c r="E29" s="190" t="s">
        <v>215</v>
      </c>
      <c r="F29" s="58"/>
      <c r="G29" s="59"/>
      <c r="H29" s="59"/>
      <c r="I29" s="204" t="s">
        <v>533</v>
      </c>
      <c r="J29" s="61" t="str">
        <f t="shared" si="6"/>
        <v/>
      </c>
      <c r="K29" s="61" t="str">
        <f t="shared" si="6"/>
        <v>Data call</v>
      </c>
      <c r="L29" s="61" t="str">
        <f t="shared" si="6"/>
        <v/>
      </c>
      <c r="M29" s="204" t="s">
        <v>197</v>
      </c>
      <c r="N29" s="189"/>
      <c r="O29" s="59"/>
      <c r="P29" s="59"/>
      <c r="Q29" s="60"/>
      <c r="R29" s="189"/>
      <c r="S29" s="61" t="str">
        <f t="shared" si="7"/>
        <v/>
      </c>
      <c r="T29" s="61" t="str">
        <f t="shared" si="7"/>
        <v>NT</v>
      </c>
      <c r="U29" s="61" t="str">
        <f t="shared" si="7"/>
        <v/>
      </c>
      <c r="V29" s="199"/>
      <c r="W29" s="60"/>
    </row>
    <row r="30" spans="1:23">
      <c r="A30" s="211" t="s">
        <v>82</v>
      </c>
      <c r="B30" s="43" t="s">
        <v>23</v>
      </c>
      <c r="C30" s="57" t="s">
        <v>83</v>
      </c>
      <c r="D30" s="51" t="s">
        <v>84</v>
      </c>
      <c r="E30" s="190" t="s">
        <v>215</v>
      </c>
      <c r="F30" s="58"/>
      <c r="G30" s="59"/>
      <c r="H30" s="59"/>
      <c r="I30" s="204" t="s">
        <v>533</v>
      </c>
      <c r="J30" s="61" t="str">
        <f t="shared" si="6"/>
        <v/>
      </c>
      <c r="K30" s="61" t="str">
        <f t="shared" si="6"/>
        <v>Data call</v>
      </c>
      <c r="L30" s="61" t="str">
        <f t="shared" si="6"/>
        <v/>
      </c>
      <c r="M30" s="204" t="s">
        <v>197</v>
      </c>
      <c r="N30" s="189"/>
      <c r="O30" s="59"/>
      <c r="P30" s="189"/>
      <c r="Q30" s="60"/>
      <c r="R30" s="189"/>
      <c r="S30" s="61" t="str">
        <f t="shared" si="7"/>
        <v/>
      </c>
      <c r="T30" s="61" t="str">
        <f t="shared" si="7"/>
        <v>NT</v>
      </c>
      <c r="U30" s="61" t="str">
        <f t="shared" si="7"/>
        <v/>
      </c>
      <c r="V30" s="199"/>
      <c r="W30" s="60"/>
    </row>
    <row r="31" spans="1:23">
      <c r="A31" s="211" t="s">
        <v>85</v>
      </c>
      <c r="B31" s="43" t="s">
        <v>26</v>
      </c>
      <c r="C31" s="57" t="s">
        <v>86</v>
      </c>
      <c r="D31" s="51" t="s">
        <v>87</v>
      </c>
      <c r="E31" s="190" t="s">
        <v>215</v>
      </c>
      <c r="F31" s="58"/>
      <c r="G31" s="59"/>
      <c r="H31" s="59"/>
      <c r="I31" s="204" t="s">
        <v>533</v>
      </c>
      <c r="J31" s="61" t="str">
        <f t="shared" si="6"/>
        <v/>
      </c>
      <c r="K31" s="61" t="str">
        <f t="shared" si="6"/>
        <v/>
      </c>
      <c r="L31" s="61" t="str">
        <f t="shared" si="6"/>
        <v>Data call</v>
      </c>
      <c r="M31" s="204" t="s">
        <v>197</v>
      </c>
      <c r="N31" s="59"/>
      <c r="O31" s="189"/>
      <c r="P31" s="59"/>
      <c r="Q31" s="60"/>
      <c r="R31" s="60"/>
      <c r="S31" s="61" t="str">
        <f t="shared" si="7"/>
        <v/>
      </c>
      <c r="T31" s="61" t="str">
        <f t="shared" si="7"/>
        <v/>
      </c>
      <c r="U31" s="61" t="str">
        <f t="shared" si="7"/>
        <v>NT</v>
      </c>
      <c r="V31" s="199"/>
      <c r="W31" s="60"/>
    </row>
    <row r="32" spans="1:23">
      <c r="A32" s="211" t="s">
        <v>204</v>
      </c>
      <c r="B32" s="43" t="s">
        <v>23</v>
      </c>
      <c r="C32" s="57" t="s">
        <v>193</v>
      </c>
      <c r="D32" s="51" t="s">
        <v>213</v>
      </c>
      <c r="E32" s="190" t="s">
        <v>215</v>
      </c>
      <c r="F32" s="58"/>
      <c r="G32" s="59"/>
      <c r="H32" s="59"/>
      <c r="I32" s="204" t="s">
        <v>533</v>
      </c>
      <c r="J32" s="61" t="str">
        <f t="shared" si="6"/>
        <v/>
      </c>
      <c r="K32" s="61" t="str">
        <f t="shared" si="6"/>
        <v>Data call</v>
      </c>
      <c r="L32" s="61" t="str">
        <f t="shared" si="6"/>
        <v/>
      </c>
      <c r="M32" s="204" t="s">
        <v>197</v>
      </c>
      <c r="N32" s="59"/>
      <c r="O32" s="59"/>
      <c r="P32" s="59"/>
      <c r="Q32" s="60"/>
      <c r="R32" s="60"/>
      <c r="S32" s="61" t="str">
        <f t="shared" si="7"/>
        <v/>
      </c>
      <c r="T32" s="61" t="str">
        <f t="shared" si="7"/>
        <v>NT</v>
      </c>
      <c r="U32" s="61" t="str">
        <f t="shared" si="7"/>
        <v/>
      </c>
      <c r="V32" s="199"/>
      <c r="W32" s="60"/>
    </row>
    <row r="33" spans="1:23" ht="47.25" customHeight="1">
      <c r="A33" s="211" t="s">
        <v>205</v>
      </c>
      <c r="B33" s="43" t="s">
        <v>10</v>
      </c>
      <c r="C33" s="57" t="s">
        <v>194</v>
      </c>
      <c r="D33" s="51" t="s">
        <v>195</v>
      </c>
      <c r="E33" s="190" t="s">
        <v>215</v>
      </c>
      <c r="F33" s="58"/>
      <c r="G33" s="59"/>
      <c r="H33" s="59"/>
      <c r="I33" s="204" t="s">
        <v>533</v>
      </c>
      <c r="J33" s="61" t="str">
        <f t="shared" si="6"/>
        <v>Data call</v>
      </c>
      <c r="K33" s="61" t="str">
        <f t="shared" si="6"/>
        <v/>
      </c>
      <c r="L33" s="61" t="str">
        <f t="shared" si="6"/>
        <v/>
      </c>
      <c r="M33" s="204" t="s">
        <v>197</v>
      </c>
      <c r="N33" s="189"/>
      <c r="O33" s="59"/>
      <c r="P33" s="59"/>
      <c r="Q33" s="60"/>
      <c r="R33" s="60"/>
      <c r="S33" s="61" t="str">
        <f t="shared" si="7"/>
        <v>NT</v>
      </c>
      <c r="T33" s="61" t="str">
        <f t="shared" si="7"/>
        <v/>
      </c>
      <c r="U33" s="61" t="str">
        <f t="shared" si="7"/>
        <v/>
      </c>
      <c r="V33" s="202"/>
      <c r="W33" s="60"/>
    </row>
    <row r="34" spans="1:23">
      <c r="A34" s="211"/>
      <c r="B34" s="43"/>
      <c r="C34" s="43"/>
      <c r="D34" s="43" t="s">
        <v>88</v>
      </c>
      <c r="E34" s="43"/>
      <c r="F34" s="43"/>
      <c r="G34" s="43"/>
      <c r="H34" s="43"/>
      <c r="I34" s="43"/>
      <c r="J34" s="43"/>
      <c r="K34" s="43"/>
      <c r="L34" s="43"/>
      <c r="M34" s="43"/>
      <c r="N34" s="43"/>
      <c r="O34" s="43"/>
      <c r="P34" s="43"/>
      <c r="Q34" s="44"/>
      <c r="R34" s="45"/>
      <c r="S34" s="45"/>
      <c r="T34" s="45"/>
      <c r="U34" s="45"/>
      <c r="V34" s="44"/>
      <c r="W34" s="45"/>
    </row>
    <row r="35" spans="1:23" ht="29.25" customHeight="1">
      <c r="A35" s="211" t="s">
        <v>210</v>
      </c>
      <c r="B35" s="43" t="s">
        <v>23</v>
      </c>
      <c r="C35" s="60" t="s">
        <v>89</v>
      </c>
      <c r="D35" s="213" t="s">
        <v>90</v>
      </c>
      <c r="E35" s="190" t="s">
        <v>517</v>
      </c>
      <c r="F35" s="58"/>
      <c r="G35" s="59"/>
      <c r="H35" s="59"/>
      <c r="I35" s="204" t="s">
        <v>516</v>
      </c>
      <c r="J35" s="61" t="str">
        <f t="shared" ref="J35:L44" si="8">IF($B35=J$3,$I35,"")</f>
        <v/>
      </c>
      <c r="K35" s="61" t="str">
        <f t="shared" si="8"/>
        <v>DUP</v>
      </c>
      <c r="L35" s="61" t="str">
        <f t="shared" si="8"/>
        <v/>
      </c>
      <c r="M35" s="204" t="s">
        <v>516</v>
      </c>
      <c r="N35" s="59"/>
      <c r="O35" s="59"/>
      <c r="P35" s="59"/>
      <c r="Q35" s="60"/>
      <c r="R35" s="60"/>
      <c r="S35" s="61" t="str">
        <f t="shared" ref="S35:U44" si="9">IF($B35=S$3,$M35,"")</f>
        <v/>
      </c>
      <c r="T35" s="61" t="str">
        <f t="shared" si="9"/>
        <v>DUP</v>
      </c>
      <c r="U35" s="61" t="str">
        <f t="shared" si="9"/>
        <v/>
      </c>
      <c r="V35" s="205" t="str">
        <f>+"Refer to FS9, Status: "&amp; M64</f>
        <v>Refer to FS9, Status: P</v>
      </c>
      <c r="W35" s="60"/>
    </row>
    <row r="36" spans="1:23" ht="30" customHeight="1">
      <c r="A36" s="211" t="s">
        <v>209</v>
      </c>
      <c r="B36" s="43" t="s">
        <v>23</v>
      </c>
      <c r="C36" s="60" t="s">
        <v>91</v>
      </c>
      <c r="D36" s="213" t="s">
        <v>92</v>
      </c>
      <c r="E36" s="190" t="s">
        <v>215</v>
      </c>
      <c r="F36" s="58"/>
      <c r="G36" s="59"/>
      <c r="H36" s="59"/>
      <c r="I36" s="204" t="s">
        <v>534</v>
      </c>
      <c r="J36" s="61" t="str">
        <f t="shared" si="8"/>
        <v/>
      </c>
      <c r="K36" s="61" t="str">
        <f t="shared" si="8"/>
        <v>NA</v>
      </c>
      <c r="L36" s="61" t="str">
        <f t="shared" si="8"/>
        <v/>
      </c>
      <c r="M36" s="204" t="s">
        <v>534</v>
      </c>
      <c r="N36" s="59"/>
      <c r="O36" s="59"/>
      <c r="P36" s="59"/>
      <c r="Q36" s="60"/>
      <c r="R36" s="60"/>
      <c r="S36" s="61" t="str">
        <f t="shared" si="9"/>
        <v/>
      </c>
      <c r="T36" s="61" t="str">
        <f t="shared" si="9"/>
        <v>NA</v>
      </c>
      <c r="U36" s="61" t="str">
        <f t="shared" si="9"/>
        <v/>
      </c>
      <c r="V36" s="62"/>
      <c r="W36" s="60"/>
    </row>
    <row r="37" spans="1:23" ht="31.5" customHeight="1">
      <c r="A37" s="211" t="s">
        <v>210</v>
      </c>
      <c r="B37" s="43" t="s">
        <v>23</v>
      </c>
      <c r="C37" s="60" t="s">
        <v>93</v>
      </c>
      <c r="D37" s="213" t="s">
        <v>94</v>
      </c>
      <c r="E37" s="190" t="s">
        <v>517</v>
      </c>
      <c r="F37" s="58"/>
      <c r="G37" s="59"/>
      <c r="H37" s="59"/>
      <c r="I37" s="204" t="s">
        <v>516</v>
      </c>
      <c r="J37" s="61" t="str">
        <f t="shared" si="8"/>
        <v/>
      </c>
      <c r="K37" s="61" t="str">
        <f t="shared" si="8"/>
        <v>DUP</v>
      </c>
      <c r="L37" s="61" t="str">
        <f t="shared" si="8"/>
        <v/>
      </c>
      <c r="M37" s="204" t="s">
        <v>516</v>
      </c>
      <c r="N37" s="59"/>
      <c r="O37" s="59"/>
      <c r="P37" s="59"/>
      <c r="Q37" s="60"/>
      <c r="R37" s="60"/>
      <c r="S37" s="61" t="str">
        <f t="shared" si="9"/>
        <v/>
      </c>
      <c r="T37" s="61" t="str">
        <f t="shared" si="9"/>
        <v>DUP</v>
      </c>
      <c r="U37" s="61" t="str">
        <f t="shared" si="9"/>
        <v/>
      </c>
      <c r="V37" s="205" t="str">
        <f>+"Refer to FS3, Status: "&amp; +M58</f>
        <v>Refer to FS3, Status: R</v>
      </c>
      <c r="W37" s="60"/>
    </row>
    <row r="38" spans="1:23" ht="34.5" customHeight="1">
      <c r="A38" s="211" t="s">
        <v>210</v>
      </c>
      <c r="B38" s="43" t="s">
        <v>10</v>
      </c>
      <c r="C38" s="60" t="s">
        <v>95</v>
      </c>
      <c r="D38" s="213" t="s">
        <v>96</v>
      </c>
      <c r="E38" s="190" t="s">
        <v>517</v>
      </c>
      <c r="F38" s="58"/>
      <c r="G38" s="59"/>
      <c r="H38" s="59"/>
      <c r="I38" s="204" t="s">
        <v>516</v>
      </c>
      <c r="J38" s="61" t="str">
        <f t="shared" si="8"/>
        <v>DUP</v>
      </c>
      <c r="K38" s="61" t="str">
        <f t="shared" si="8"/>
        <v/>
      </c>
      <c r="L38" s="61" t="str">
        <f t="shared" si="8"/>
        <v/>
      </c>
      <c r="M38" s="204" t="s">
        <v>516</v>
      </c>
      <c r="N38" s="59"/>
      <c r="O38" s="59"/>
      <c r="P38" s="59"/>
      <c r="Q38" s="60"/>
      <c r="R38" s="60"/>
      <c r="S38" s="61" t="str">
        <f t="shared" si="9"/>
        <v>DUP</v>
      </c>
      <c r="T38" s="61" t="str">
        <f t="shared" si="9"/>
        <v/>
      </c>
      <c r="U38" s="61" t="str">
        <f t="shared" si="9"/>
        <v/>
      </c>
      <c r="V38" s="205" t="str">
        <f>+"Refer to FS4, Status: "&amp; +M59</f>
        <v>Refer to FS4, Status: P</v>
      </c>
      <c r="W38" s="60"/>
    </row>
    <row r="39" spans="1:23" ht="27" customHeight="1">
      <c r="A39" s="211" t="s">
        <v>210</v>
      </c>
      <c r="B39" s="43" t="s">
        <v>23</v>
      </c>
      <c r="C39" s="60" t="s">
        <v>97</v>
      </c>
      <c r="D39" s="52" t="s">
        <v>98</v>
      </c>
      <c r="E39" s="190" t="s">
        <v>517</v>
      </c>
      <c r="F39" s="58"/>
      <c r="G39" s="59"/>
      <c r="H39" s="59"/>
      <c r="I39" s="204" t="s">
        <v>516</v>
      </c>
      <c r="J39" s="61" t="str">
        <f t="shared" si="8"/>
        <v/>
      </c>
      <c r="K39" s="61" t="str">
        <f t="shared" si="8"/>
        <v>DUP</v>
      </c>
      <c r="L39" s="61" t="str">
        <f t="shared" si="8"/>
        <v/>
      </c>
      <c r="M39" s="204" t="s">
        <v>516</v>
      </c>
      <c r="N39" s="59"/>
      <c r="O39" s="59"/>
      <c r="P39" s="59"/>
      <c r="Q39" s="60"/>
      <c r="R39" s="60"/>
      <c r="S39" s="61" t="str">
        <f t="shared" si="9"/>
        <v/>
      </c>
      <c r="T39" s="61" t="str">
        <f t="shared" si="9"/>
        <v>DUP</v>
      </c>
      <c r="U39" s="61" t="str">
        <f t="shared" si="9"/>
        <v/>
      </c>
      <c r="V39" s="205" t="str">
        <f>+"Refer to FS5, Status: "&amp; +M60</f>
        <v>Refer to FS5, Status: R</v>
      </c>
      <c r="W39" s="60"/>
    </row>
    <row r="40" spans="1:23" ht="25.5" customHeight="1">
      <c r="A40" s="211" t="s">
        <v>210</v>
      </c>
      <c r="B40" s="43" t="s">
        <v>23</v>
      </c>
      <c r="C40" s="60" t="s">
        <v>99</v>
      </c>
      <c r="D40" s="52" t="s">
        <v>100</v>
      </c>
      <c r="E40" s="190" t="s">
        <v>517</v>
      </c>
      <c r="F40" s="58"/>
      <c r="G40" s="59"/>
      <c r="H40" s="59"/>
      <c r="I40" s="204" t="s">
        <v>516</v>
      </c>
      <c r="J40" s="61" t="str">
        <f t="shared" si="8"/>
        <v/>
      </c>
      <c r="K40" s="61" t="str">
        <f t="shared" si="8"/>
        <v>DUP</v>
      </c>
      <c r="L40" s="61" t="str">
        <f t="shared" si="8"/>
        <v/>
      </c>
      <c r="M40" s="204" t="s">
        <v>516</v>
      </c>
      <c r="N40" s="59"/>
      <c r="O40" s="59"/>
      <c r="P40" s="59"/>
      <c r="Q40" s="60"/>
      <c r="R40" s="60"/>
      <c r="S40" s="61" t="str">
        <f t="shared" si="9"/>
        <v/>
      </c>
      <c r="T40" s="61" t="str">
        <f t="shared" si="9"/>
        <v>DUP</v>
      </c>
      <c r="U40" s="61" t="str">
        <f t="shared" si="9"/>
        <v/>
      </c>
      <c r="V40" s="205" t="str">
        <f>+"Refer to FS6, Status: "&amp; +M61</f>
        <v>Refer to FS6, Status: R</v>
      </c>
      <c r="W40" s="60"/>
    </row>
    <row r="41" spans="1:23" ht="27.75" customHeight="1">
      <c r="A41" s="211" t="s">
        <v>210</v>
      </c>
      <c r="B41" s="43" t="s">
        <v>23</v>
      </c>
      <c r="C41" s="60" t="s">
        <v>101</v>
      </c>
      <c r="D41" s="52" t="s">
        <v>102</v>
      </c>
      <c r="E41" s="190" t="s">
        <v>517</v>
      </c>
      <c r="F41" s="58"/>
      <c r="G41" s="59"/>
      <c r="H41" s="59"/>
      <c r="I41" s="204" t="s">
        <v>516</v>
      </c>
      <c r="J41" s="61" t="str">
        <f t="shared" si="8"/>
        <v/>
      </c>
      <c r="K41" s="61" t="str">
        <f t="shared" si="8"/>
        <v>DUP</v>
      </c>
      <c r="L41" s="61" t="str">
        <f t="shared" si="8"/>
        <v/>
      </c>
      <c r="M41" s="204" t="s">
        <v>516</v>
      </c>
      <c r="N41" s="59"/>
      <c r="O41" s="59"/>
      <c r="P41" s="59"/>
      <c r="Q41" s="60"/>
      <c r="R41" s="60"/>
      <c r="S41" s="61" t="str">
        <f t="shared" si="9"/>
        <v/>
      </c>
      <c r="T41" s="61" t="str">
        <f t="shared" si="9"/>
        <v>DUP</v>
      </c>
      <c r="U41" s="61" t="str">
        <f t="shared" si="9"/>
        <v/>
      </c>
      <c r="V41" s="205" t="str">
        <f>+"Refer to FS7, Status: "&amp; +M62</f>
        <v>Refer to FS7, Status: P</v>
      </c>
      <c r="W41" s="60"/>
    </row>
    <row r="42" spans="1:23" ht="30" customHeight="1">
      <c r="A42" s="211" t="s">
        <v>211</v>
      </c>
      <c r="B42" s="43" t="s">
        <v>23</v>
      </c>
      <c r="C42" s="60" t="s">
        <v>103</v>
      </c>
      <c r="D42" s="52" t="s">
        <v>104</v>
      </c>
      <c r="E42" s="190" t="s">
        <v>517</v>
      </c>
      <c r="F42" s="58"/>
      <c r="G42" s="59"/>
      <c r="H42" s="59"/>
      <c r="I42" s="204" t="s">
        <v>516</v>
      </c>
      <c r="J42" s="61" t="str">
        <f t="shared" si="8"/>
        <v/>
      </c>
      <c r="K42" s="61" t="str">
        <f t="shared" si="8"/>
        <v>DUP</v>
      </c>
      <c r="L42" s="61" t="str">
        <f t="shared" si="8"/>
        <v/>
      </c>
      <c r="M42" s="204" t="s">
        <v>516</v>
      </c>
      <c r="N42" s="59"/>
      <c r="O42" s="59"/>
      <c r="P42" s="59"/>
      <c r="Q42" s="60"/>
      <c r="R42" s="60"/>
      <c r="S42" s="61" t="str">
        <f t="shared" si="9"/>
        <v/>
      </c>
      <c r="T42" s="61" t="str">
        <f t="shared" si="9"/>
        <v>DUP</v>
      </c>
      <c r="U42" s="61" t="str">
        <f t="shared" si="9"/>
        <v/>
      </c>
      <c r="V42" s="62"/>
      <c r="W42" s="60"/>
    </row>
    <row r="43" spans="1:23" ht="27.75" customHeight="1">
      <c r="A43" s="211" t="s">
        <v>211</v>
      </c>
      <c r="B43" s="43" t="s">
        <v>23</v>
      </c>
      <c r="C43" s="60" t="s">
        <v>105</v>
      </c>
      <c r="D43" s="52" t="s">
        <v>106</v>
      </c>
      <c r="E43" s="190" t="s">
        <v>517</v>
      </c>
      <c r="F43" s="58"/>
      <c r="G43" s="59"/>
      <c r="H43" s="59"/>
      <c r="I43" s="204" t="s">
        <v>516</v>
      </c>
      <c r="J43" s="61" t="str">
        <f t="shared" si="8"/>
        <v/>
      </c>
      <c r="K43" s="61" t="str">
        <f t="shared" si="8"/>
        <v>DUP</v>
      </c>
      <c r="L43" s="61" t="str">
        <f t="shared" si="8"/>
        <v/>
      </c>
      <c r="M43" s="204" t="s">
        <v>516</v>
      </c>
      <c r="N43" s="59"/>
      <c r="O43" s="59"/>
      <c r="P43" s="59"/>
      <c r="Q43" s="60"/>
      <c r="R43" s="60"/>
      <c r="S43" s="61" t="str">
        <f t="shared" si="9"/>
        <v/>
      </c>
      <c r="T43" s="61" t="str">
        <f t="shared" si="9"/>
        <v>DUP</v>
      </c>
      <c r="U43" s="61" t="str">
        <f t="shared" si="9"/>
        <v/>
      </c>
      <c r="V43" s="205" t="s">
        <v>518</v>
      </c>
      <c r="W43" s="60"/>
    </row>
    <row r="44" spans="1:23" ht="26.25" customHeight="1">
      <c r="A44" s="211" t="s">
        <v>211</v>
      </c>
      <c r="B44" s="43" t="s">
        <v>23</v>
      </c>
      <c r="C44" s="60" t="s">
        <v>107</v>
      </c>
      <c r="D44" s="52" t="s">
        <v>108</v>
      </c>
      <c r="E44" s="190" t="s">
        <v>517</v>
      </c>
      <c r="F44" s="58"/>
      <c r="G44" s="59"/>
      <c r="H44" s="59"/>
      <c r="I44" s="204" t="s">
        <v>516</v>
      </c>
      <c r="J44" s="61" t="str">
        <f t="shared" si="8"/>
        <v/>
      </c>
      <c r="K44" s="61" t="str">
        <f t="shared" si="8"/>
        <v>DUP</v>
      </c>
      <c r="L44" s="61" t="str">
        <f t="shared" si="8"/>
        <v/>
      </c>
      <c r="M44" s="204" t="s">
        <v>516</v>
      </c>
      <c r="N44" s="59"/>
      <c r="O44" s="59"/>
      <c r="P44" s="59"/>
      <c r="Q44" s="60"/>
      <c r="R44" s="60"/>
      <c r="S44" s="61" t="str">
        <f t="shared" si="9"/>
        <v/>
      </c>
      <c r="T44" s="61" t="str">
        <f t="shared" si="9"/>
        <v>DUP</v>
      </c>
      <c r="U44" s="61" t="str">
        <f t="shared" si="9"/>
        <v/>
      </c>
      <c r="V44" s="62"/>
      <c r="W44" s="60"/>
    </row>
    <row r="45" spans="1:23">
      <c r="A45" s="211"/>
      <c r="B45" s="43"/>
      <c r="C45" s="43"/>
      <c r="D45" s="43" t="s">
        <v>109</v>
      </c>
      <c r="E45" s="43"/>
      <c r="F45" s="43"/>
      <c r="G45" s="43"/>
      <c r="H45" s="43"/>
      <c r="I45" s="43"/>
      <c r="J45" s="43"/>
      <c r="K45" s="43"/>
      <c r="L45" s="43"/>
      <c r="M45" s="43"/>
      <c r="N45" s="43"/>
      <c r="O45" s="43"/>
      <c r="P45" s="43"/>
      <c r="Q45" s="44"/>
      <c r="R45" s="45"/>
      <c r="S45" s="45"/>
      <c r="T45" s="45"/>
      <c r="U45" s="45"/>
      <c r="V45" s="44"/>
      <c r="W45" s="45"/>
    </row>
    <row r="46" spans="1:23">
      <c r="A46" s="211" t="s">
        <v>212</v>
      </c>
      <c r="B46" s="43" t="s">
        <v>23</v>
      </c>
      <c r="C46" s="57" t="s">
        <v>110</v>
      </c>
      <c r="D46" s="51" t="s">
        <v>111</v>
      </c>
      <c r="E46" s="190" t="s">
        <v>215</v>
      </c>
      <c r="F46" s="58"/>
      <c r="G46" s="59"/>
      <c r="H46" s="59"/>
      <c r="I46" s="204" t="s">
        <v>17</v>
      </c>
      <c r="J46" s="61" t="str">
        <f t="shared" ref="J46:L56" si="10">IF($B46=J$3,$I46,"")</f>
        <v/>
      </c>
      <c r="K46" s="61" t="str">
        <f t="shared" si="10"/>
        <v>P</v>
      </c>
      <c r="L46" s="61" t="str">
        <f t="shared" si="10"/>
        <v/>
      </c>
      <c r="M46" s="204" t="s">
        <v>17</v>
      </c>
      <c r="N46" s="59"/>
      <c r="O46" s="59"/>
      <c r="P46" s="59"/>
      <c r="Q46" s="60"/>
      <c r="R46" s="60"/>
      <c r="S46" s="61" t="str">
        <f t="shared" ref="S46:U56" si="11">IF($B46=S$3,$M46,"")</f>
        <v/>
      </c>
      <c r="T46" s="61" t="str">
        <f t="shared" si="11"/>
        <v>P</v>
      </c>
      <c r="U46" s="61" t="str">
        <f t="shared" si="11"/>
        <v/>
      </c>
      <c r="V46" s="199"/>
      <c r="W46" s="60"/>
    </row>
    <row r="47" spans="1:23">
      <c r="A47" s="211" t="s">
        <v>212</v>
      </c>
      <c r="B47" s="43" t="s">
        <v>23</v>
      </c>
      <c r="C47" s="57" t="s">
        <v>112</v>
      </c>
      <c r="D47" s="51" t="s">
        <v>113</v>
      </c>
      <c r="E47" s="190" t="s">
        <v>215</v>
      </c>
      <c r="F47" s="58"/>
      <c r="G47" s="59"/>
      <c r="H47" s="59"/>
      <c r="I47" s="204" t="s">
        <v>17</v>
      </c>
      <c r="J47" s="61" t="str">
        <f t="shared" si="10"/>
        <v/>
      </c>
      <c r="K47" s="61" t="str">
        <f t="shared" si="10"/>
        <v>P</v>
      </c>
      <c r="L47" s="61" t="str">
        <f t="shared" si="10"/>
        <v/>
      </c>
      <c r="M47" s="204" t="s">
        <v>17</v>
      </c>
      <c r="N47" s="59"/>
      <c r="O47" s="59"/>
      <c r="P47" s="59"/>
      <c r="Q47" s="60"/>
      <c r="R47" s="60"/>
      <c r="S47" s="61" t="str">
        <f t="shared" si="11"/>
        <v/>
      </c>
      <c r="T47" s="61" t="str">
        <f t="shared" si="11"/>
        <v>P</v>
      </c>
      <c r="U47" s="61" t="str">
        <f t="shared" si="11"/>
        <v/>
      </c>
      <c r="V47" s="199"/>
      <c r="W47" s="60"/>
    </row>
    <row r="48" spans="1:23" ht="30">
      <c r="A48" s="211" t="s">
        <v>212</v>
      </c>
      <c r="B48" s="43" t="s">
        <v>23</v>
      </c>
      <c r="C48" s="57" t="s">
        <v>114</v>
      </c>
      <c r="D48" s="51" t="s">
        <v>484</v>
      </c>
      <c r="E48" s="190" t="s">
        <v>215</v>
      </c>
      <c r="F48" s="58"/>
      <c r="G48" s="59"/>
      <c r="H48" s="59"/>
      <c r="I48" s="204" t="s">
        <v>17</v>
      </c>
      <c r="J48" s="61" t="str">
        <f t="shared" si="10"/>
        <v/>
      </c>
      <c r="K48" s="61" t="str">
        <f t="shared" si="10"/>
        <v>P</v>
      </c>
      <c r="L48" s="61" t="str">
        <f t="shared" si="10"/>
        <v/>
      </c>
      <c r="M48" s="204" t="s">
        <v>17</v>
      </c>
      <c r="N48" s="59"/>
      <c r="O48" s="59"/>
      <c r="P48" s="59"/>
      <c r="Q48" s="60"/>
      <c r="R48" s="60"/>
      <c r="S48" s="61" t="str">
        <f t="shared" si="11"/>
        <v/>
      </c>
      <c r="T48" s="61" t="str">
        <f t="shared" si="11"/>
        <v>P</v>
      </c>
      <c r="U48" s="61" t="str">
        <f t="shared" si="11"/>
        <v/>
      </c>
      <c r="V48" s="199"/>
      <c r="W48" s="60"/>
    </row>
    <row r="49" spans="1:23">
      <c r="A49" s="211" t="s">
        <v>212</v>
      </c>
      <c r="B49" s="43" t="s">
        <v>23</v>
      </c>
      <c r="C49" s="57" t="s">
        <v>115</v>
      </c>
      <c r="D49" s="51" t="s">
        <v>116</v>
      </c>
      <c r="E49" s="190" t="s">
        <v>215</v>
      </c>
      <c r="F49" s="58"/>
      <c r="G49" s="59"/>
      <c r="H49" s="59"/>
      <c r="I49" s="204" t="s">
        <v>18</v>
      </c>
      <c r="J49" s="61" t="str">
        <f t="shared" si="10"/>
        <v/>
      </c>
      <c r="K49" s="61" t="str">
        <f t="shared" si="10"/>
        <v>A</v>
      </c>
      <c r="L49" s="61" t="str">
        <f t="shared" si="10"/>
        <v/>
      </c>
      <c r="M49" s="204" t="s">
        <v>18</v>
      </c>
      <c r="N49" s="59"/>
      <c r="O49" s="59"/>
      <c r="P49" s="59"/>
      <c r="Q49" s="60"/>
      <c r="R49" s="60"/>
      <c r="S49" s="61" t="str">
        <f t="shared" si="11"/>
        <v/>
      </c>
      <c r="T49" s="61" t="str">
        <f t="shared" si="11"/>
        <v>A</v>
      </c>
      <c r="U49" s="61" t="str">
        <f t="shared" si="11"/>
        <v/>
      </c>
      <c r="V49" s="199"/>
      <c r="W49" s="60"/>
    </row>
    <row r="50" spans="1:23" ht="15.75" hidden="1" customHeight="1">
      <c r="A50" s="211" t="s">
        <v>30</v>
      </c>
      <c r="B50" s="43" t="s">
        <v>23</v>
      </c>
      <c r="C50" s="57" t="s">
        <v>117</v>
      </c>
      <c r="D50" s="51" t="s">
        <v>118</v>
      </c>
      <c r="E50" s="190" t="s">
        <v>215</v>
      </c>
      <c r="F50" s="58"/>
      <c r="G50" s="59"/>
      <c r="H50" s="59"/>
      <c r="I50" s="204" t="s">
        <v>538</v>
      </c>
      <c r="J50" s="61" t="str">
        <f t="shared" si="10"/>
        <v/>
      </c>
      <c r="K50" s="61" t="str">
        <f t="shared" si="10"/>
        <v>HOLD</v>
      </c>
      <c r="L50" s="61" t="str">
        <f t="shared" si="10"/>
        <v/>
      </c>
      <c r="M50" s="204" t="s">
        <v>538</v>
      </c>
      <c r="N50" s="59"/>
      <c r="O50" s="59"/>
      <c r="P50" s="59"/>
      <c r="Q50" s="60"/>
      <c r="R50" s="60"/>
      <c r="S50" s="61" t="str">
        <f t="shared" si="11"/>
        <v/>
      </c>
      <c r="T50" s="61" t="str">
        <f t="shared" si="11"/>
        <v>HOLD</v>
      </c>
      <c r="U50" s="61" t="str">
        <f t="shared" si="11"/>
        <v/>
      </c>
      <c r="V50" s="199"/>
      <c r="W50" s="60"/>
    </row>
    <row r="51" spans="1:23" ht="32.25" customHeight="1">
      <c r="A51" s="211">
        <v>5.2</v>
      </c>
      <c r="B51" s="43" t="s">
        <v>10</v>
      </c>
      <c r="C51" s="60" t="s">
        <v>119</v>
      </c>
      <c r="D51" s="187" t="s">
        <v>120</v>
      </c>
      <c r="E51" s="190" t="s">
        <v>215</v>
      </c>
      <c r="F51" s="58"/>
      <c r="G51" s="59"/>
      <c r="H51" s="59"/>
      <c r="I51" s="204" t="s">
        <v>17</v>
      </c>
      <c r="J51" s="61" t="str">
        <f t="shared" si="10"/>
        <v>P</v>
      </c>
      <c r="K51" s="61" t="str">
        <f t="shared" si="10"/>
        <v/>
      </c>
      <c r="L51" s="61" t="str">
        <f t="shared" si="10"/>
        <v/>
      </c>
      <c r="M51" s="204" t="s">
        <v>17</v>
      </c>
      <c r="N51" s="59"/>
      <c r="O51" s="59"/>
      <c r="P51" s="59"/>
      <c r="Q51" s="189"/>
      <c r="R51" s="60"/>
      <c r="S51" s="61" t="str">
        <f t="shared" si="11"/>
        <v>P</v>
      </c>
      <c r="T51" s="61" t="str">
        <f t="shared" si="11"/>
        <v/>
      </c>
      <c r="U51" s="61" t="str">
        <f t="shared" si="11"/>
        <v/>
      </c>
      <c r="V51" s="199"/>
      <c r="W51" s="60"/>
    </row>
    <row r="52" spans="1:23" ht="32.25" customHeight="1">
      <c r="A52" s="211" t="s">
        <v>514</v>
      </c>
      <c r="B52" s="43" t="s">
        <v>10</v>
      </c>
      <c r="C52" s="204" t="s">
        <v>467</v>
      </c>
      <c r="D52" s="188" t="s">
        <v>480</v>
      </c>
      <c r="E52" s="190" t="s">
        <v>215</v>
      </c>
      <c r="F52" s="58"/>
      <c r="G52" s="198"/>
      <c r="H52" s="198"/>
      <c r="I52" s="204" t="s">
        <v>17</v>
      </c>
      <c r="J52" s="61" t="str">
        <f t="shared" si="10"/>
        <v>P</v>
      </c>
      <c r="K52" s="61" t="str">
        <f t="shared" si="10"/>
        <v/>
      </c>
      <c r="L52" s="61" t="str">
        <f t="shared" si="10"/>
        <v/>
      </c>
      <c r="M52" s="204" t="s">
        <v>17</v>
      </c>
      <c r="N52" s="198"/>
      <c r="O52" s="198"/>
      <c r="P52" s="198"/>
      <c r="Q52" s="204"/>
      <c r="R52" s="204"/>
      <c r="S52" s="61" t="str">
        <f t="shared" si="11"/>
        <v>P</v>
      </c>
      <c r="T52" s="61" t="str">
        <f t="shared" si="11"/>
        <v/>
      </c>
      <c r="U52" s="61" t="str">
        <f t="shared" si="11"/>
        <v/>
      </c>
      <c r="V52" s="205"/>
      <c r="W52" s="204"/>
    </row>
    <row r="53" spans="1:23" ht="32.25" customHeight="1">
      <c r="A53" s="211" t="s">
        <v>514</v>
      </c>
      <c r="B53" s="43" t="s">
        <v>10</v>
      </c>
      <c r="C53" s="204" t="s">
        <v>468</v>
      </c>
      <c r="D53" s="188" t="s">
        <v>481</v>
      </c>
      <c r="E53" s="190" t="s">
        <v>215</v>
      </c>
      <c r="F53" s="58"/>
      <c r="G53" s="198"/>
      <c r="H53" s="198"/>
      <c r="I53" s="204" t="s">
        <v>17</v>
      </c>
      <c r="J53" s="61" t="str">
        <f t="shared" si="10"/>
        <v>P</v>
      </c>
      <c r="K53" s="61" t="str">
        <f t="shared" si="10"/>
        <v/>
      </c>
      <c r="L53" s="61" t="str">
        <f t="shared" si="10"/>
        <v/>
      </c>
      <c r="M53" s="204" t="s">
        <v>17</v>
      </c>
      <c r="N53" s="198"/>
      <c r="O53" s="198"/>
      <c r="P53" s="198"/>
      <c r="Q53" s="204"/>
      <c r="R53" s="204"/>
      <c r="S53" s="61" t="str">
        <f t="shared" si="11"/>
        <v>P</v>
      </c>
      <c r="T53" s="61" t="str">
        <f t="shared" si="11"/>
        <v/>
      </c>
      <c r="U53" s="61" t="str">
        <f t="shared" si="11"/>
        <v/>
      </c>
      <c r="V53" s="205"/>
      <c r="W53" s="204"/>
    </row>
    <row r="54" spans="1:23" ht="32.25" customHeight="1">
      <c r="A54" s="211" t="s">
        <v>514</v>
      </c>
      <c r="B54" s="43" t="s">
        <v>10</v>
      </c>
      <c r="C54" s="204" t="s">
        <v>482</v>
      </c>
      <c r="D54" s="188" t="s">
        <v>483</v>
      </c>
      <c r="E54" s="190" t="s">
        <v>215</v>
      </c>
      <c r="F54" s="58"/>
      <c r="G54" s="198"/>
      <c r="H54" s="198"/>
      <c r="I54" s="204" t="s">
        <v>504</v>
      </c>
      <c r="J54" s="61" t="str">
        <f t="shared" si="10"/>
        <v>R</v>
      </c>
      <c r="K54" s="61" t="str">
        <f t="shared" si="10"/>
        <v/>
      </c>
      <c r="L54" s="61" t="str">
        <f t="shared" si="10"/>
        <v/>
      </c>
      <c r="M54" s="204" t="s">
        <v>504</v>
      </c>
      <c r="N54" s="198"/>
      <c r="O54" s="198"/>
      <c r="P54" s="198"/>
      <c r="Q54" s="204"/>
      <c r="R54" s="204"/>
      <c r="S54" s="61" t="str">
        <f t="shared" si="11"/>
        <v>R</v>
      </c>
      <c r="T54" s="61" t="str">
        <f t="shared" si="11"/>
        <v/>
      </c>
      <c r="U54" s="61" t="str">
        <f t="shared" si="11"/>
        <v/>
      </c>
      <c r="V54" s="205"/>
      <c r="W54" s="204"/>
    </row>
    <row r="55" spans="1:23" ht="32.25" customHeight="1">
      <c r="A55" s="211"/>
      <c r="B55" s="43" t="s">
        <v>23</v>
      </c>
      <c r="C55" s="204" t="s">
        <v>521</v>
      </c>
      <c r="D55" s="214" t="s">
        <v>525</v>
      </c>
      <c r="E55" s="190" t="s">
        <v>215</v>
      </c>
      <c r="F55" s="58"/>
      <c r="G55" s="198"/>
      <c r="H55" s="198"/>
      <c r="I55" s="204" t="s">
        <v>197</v>
      </c>
      <c r="J55" s="61" t="str">
        <f t="shared" si="10"/>
        <v/>
      </c>
      <c r="K55" s="61" t="str">
        <f t="shared" si="10"/>
        <v>NT</v>
      </c>
      <c r="L55" s="61" t="str">
        <f t="shared" si="10"/>
        <v/>
      </c>
      <c r="M55" s="204" t="s">
        <v>197</v>
      </c>
      <c r="N55" s="198"/>
      <c r="O55" s="198"/>
      <c r="P55" s="198"/>
      <c r="Q55" s="204"/>
      <c r="R55" s="204"/>
      <c r="S55" s="61" t="str">
        <f t="shared" si="11"/>
        <v/>
      </c>
      <c r="T55" s="61" t="str">
        <f t="shared" si="11"/>
        <v>NT</v>
      </c>
      <c r="U55" s="61" t="str">
        <f t="shared" si="11"/>
        <v/>
      </c>
      <c r="V55" s="205" t="s">
        <v>527</v>
      </c>
      <c r="W55" s="204"/>
    </row>
    <row r="56" spans="1:23" ht="32.25" customHeight="1">
      <c r="A56" s="211"/>
      <c r="B56" s="43" t="s">
        <v>23</v>
      </c>
      <c r="C56" s="204" t="s">
        <v>524</v>
      </c>
      <c r="D56" s="214" t="s">
        <v>526</v>
      </c>
      <c r="E56" s="190" t="s">
        <v>215</v>
      </c>
      <c r="F56" s="58"/>
      <c r="G56" s="198"/>
      <c r="H56" s="198"/>
      <c r="I56" s="204" t="s">
        <v>504</v>
      </c>
      <c r="J56" s="61" t="str">
        <f t="shared" si="10"/>
        <v/>
      </c>
      <c r="K56" s="61" t="str">
        <f t="shared" si="10"/>
        <v>R</v>
      </c>
      <c r="L56" s="61" t="str">
        <f t="shared" si="10"/>
        <v/>
      </c>
      <c r="M56" s="204" t="s">
        <v>504</v>
      </c>
      <c r="N56" s="198"/>
      <c r="O56" s="198"/>
      <c r="P56" s="198"/>
      <c r="Q56" s="204"/>
      <c r="R56" s="204"/>
      <c r="S56" s="61" t="str">
        <f t="shared" si="11"/>
        <v/>
      </c>
      <c r="T56" s="61" t="str">
        <f t="shared" si="11"/>
        <v>R</v>
      </c>
      <c r="U56" s="61" t="str">
        <f t="shared" si="11"/>
        <v/>
      </c>
      <c r="V56" s="205" t="s">
        <v>527</v>
      </c>
      <c r="W56" s="204"/>
    </row>
    <row r="57" spans="1:23">
      <c r="A57" s="211"/>
      <c r="B57" s="43"/>
      <c r="C57" s="43"/>
      <c r="D57" s="47" t="s">
        <v>121</v>
      </c>
      <c r="E57" s="43"/>
      <c r="F57" s="43"/>
      <c r="G57" s="43"/>
      <c r="H57" s="43"/>
      <c r="I57" s="43"/>
      <c r="J57" s="43"/>
      <c r="K57" s="43"/>
      <c r="L57" s="43"/>
      <c r="M57" s="43"/>
      <c r="N57" s="43"/>
      <c r="O57" s="43"/>
      <c r="P57" s="43"/>
      <c r="Q57" s="44"/>
      <c r="R57" s="45"/>
      <c r="S57" s="45"/>
      <c r="T57" s="45"/>
      <c r="U57" s="45"/>
      <c r="V57" s="44"/>
      <c r="W57" s="45"/>
    </row>
    <row r="58" spans="1:23">
      <c r="A58" s="211" t="s">
        <v>122</v>
      </c>
      <c r="B58" s="43" t="s">
        <v>10</v>
      </c>
      <c r="C58" s="60" t="s">
        <v>123</v>
      </c>
      <c r="D58" s="52" t="s">
        <v>94</v>
      </c>
      <c r="E58" s="190" t="s">
        <v>215</v>
      </c>
      <c r="F58" s="58"/>
      <c r="G58" s="59"/>
      <c r="H58" s="59"/>
      <c r="I58" s="204" t="s">
        <v>504</v>
      </c>
      <c r="J58" s="61" t="str">
        <f t="shared" ref="J58:L65" si="12">IF($B58=J$3,$I58,"")</f>
        <v>R</v>
      </c>
      <c r="K58" s="61" t="str">
        <f t="shared" si="12"/>
        <v/>
      </c>
      <c r="L58" s="61" t="str">
        <f t="shared" si="12"/>
        <v/>
      </c>
      <c r="M58" s="204" t="s">
        <v>504</v>
      </c>
      <c r="N58" s="59"/>
      <c r="O58" s="59"/>
      <c r="P58" s="59"/>
      <c r="Q58" s="60"/>
      <c r="R58" s="60"/>
      <c r="S58" s="61" t="str">
        <f t="shared" ref="S58:U65" si="13">IF($B58=S$3,$M58,"")</f>
        <v>R</v>
      </c>
      <c r="T58" s="61" t="str">
        <f t="shared" si="13"/>
        <v/>
      </c>
      <c r="U58" s="61" t="str">
        <f t="shared" si="13"/>
        <v/>
      </c>
      <c r="V58" s="205" t="s">
        <v>506</v>
      </c>
      <c r="W58" s="60"/>
    </row>
    <row r="59" spans="1:23">
      <c r="A59" s="211" t="s">
        <v>122</v>
      </c>
      <c r="B59" s="43" t="s">
        <v>10</v>
      </c>
      <c r="C59" s="60" t="s">
        <v>124</v>
      </c>
      <c r="D59" s="52" t="s">
        <v>96</v>
      </c>
      <c r="E59" s="190" t="s">
        <v>215</v>
      </c>
      <c r="F59" s="58"/>
      <c r="G59" s="59"/>
      <c r="H59" s="59"/>
      <c r="I59" s="204" t="s">
        <v>17</v>
      </c>
      <c r="J59" s="61" t="str">
        <f t="shared" si="12"/>
        <v>P</v>
      </c>
      <c r="K59" s="61" t="str">
        <f t="shared" si="12"/>
        <v/>
      </c>
      <c r="L59" s="61" t="str">
        <f t="shared" si="12"/>
        <v/>
      </c>
      <c r="M59" s="204" t="s">
        <v>17</v>
      </c>
      <c r="N59" s="189"/>
      <c r="O59" s="59"/>
      <c r="P59" s="59"/>
      <c r="Q59" s="60"/>
      <c r="R59" s="60"/>
      <c r="S59" s="61" t="str">
        <f t="shared" si="13"/>
        <v>P</v>
      </c>
      <c r="T59" s="61" t="str">
        <f t="shared" si="13"/>
        <v/>
      </c>
      <c r="U59" s="61" t="str">
        <f t="shared" si="13"/>
        <v/>
      </c>
      <c r="V59" s="199"/>
      <c r="W59" s="60"/>
    </row>
    <row r="60" spans="1:23" ht="30">
      <c r="A60" s="211" t="s">
        <v>122</v>
      </c>
      <c r="B60" s="43" t="s">
        <v>10</v>
      </c>
      <c r="C60" s="60" t="s">
        <v>125</v>
      </c>
      <c r="D60" s="188" t="s">
        <v>536</v>
      </c>
      <c r="E60" s="190" t="s">
        <v>215</v>
      </c>
      <c r="F60" s="58"/>
      <c r="G60" s="59"/>
      <c r="H60" s="59"/>
      <c r="I60" s="204" t="s">
        <v>504</v>
      </c>
      <c r="J60" s="61" t="str">
        <f t="shared" si="12"/>
        <v>R</v>
      </c>
      <c r="K60" s="61" t="str">
        <f t="shared" si="12"/>
        <v/>
      </c>
      <c r="L60" s="61" t="str">
        <f t="shared" si="12"/>
        <v/>
      </c>
      <c r="M60" s="204" t="s">
        <v>504</v>
      </c>
      <c r="N60" s="59"/>
      <c r="O60" s="59"/>
      <c r="P60" s="59"/>
      <c r="Q60" s="60"/>
      <c r="R60" s="60"/>
      <c r="S60" s="61" t="str">
        <f t="shared" si="13"/>
        <v>R</v>
      </c>
      <c r="T60" s="61" t="str">
        <f t="shared" si="13"/>
        <v/>
      </c>
      <c r="U60" s="61" t="str">
        <f t="shared" si="13"/>
        <v/>
      </c>
      <c r="V60" s="205" t="s">
        <v>530</v>
      </c>
      <c r="W60" s="60"/>
    </row>
    <row r="61" spans="1:23" ht="30">
      <c r="A61" s="211" t="s">
        <v>122</v>
      </c>
      <c r="B61" s="43" t="s">
        <v>10</v>
      </c>
      <c r="C61" s="60" t="s">
        <v>126</v>
      </c>
      <c r="D61" s="52" t="s">
        <v>100</v>
      </c>
      <c r="E61" s="190" t="s">
        <v>215</v>
      </c>
      <c r="F61" s="58"/>
      <c r="G61" s="59"/>
      <c r="H61" s="59"/>
      <c r="I61" s="204" t="s">
        <v>504</v>
      </c>
      <c r="J61" s="61" t="str">
        <f t="shared" si="12"/>
        <v>R</v>
      </c>
      <c r="K61" s="61" t="str">
        <f t="shared" si="12"/>
        <v/>
      </c>
      <c r="L61" s="61" t="str">
        <f t="shared" si="12"/>
        <v/>
      </c>
      <c r="M61" s="204" t="s">
        <v>504</v>
      </c>
      <c r="N61" s="59"/>
      <c r="O61" s="59"/>
      <c r="P61" s="59"/>
      <c r="Q61" s="60"/>
      <c r="R61" s="60"/>
      <c r="S61" s="61" t="str">
        <f t="shared" si="13"/>
        <v>R</v>
      </c>
      <c r="T61" s="61" t="str">
        <f t="shared" si="13"/>
        <v/>
      </c>
      <c r="U61" s="61" t="str">
        <f t="shared" si="13"/>
        <v/>
      </c>
      <c r="V61" s="205" t="s">
        <v>522</v>
      </c>
      <c r="W61" s="60"/>
    </row>
    <row r="62" spans="1:23">
      <c r="A62" s="211" t="s">
        <v>122</v>
      </c>
      <c r="B62" s="43" t="s">
        <v>10</v>
      </c>
      <c r="C62" s="60" t="s">
        <v>127</v>
      </c>
      <c r="D62" s="52" t="s">
        <v>102</v>
      </c>
      <c r="E62" s="190" t="s">
        <v>215</v>
      </c>
      <c r="F62" s="58"/>
      <c r="G62" s="59"/>
      <c r="H62" s="59"/>
      <c r="I62" s="204" t="s">
        <v>17</v>
      </c>
      <c r="J62" s="61" t="str">
        <f t="shared" si="12"/>
        <v>P</v>
      </c>
      <c r="K62" s="61" t="str">
        <f t="shared" si="12"/>
        <v/>
      </c>
      <c r="L62" s="61" t="str">
        <f t="shared" si="12"/>
        <v/>
      </c>
      <c r="M62" s="204" t="s">
        <v>17</v>
      </c>
      <c r="N62" s="59"/>
      <c r="O62" s="59"/>
      <c r="P62" s="59"/>
      <c r="Q62" s="60"/>
      <c r="R62" s="60"/>
      <c r="S62" s="61" t="str">
        <f t="shared" si="13"/>
        <v>P</v>
      </c>
      <c r="T62" s="61" t="str">
        <f t="shared" si="13"/>
        <v/>
      </c>
      <c r="U62" s="61" t="str">
        <f t="shared" si="13"/>
        <v/>
      </c>
      <c r="V62" s="199"/>
      <c r="W62" s="60"/>
    </row>
    <row r="63" spans="1:23">
      <c r="A63" s="211" t="s">
        <v>122</v>
      </c>
      <c r="B63" s="43" t="s">
        <v>10</v>
      </c>
      <c r="C63" s="60" t="s">
        <v>128</v>
      </c>
      <c r="D63" s="52" t="s">
        <v>129</v>
      </c>
      <c r="E63" s="190" t="s">
        <v>215</v>
      </c>
      <c r="F63" s="58"/>
      <c r="G63" s="59"/>
      <c r="H63" s="59"/>
      <c r="I63" s="204" t="s">
        <v>18</v>
      </c>
      <c r="J63" s="61" t="str">
        <f t="shared" si="12"/>
        <v>A</v>
      </c>
      <c r="K63" s="61" t="str">
        <f t="shared" si="12"/>
        <v/>
      </c>
      <c r="L63" s="61" t="str">
        <f t="shared" si="12"/>
        <v/>
      </c>
      <c r="M63" s="204" t="s">
        <v>18</v>
      </c>
      <c r="N63" s="59"/>
      <c r="O63" s="59"/>
      <c r="P63" s="59"/>
      <c r="Q63" s="60"/>
      <c r="R63" s="60"/>
      <c r="S63" s="61" t="str">
        <f t="shared" si="13"/>
        <v>A</v>
      </c>
      <c r="T63" s="61" t="str">
        <f t="shared" si="13"/>
        <v/>
      </c>
      <c r="U63" s="61" t="str">
        <f t="shared" si="13"/>
        <v/>
      </c>
      <c r="V63" s="205" t="s">
        <v>511</v>
      </c>
      <c r="W63" s="60"/>
    </row>
    <row r="64" spans="1:23">
      <c r="A64" s="211" t="s">
        <v>122</v>
      </c>
      <c r="B64" s="43" t="s">
        <v>10</v>
      </c>
      <c r="C64" s="60" t="s">
        <v>130</v>
      </c>
      <c r="D64" s="52" t="s">
        <v>90</v>
      </c>
      <c r="E64" s="190" t="s">
        <v>215</v>
      </c>
      <c r="F64" s="58"/>
      <c r="G64" s="59"/>
      <c r="H64" s="59"/>
      <c r="I64" s="204" t="s">
        <v>17</v>
      </c>
      <c r="J64" s="61" t="str">
        <f t="shared" si="12"/>
        <v>P</v>
      </c>
      <c r="K64" s="61" t="str">
        <f t="shared" si="12"/>
        <v/>
      </c>
      <c r="L64" s="61" t="str">
        <f t="shared" si="12"/>
        <v/>
      </c>
      <c r="M64" s="204" t="s">
        <v>17</v>
      </c>
      <c r="N64" s="59"/>
      <c r="O64" s="59"/>
      <c r="P64" s="59"/>
      <c r="Q64" s="60"/>
      <c r="R64" s="60"/>
      <c r="S64" s="61" t="str">
        <f t="shared" si="13"/>
        <v>P</v>
      </c>
      <c r="T64" s="61" t="str">
        <f t="shared" si="13"/>
        <v/>
      </c>
      <c r="U64" s="61" t="str">
        <f t="shared" si="13"/>
        <v/>
      </c>
      <c r="V64" s="199"/>
      <c r="W64" s="60"/>
    </row>
    <row r="65" spans="1:23" ht="87" customHeight="1">
      <c r="A65" s="211" t="s">
        <v>122</v>
      </c>
      <c r="B65" s="43" t="s">
        <v>10</v>
      </c>
      <c r="C65" s="57" t="s">
        <v>131</v>
      </c>
      <c r="D65" s="51" t="s">
        <v>132</v>
      </c>
      <c r="E65" s="190" t="s">
        <v>215</v>
      </c>
      <c r="F65" s="58"/>
      <c r="G65" s="59"/>
      <c r="H65" s="59"/>
      <c r="I65" s="204" t="s">
        <v>504</v>
      </c>
      <c r="J65" s="61" t="str">
        <f t="shared" si="12"/>
        <v>R</v>
      </c>
      <c r="K65" s="61" t="str">
        <f t="shared" si="12"/>
        <v/>
      </c>
      <c r="L65" s="61" t="str">
        <f t="shared" si="12"/>
        <v/>
      </c>
      <c r="M65" s="204" t="s">
        <v>504</v>
      </c>
      <c r="N65" s="59"/>
      <c r="O65" s="59"/>
      <c r="P65" s="59"/>
      <c r="Q65" s="60"/>
      <c r="R65" s="189"/>
      <c r="S65" s="61" t="str">
        <f t="shared" si="13"/>
        <v>R</v>
      </c>
      <c r="T65" s="61" t="str">
        <f t="shared" si="13"/>
        <v/>
      </c>
      <c r="U65" s="61" t="str">
        <f t="shared" si="13"/>
        <v/>
      </c>
      <c r="V65" s="206" t="s">
        <v>512</v>
      </c>
      <c r="W65" s="60"/>
    </row>
    <row r="66" spans="1:23">
      <c r="A66" s="211"/>
      <c r="B66" s="43"/>
      <c r="C66" s="43"/>
      <c r="D66" s="47" t="s">
        <v>134</v>
      </c>
      <c r="E66" s="43"/>
      <c r="F66" s="43"/>
      <c r="G66" s="43"/>
      <c r="H66" s="43"/>
      <c r="I66" s="43"/>
      <c r="J66" s="43"/>
      <c r="K66" s="43"/>
      <c r="L66" s="43"/>
      <c r="M66" s="43"/>
      <c r="N66" s="43"/>
      <c r="O66" s="43"/>
      <c r="P66" s="43"/>
      <c r="Q66" s="44"/>
      <c r="R66" s="45"/>
      <c r="S66" s="45"/>
      <c r="T66" s="45"/>
      <c r="U66" s="45"/>
      <c r="V66" s="44"/>
      <c r="W66" s="45"/>
    </row>
    <row r="67" spans="1:23">
      <c r="A67" s="211" t="s">
        <v>135</v>
      </c>
      <c r="B67" s="43" t="s">
        <v>10</v>
      </c>
      <c r="C67" s="60" t="s">
        <v>136</v>
      </c>
      <c r="D67" s="188" t="s">
        <v>470</v>
      </c>
      <c r="E67" s="190" t="s">
        <v>215</v>
      </c>
      <c r="F67" s="58"/>
      <c r="G67" s="59"/>
      <c r="H67" s="59"/>
      <c r="I67" s="204" t="s">
        <v>18</v>
      </c>
      <c r="J67" s="61" t="str">
        <f t="shared" ref="J67:L77" si="14">IF($B67=J$3,$I67,"")</f>
        <v>A</v>
      </c>
      <c r="K67" s="61" t="str">
        <f t="shared" si="14"/>
        <v/>
      </c>
      <c r="L67" s="61" t="str">
        <f t="shared" si="14"/>
        <v/>
      </c>
      <c r="M67" s="204" t="s">
        <v>18</v>
      </c>
      <c r="N67" s="189"/>
      <c r="O67" s="59"/>
      <c r="P67" s="189"/>
      <c r="Q67" s="189"/>
      <c r="R67" s="189"/>
      <c r="S67" s="61" t="str">
        <f t="shared" ref="S67:U77" si="15">IF($B67=S$3,$M67,"")</f>
        <v>A</v>
      </c>
      <c r="T67" s="61" t="str">
        <f t="shared" si="15"/>
        <v/>
      </c>
      <c r="U67" s="61" t="str">
        <f t="shared" si="15"/>
        <v/>
      </c>
      <c r="V67" s="205" t="s">
        <v>507</v>
      </c>
      <c r="W67" s="60"/>
    </row>
    <row r="68" spans="1:23" ht="30">
      <c r="A68" s="211" t="s">
        <v>27</v>
      </c>
      <c r="B68" s="43" t="s">
        <v>10</v>
      </c>
      <c r="C68" s="60" t="s">
        <v>137</v>
      </c>
      <c r="D68" s="52" t="s">
        <v>218</v>
      </c>
      <c r="E68" s="190" t="s">
        <v>215</v>
      </c>
      <c r="F68" s="58"/>
      <c r="G68" s="59"/>
      <c r="H68" s="59"/>
      <c r="I68" s="204" t="s">
        <v>504</v>
      </c>
      <c r="J68" s="61" t="str">
        <f t="shared" si="14"/>
        <v>R</v>
      </c>
      <c r="K68" s="61" t="str">
        <f t="shared" si="14"/>
        <v/>
      </c>
      <c r="L68" s="61" t="str">
        <f t="shared" si="14"/>
        <v/>
      </c>
      <c r="M68" s="204" t="s">
        <v>504</v>
      </c>
      <c r="N68" s="59"/>
      <c r="O68" s="59"/>
      <c r="P68" s="59"/>
      <c r="Q68" s="60"/>
      <c r="R68" s="60"/>
      <c r="S68" s="61" t="str">
        <f t="shared" si="15"/>
        <v>R</v>
      </c>
      <c r="T68" s="61" t="str">
        <f t="shared" si="15"/>
        <v/>
      </c>
      <c r="U68" s="61" t="str">
        <f t="shared" si="15"/>
        <v/>
      </c>
      <c r="V68" s="205" t="s">
        <v>529</v>
      </c>
      <c r="W68" s="60"/>
    </row>
    <row r="69" spans="1:23" ht="30" hidden="1" customHeight="1">
      <c r="A69" s="211" t="s">
        <v>138</v>
      </c>
      <c r="B69" s="43" t="s">
        <v>23</v>
      </c>
      <c r="C69" s="57" t="s">
        <v>139</v>
      </c>
      <c r="D69" s="67" t="s">
        <v>219</v>
      </c>
      <c r="E69" s="190" t="s">
        <v>216</v>
      </c>
      <c r="F69" s="58"/>
      <c r="G69" s="59"/>
      <c r="H69" s="59"/>
      <c r="I69" s="204" t="s">
        <v>537</v>
      </c>
      <c r="J69" s="61" t="str">
        <f t="shared" si="14"/>
        <v/>
      </c>
      <c r="K69" s="61" t="str">
        <f t="shared" si="14"/>
        <v>REM</v>
      </c>
      <c r="L69" s="61" t="str">
        <f t="shared" si="14"/>
        <v/>
      </c>
      <c r="M69" s="204" t="s">
        <v>537</v>
      </c>
      <c r="N69" s="59"/>
      <c r="O69" s="59"/>
      <c r="P69" s="59"/>
      <c r="Q69" s="60"/>
      <c r="R69" s="60"/>
      <c r="S69" s="61" t="str">
        <f t="shared" si="15"/>
        <v/>
      </c>
      <c r="T69" s="61" t="str">
        <f t="shared" si="15"/>
        <v>REM</v>
      </c>
      <c r="U69" s="61" t="str">
        <f t="shared" si="15"/>
        <v/>
      </c>
      <c r="V69" s="62"/>
      <c r="W69" s="60"/>
    </row>
    <row r="70" spans="1:23">
      <c r="A70" s="211" t="s">
        <v>33</v>
      </c>
      <c r="B70" s="43" t="s">
        <v>23</v>
      </c>
      <c r="C70" s="68" t="s">
        <v>141</v>
      </c>
      <c r="D70" s="69" t="s">
        <v>222</v>
      </c>
      <c r="E70" s="190" t="s">
        <v>215</v>
      </c>
      <c r="F70" s="70"/>
      <c r="G70" s="71"/>
      <c r="H70" s="71"/>
      <c r="I70" s="204" t="s">
        <v>504</v>
      </c>
      <c r="J70" s="61" t="str">
        <f t="shared" si="14"/>
        <v/>
      </c>
      <c r="K70" s="61" t="str">
        <f t="shared" si="14"/>
        <v>R</v>
      </c>
      <c r="L70" s="61" t="str">
        <f t="shared" si="14"/>
        <v/>
      </c>
      <c r="M70" s="204" t="s">
        <v>504</v>
      </c>
      <c r="N70" s="71"/>
      <c r="O70" s="71"/>
      <c r="P70" s="71"/>
      <c r="Q70" s="72"/>
      <c r="R70" s="72"/>
      <c r="S70" s="61" t="str">
        <f t="shared" si="15"/>
        <v/>
      </c>
      <c r="T70" s="61" t="str">
        <f t="shared" si="15"/>
        <v>R</v>
      </c>
      <c r="U70" s="61" t="str">
        <f t="shared" si="15"/>
        <v/>
      </c>
      <c r="V70" s="196" t="s">
        <v>535</v>
      </c>
      <c r="W70" s="72"/>
    </row>
    <row r="71" spans="1:23" ht="30">
      <c r="A71" s="211" t="s">
        <v>140</v>
      </c>
      <c r="B71" s="43" t="s">
        <v>23</v>
      </c>
      <c r="C71" s="60" t="s">
        <v>143</v>
      </c>
      <c r="D71" s="188" t="s">
        <v>223</v>
      </c>
      <c r="E71" s="190" t="s">
        <v>215</v>
      </c>
      <c r="F71" s="58"/>
      <c r="G71" s="59"/>
      <c r="H71" s="59"/>
      <c r="I71" s="204" t="s">
        <v>504</v>
      </c>
      <c r="J71" s="61" t="str">
        <f t="shared" si="14"/>
        <v/>
      </c>
      <c r="K71" s="61" t="str">
        <f t="shared" si="14"/>
        <v>R</v>
      </c>
      <c r="L71" s="61" t="str">
        <f t="shared" si="14"/>
        <v/>
      </c>
      <c r="M71" s="204" t="s">
        <v>504</v>
      </c>
      <c r="N71" s="59"/>
      <c r="O71" s="59"/>
      <c r="P71" s="59"/>
      <c r="Q71" s="60"/>
      <c r="R71" s="60"/>
      <c r="S71" s="61" t="str">
        <f t="shared" si="15"/>
        <v/>
      </c>
      <c r="T71" s="61" t="str">
        <f t="shared" si="15"/>
        <v>R</v>
      </c>
      <c r="U71" s="61" t="str">
        <f t="shared" si="15"/>
        <v/>
      </c>
      <c r="V71" s="205" t="s">
        <v>510</v>
      </c>
      <c r="W71" s="60"/>
    </row>
    <row r="72" spans="1:23">
      <c r="A72" s="211" t="s">
        <v>142</v>
      </c>
      <c r="B72" s="43" t="s">
        <v>23</v>
      </c>
      <c r="C72" s="60" t="s">
        <v>144</v>
      </c>
      <c r="D72" s="188" t="s">
        <v>471</v>
      </c>
      <c r="E72" s="190" t="s">
        <v>215</v>
      </c>
      <c r="F72" s="58"/>
      <c r="G72" s="59"/>
      <c r="H72" s="59"/>
      <c r="I72" s="204" t="s">
        <v>504</v>
      </c>
      <c r="J72" s="61" t="str">
        <f t="shared" si="14"/>
        <v/>
      </c>
      <c r="K72" s="61" t="str">
        <f t="shared" si="14"/>
        <v>R</v>
      </c>
      <c r="L72" s="61" t="str">
        <f t="shared" si="14"/>
        <v/>
      </c>
      <c r="M72" s="204" t="s">
        <v>504</v>
      </c>
      <c r="N72" s="59"/>
      <c r="O72" s="59"/>
      <c r="P72" s="59"/>
      <c r="Q72" s="60"/>
      <c r="R72" s="60"/>
      <c r="S72" s="61" t="str">
        <f t="shared" si="15"/>
        <v/>
      </c>
      <c r="T72" s="61" t="str">
        <f t="shared" si="15"/>
        <v>R</v>
      </c>
      <c r="U72" s="61" t="str">
        <f t="shared" si="15"/>
        <v/>
      </c>
      <c r="V72" s="205" t="s">
        <v>509</v>
      </c>
      <c r="W72" s="60"/>
    </row>
    <row r="73" spans="1:23">
      <c r="A73" s="211" t="s">
        <v>27</v>
      </c>
      <c r="B73" s="43" t="s">
        <v>23</v>
      </c>
      <c r="C73" s="60" t="s">
        <v>145</v>
      </c>
      <c r="D73" s="188" t="s">
        <v>472</v>
      </c>
      <c r="E73" s="190" t="s">
        <v>215</v>
      </c>
      <c r="F73" s="58"/>
      <c r="G73" s="59"/>
      <c r="H73" s="59"/>
      <c r="I73" s="204" t="s">
        <v>17</v>
      </c>
      <c r="J73" s="61" t="str">
        <f t="shared" si="14"/>
        <v/>
      </c>
      <c r="K73" s="61" t="str">
        <f t="shared" si="14"/>
        <v>P</v>
      </c>
      <c r="L73" s="61" t="str">
        <f t="shared" si="14"/>
        <v/>
      </c>
      <c r="M73" s="204" t="s">
        <v>17</v>
      </c>
      <c r="N73" s="59"/>
      <c r="O73" s="59"/>
      <c r="P73" s="59"/>
      <c r="Q73" s="60"/>
      <c r="R73" s="60"/>
      <c r="S73" s="61" t="str">
        <f t="shared" si="15"/>
        <v/>
      </c>
      <c r="T73" s="61" t="str">
        <f t="shared" si="15"/>
        <v>P</v>
      </c>
      <c r="U73" s="61" t="str">
        <f t="shared" si="15"/>
        <v/>
      </c>
      <c r="V73" s="199"/>
      <c r="W73" s="60"/>
    </row>
    <row r="74" spans="1:23">
      <c r="A74" s="211" t="s">
        <v>198</v>
      </c>
      <c r="B74" s="43" t="s">
        <v>10</v>
      </c>
      <c r="C74" s="60" t="s">
        <v>220</v>
      </c>
      <c r="D74" s="188" t="s">
        <v>473</v>
      </c>
      <c r="E74" s="190" t="s">
        <v>215</v>
      </c>
      <c r="F74" s="58"/>
      <c r="G74" s="59"/>
      <c r="H74" s="59"/>
      <c r="I74" s="204" t="s">
        <v>17</v>
      </c>
      <c r="J74" s="61" t="str">
        <f t="shared" si="14"/>
        <v>P</v>
      </c>
      <c r="K74" s="61" t="str">
        <f t="shared" si="14"/>
        <v/>
      </c>
      <c r="L74" s="61" t="str">
        <f t="shared" si="14"/>
        <v/>
      </c>
      <c r="M74" s="204" t="s">
        <v>17</v>
      </c>
      <c r="N74" s="59"/>
      <c r="O74" s="59"/>
      <c r="P74" s="59"/>
      <c r="Q74" s="60"/>
      <c r="R74" s="60"/>
      <c r="S74" s="61" t="str">
        <f t="shared" si="15"/>
        <v>P</v>
      </c>
      <c r="T74" s="61" t="str">
        <f t="shared" si="15"/>
        <v/>
      </c>
      <c r="U74" s="61" t="str">
        <f t="shared" si="15"/>
        <v/>
      </c>
      <c r="V74" s="199"/>
      <c r="W74" s="60"/>
    </row>
    <row r="75" spans="1:23" ht="27.75" customHeight="1">
      <c r="A75" s="211" t="s">
        <v>37</v>
      </c>
      <c r="B75" s="43" t="s">
        <v>23</v>
      </c>
      <c r="C75" s="79" t="s">
        <v>221</v>
      </c>
      <c r="D75" s="75" t="s">
        <v>474</v>
      </c>
      <c r="E75" s="190" t="s">
        <v>215</v>
      </c>
      <c r="F75" s="70"/>
      <c r="G75" s="77"/>
      <c r="H75" s="77"/>
      <c r="I75" s="204" t="s">
        <v>17</v>
      </c>
      <c r="J75" s="61" t="str">
        <f t="shared" si="14"/>
        <v/>
      </c>
      <c r="K75" s="61" t="str">
        <f t="shared" si="14"/>
        <v>P</v>
      </c>
      <c r="L75" s="61" t="str">
        <f t="shared" si="14"/>
        <v/>
      </c>
      <c r="M75" s="204" t="s">
        <v>17</v>
      </c>
      <c r="N75" s="77"/>
      <c r="O75" s="77"/>
      <c r="P75" s="77"/>
      <c r="Q75" s="76"/>
      <c r="R75" s="76"/>
      <c r="S75" s="61" t="str">
        <f t="shared" si="15"/>
        <v/>
      </c>
      <c r="T75" s="61" t="str">
        <f t="shared" si="15"/>
        <v>P</v>
      </c>
      <c r="U75" s="61" t="str">
        <f t="shared" si="15"/>
        <v/>
      </c>
      <c r="V75" s="78"/>
      <c r="W75" s="76"/>
    </row>
    <row r="76" spans="1:23" ht="27.75" customHeight="1">
      <c r="A76" s="211" t="s">
        <v>489</v>
      </c>
      <c r="B76" s="43" t="s">
        <v>23</v>
      </c>
      <c r="C76" s="76" t="s">
        <v>485</v>
      </c>
      <c r="D76" s="207" t="s">
        <v>487</v>
      </c>
      <c r="E76" s="190" t="s">
        <v>215</v>
      </c>
      <c r="F76" s="70"/>
      <c r="G76" s="77"/>
      <c r="H76" s="77"/>
      <c r="I76" s="204" t="s">
        <v>539</v>
      </c>
      <c r="J76" s="61" t="str">
        <f t="shared" si="14"/>
        <v/>
      </c>
      <c r="K76" s="61" t="str">
        <f t="shared" si="14"/>
        <v>Execution</v>
      </c>
      <c r="L76" s="61" t="str">
        <f t="shared" si="14"/>
        <v/>
      </c>
      <c r="M76" s="204" t="s">
        <v>197</v>
      </c>
      <c r="N76" s="77"/>
      <c r="O76" s="77"/>
      <c r="P76" s="77"/>
      <c r="Q76" s="76"/>
      <c r="R76" s="76"/>
      <c r="S76" s="61" t="str">
        <f t="shared" si="15"/>
        <v/>
      </c>
      <c r="T76" s="61" t="str">
        <f t="shared" si="15"/>
        <v>NT</v>
      </c>
      <c r="U76" s="61" t="str">
        <f t="shared" si="15"/>
        <v/>
      </c>
      <c r="V76" s="78"/>
      <c r="W76" s="76"/>
    </row>
    <row r="77" spans="1:23" ht="27.75" customHeight="1">
      <c r="A77" s="211" t="s">
        <v>32</v>
      </c>
      <c r="B77" s="43" t="s">
        <v>23</v>
      </c>
      <c r="C77" s="76" t="s">
        <v>486</v>
      </c>
      <c r="D77" s="207" t="s">
        <v>488</v>
      </c>
      <c r="E77" s="190" t="s">
        <v>215</v>
      </c>
      <c r="F77" s="70"/>
      <c r="G77" s="77"/>
      <c r="H77" s="77"/>
      <c r="I77" s="204" t="s">
        <v>539</v>
      </c>
      <c r="J77" s="61" t="str">
        <f t="shared" si="14"/>
        <v/>
      </c>
      <c r="K77" s="61" t="str">
        <f t="shared" si="14"/>
        <v>Execution</v>
      </c>
      <c r="L77" s="61" t="str">
        <f t="shared" si="14"/>
        <v/>
      </c>
      <c r="M77" s="204" t="s">
        <v>197</v>
      </c>
      <c r="N77" s="77"/>
      <c r="O77" s="77"/>
      <c r="P77" s="77"/>
      <c r="Q77" s="76"/>
      <c r="R77" s="76"/>
      <c r="S77" s="61" t="str">
        <f t="shared" si="15"/>
        <v/>
      </c>
      <c r="T77" s="61" t="str">
        <f t="shared" si="15"/>
        <v>NT</v>
      </c>
      <c r="U77" s="61" t="str">
        <f t="shared" si="15"/>
        <v/>
      </c>
      <c r="V77" s="78"/>
      <c r="W77" s="76"/>
    </row>
    <row r="78" spans="1:23">
      <c r="A78" s="211"/>
      <c r="B78" s="43"/>
      <c r="C78" s="43"/>
      <c r="D78" s="47" t="s">
        <v>146</v>
      </c>
      <c r="E78" s="43"/>
      <c r="F78" s="43"/>
      <c r="G78" s="43"/>
      <c r="H78" s="43"/>
      <c r="I78" s="43"/>
      <c r="J78" s="43"/>
      <c r="K78" s="43"/>
      <c r="L78" s="43"/>
      <c r="M78" s="43"/>
      <c r="N78" s="43"/>
      <c r="O78" s="43"/>
      <c r="P78" s="43"/>
      <c r="Q78" s="44"/>
      <c r="R78" s="45"/>
      <c r="S78" s="45"/>
      <c r="T78" s="45"/>
      <c r="U78" s="45"/>
      <c r="V78" s="44"/>
      <c r="W78" s="45"/>
    </row>
    <row r="79" spans="1:23">
      <c r="A79" s="211" t="s">
        <v>24</v>
      </c>
      <c r="B79" s="43" t="s">
        <v>23</v>
      </c>
      <c r="C79" s="57" t="s">
        <v>147</v>
      </c>
      <c r="D79" s="51" t="s">
        <v>148</v>
      </c>
      <c r="E79" s="192" t="s">
        <v>215</v>
      </c>
      <c r="F79" s="58"/>
      <c r="G79" s="59"/>
      <c r="H79" s="59"/>
      <c r="I79" s="204" t="s">
        <v>17</v>
      </c>
      <c r="J79" s="61" t="str">
        <f t="shared" ref="J79:L85" si="16">IF($B79=J$3,$I79,"")</f>
        <v/>
      </c>
      <c r="K79" s="61" t="str">
        <f t="shared" si="16"/>
        <v>P</v>
      </c>
      <c r="L79" s="61" t="str">
        <f t="shared" si="16"/>
        <v/>
      </c>
      <c r="M79" s="204" t="s">
        <v>17</v>
      </c>
      <c r="N79" s="59"/>
      <c r="O79" s="59"/>
      <c r="P79" s="59"/>
      <c r="Q79" s="60"/>
      <c r="R79" s="60"/>
      <c r="S79" s="61" t="str">
        <f t="shared" ref="S79:U85" si="17">IF($B79=S$3,$M79,"")</f>
        <v/>
      </c>
      <c r="T79" s="61" t="str">
        <f t="shared" si="17"/>
        <v>P</v>
      </c>
      <c r="U79" s="61" t="str">
        <f t="shared" si="17"/>
        <v/>
      </c>
      <c r="V79" s="205"/>
      <c r="W79" s="60"/>
    </row>
    <row r="80" spans="1:23">
      <c r="A80" s="211" t="s">
        <v>25</v>
      </c>
      <c r="B80" s="43" t="s">
        <v>23</v>
      </c>
      <c r="C80" s="60" t="s">
        <v>149</v>
      </c>
      <c r="D80" s="52" t="s">
        <v>150</v>
      </c>
      <c r="E80" s="190" t="s">
        <v>215</v>
      </c>
      <c r="F80" s="58"/>
      <c r="G80" s="59"/>
      <c r="H80" s="59"/>
      <c r="I80" s="204" t="s">
        <v>17</v>
      </c>
      <c r="J80" s="61" t="str">
        <f t="shared" si="16"/>
        <v/>
      </c>
      <c r="K80" s="61" t="str">
        <f t="shared" si="16"/>
        <v>P</v>
      </c>
      <c r="L80" s="61" t="str">
        <f t="shared" si="16"/>
        <v/>
      </c>
      <c r="M80" s="204" t="s">
        <v>17</v>
      </c>
      <c r="N80" s="59"/>
      <c r="O80" s="59"/>
      <c r="P80" s="59"/>
      <c r="Q80" s="60"/>
      <c r="R80" s="60"/>
      <c r="S80" s="61" t="str">
        <f t="shared" si="17"/>
        <v/>
      </c>
      <c r="T80" s="61" t="str">
        <f t="shared" si="17"/>
        <v>P</v>
      </c>
      <c r="U80" s="61" t="str">
        <f t="shared" si="17"/>
        <v/>
      </c>
      <c r="V80" s="205"/>
      <c r="W80" s="60"/>
    </row>
    <row r="81" spans="1:23">
      <c r="A81" s="211" t="s">
        <v>151</v>
      </c>
      <c r="B81" s="43" t="s">
        <v>23</v>
      </c>
      <c r="C81" s="57" t="s">
        <v>152</v>
      </c>
      <c r="D81" s="51" t="s">
        <v>153</v>
      </c>
      <c r="E81" s="190" t="s">
        <v>215</v>
      </c>
      <c r="F81" s="58"/>
      <c r="G81" s="59"/>
      <c r="H81" s="59"/>
      <c r="I81" s="204" t="s">
        <v>17</v>
      </c>
      <c r="J81" s="61" t="str">
        <f t="shared" si="16"/>
        <v/>
      </c>
      <c r="K81" s="61" t="str">
        <f t="shared" si="16"/>
        <v>P</v>
      </c>
      <c r="L81" s="61" t="str">
        <f t="shared" si="16"/>
        <v/>
      </c>
      <c r="M81" s="204" t="s">
        <v>17</v>
      </c>
      <c r="N81" s="59"/>
      <c r="O81" s="59"/>
      <c r="P81" s="59"/>
      <c r="Q81" s="60"/>
      <c r="R81" s="60"/>
      <c r="S81" s="61" t="str">
        <f t="shared" si="17"/>
        <v/>
      </c>
      <c r="T81" s="61" t="str">
        <f t="shared" si="17"/>
        <v>P</v>
      </c>
      <c r="U81" s="61" t="str">
        <f t="shared" si="17"/>
        <v/>
      </c>
      <c r="V81" s="205"/>
      <c r="W81" s="60"/>
    </row>
    <row r="82" spans="1:23">
      <c r="A82" s="211"/>
      <c r="B82" s="43" t="s">
        <v>26</v>
      </c>
      <c r="C82" s="57" t="s">
        <v>154</v>
      </c>
      <c r="D82" s="51" t="s">
        <v>155</v>
      </c>
      <c r="E82" s="190" t="s">
        <v>215</v>
      </c>
      <c r="F82" s="58"/>
      <c r="G82" s="59"/>
      <c r="H82" s="59"/>
      <c r="I82" s="204" t="s">
        <v>17</v>
      </c>
      <c r="J82" s="61" t="str">
        <f t="shared" si="16"/>
        <v/>
      </c>
      <c r="K82" s="61" t="str">
        <f t="shared" si="16"/>
        <v/>
      </c>
      <c r="L82" s="61" t="str">
        <f t="shared" si="16"/>
        <v>P</v>
      </c>
      <c r="M82" s="204" t="s">
        <v>17</v>
      </c>
      <c r="N82" s="59"/>
      <c r="O82" s="59"/>
      <c r="P82" s="59"/>
      <c r="Q82" s="60"/>
      <c r="R82" s="60"/>
      <c r="S82" s="61" t="str">
        <f t="shared" si="17"/>
        <v/>
      </c>
      <c r="T82" s="61" t="str">
        <f t="shared" si="17"/>
        <v/>
      </c>
      <c r="U82" s="61" t="str">
        <f t="shared" si="17"/>
        <v>P</v>
      </c>
      <c r="V82" s="62"/>
      <c r="W82" s="60"/>
    </row>
    <row r="83" spans="1:23">
      <c r="A83" s="211" t="s">
        <v>28</v>
      </c>
      <c r="B83" s="43" t="s">
        <v>10</v>
      </c>
      <c r="C83" s="57" t="s">
        <v>156</v>
      </c>
      <c r="D83" s="51" t="s">
        <v>475</v>
      </c>
      <c r="E83" s="190" t="s">
        <v>215</v>
      </c>
      <c r="F83" s="58"/>
      <c r="G83" s="59"/>
      <c r="H83" s="59"/>
      <c r="I83" s="204" t="s">
        <v>17</v>
      </c>
      <c r="J83" s="61" t="str">
        <f t="shared" si="16"/>
        <v>P</v>
      </c>
      <c r="K83" s="61" t="str">
        <f t="shared" si="16"/>
        <v/>
      </c>
      <c r="L83" s="61" t="str">
        <f t="shared" si="16"/>
        <v/>
      </c>
      <c r="M83" s="204" t="s">
        <v>17</v>
      </c>
      <c r="N83" s="59"/>
      <c r="O83" s="59"/>
      <c r="P83" s="59"/>
      <c r="Q83" s="60"/>
      <c r="R83" s="60"/>
      <c r="S83" s="61" t="str">
        <f t="shared" si="17"/>
        <v>P</v>
      </c>
      <c r="T83" s="61" t="str">
        <f t="shared" si="17"/>
        <v/>
      </c>
      <c r="U83" s="61" t="str">
        <f t="shared" si="17"/>
        <v/>
      </c>
      <c r="V83" s="62"/>
      <c r="W83" s="60"/>
    </row>
    <row r="84" spans="1:23">
      <c r="A84" s="211" t="s">
        <v>28</v>
      </c>
      <c r="B84" s="43" t="s">
        <v>10</v>
      </c>
      <c r="C84" s="60" t="s">
        <v>157</v>
      </c>
      <c r="D84" s="52" t="s">
        <v>158</v>
      </c>
      <c r="E84" s="192" t="s">
        <v>215</v>
      </c>
      <c r="F84" s="58"/>
      <c r="G84" s="59"/>
      <c r="H84" s="59"/>
      <c r="I84" s="204" t="s">
        <v>17</v>
      </c>
      <c r="J84" s="61" t="str">
        <f t="shared" si="16"/>
        <v>P</v>
      </c>
      <c r="K84" s="61" t="str">
        <f t="shared" si="16"/>
        <v/>
      </c>
      <c r="L84" s="61" t="str">
        <f t="shared" si="16"/>
        <v/>
      </c>
      <c r="M84" s="204" t="s">
        <v>17</v>
      </c>
      <c r="N84" s="59"/>
      <c r="O84" s="59"/>
      <c r="P84" s="59"/>
      <c r="Q84" s="60"/>
      <c r="R84" s="60"/>
      <c r="S84" s="61" t="str">
        <f t="shared" si="17"/>
        <v>P</v>
      </c>
      <c r="T84" s="61" t="str">
        <f t="shared" si="17"/>
        <v/>
      </c>
      <c r="U84" s="61" t="str">
        <f t="shared" si="17"/>
        <v/>
      </c>
      <c r="V84" s="193"/>
      <c r="W84" s="60"/>
    </row>
    <row r="85" spans="1:23">
      <c r="A85" s="211"/>
      <c r="B85" s="43" t="s">
        <v>10</v>
      </c>
      <c r="C85" s="204" t="s">
        <v>519</v>
      </c>
      <c r="D85" s="188" t="s">
        <v>520</v>
      </c>
      <c r="E85" s="192" t="s">
        <v>215</v>
      </c>
      <c r="F85" s="58"/>
      <c r="G85" s="198"/>
      <c r="H85" s="198"/>
      <c r="I85" s="204" t="s">
        <v>17</v>
      </c>
      <c r="J85" s="61" t="str">
        <f t="shared" si="16"/>
        <v>P</v>
      </c>
      <c r="K85" s="61" t="str">
        <f t="shared" si="16"/>
        <v/>
      </c>
      <c r="L85" s="61" t="str">
        <f t="shared" si="16"/>
        <v/>
      </c>
      <c r="M85" s="204" t="s">
        <v>17</v>
      </c>
      <c r="N85" s="198"/>
      <c r="O85" s="198"/>
      <c r="P85" s="198"/>
      <c r="Q85" s="204"/>
      <c r="R85" s="204"/>
      <c r="S85" s="61" t="str">
        <f t="shared" si="17"/>
        <v>P</v>
      </c>
      <c r="T85" s="61" t="str">
        <f t="shared" si="17"/>
        <v/>
      </c>
      <c r="U85" s="61" t="str">
        <f t="shared" si="17"/>
        <v/>
      </c>
      <c r="V85" s="205"/>
      <c r="W85" s="204"/>
    </row>
    <row r="86" spans="1:23">
      <c r="A86" s="211"/>
      <c r="B86" s="43"/>
      <c r="C86" s="43"/>
      <c r="D86" s="47" t="s">
        <v>159</v>
      </c>
      <c r="E86" s="43"/>
      <c r="F86" s="43"/>
      <c r="G86" s="43"/>
      <c r="H86" s="43"/>
      <c r="I86" s="43"/>
      <c r="J86" s="43"/>
      <c r="K86" s="43"/>
      <c r="L86" s="43"/>
      <c r="M86" s="43"/>
      <c r="N86" s="43"/>
      <c r="O86" s="43"/>
      <c r="P86" s="43"/>
      <c r="Q86" s="44"/>
      <c r="R86" s="45"/>
      <c r="S86" s="45"/>
      <c r="T86" s="45"/>
      <c r="U86" s="45"/>
      <c r="V86" s="44"/>
      <c r="W86" s="45"/>
    </row>
    <row r="87" spans="1:23" ht="40.5" customHeight="1">
      <c r="A87" s="211" t="s">
        <v>29</v>
      </c>
      <c r="B87" s="43" t="s">
        <v>10</v>
      </c>
      <c r="C87" s="57" t="s">
        <v>160</v>
      </c>
      <c r="D87" s="51" t="s">
        <v>161</v>
      </c>
      <c r="E87" s="190" t="s">
        <v>215</v>
      </c>
      <c r="F87" s="58"/>
      <c r="G87" s="59"/>
      <c r="H87" s="59"/>
      <c r="I87" s="204" t="s">
        <v>17</v>
      </c>
      <c r="J87" s="61" t="str">
        <f t="shared" ref="J87:L88" si="18">IF($B87=J$3,$I87,"")</f>
        <v>P</v>
      </c>
      <c r="K87" s="61" t="str">
        <f t="shared" si="18"/>
        <v/>
      </c>
      <c r="L87" s="61" t="str">
        <f t="shared" si="18"/>
        <v/>
      </c>
      <c r="M87" s="204" t="s">
        <v>17</v>
      </c>
      <c r="N87" s="59"/>
      <c r="O87" s="59"/>
      <c r="P87" s="59"/>
      <c r="Q87" s="60"/>
      <c r="R87" s="60"/>
      <c r="S87" s="61" t="str">
        <f t="shared" ref="S87:U88" si="19">IF($B87=S$3,$M87,"")</f>
        <v>P</v>
      </c>
      <c r="T87" s="61" t="str">
        <f t="shared" si="19"/>
        <v/>
      </c>
      <c r="U87" s="61" t="str">
        <f t="shared" si="19"/>
        <v/>
      </c>
      <c r="V87" s="206" t="s">
        <v>508</v>
      </c>
      <c r="W87" s="60"/>
    </row>
    <row r="88" spans="1:23" s="66" customFormat="1">
      <c r="A88" s="211" t="s">
        <v>224</v>
      </c>
      <c r="B88" s="43" t="s">
        <v>10</v>
      </c>
      <c r="C88" s="76" t="s">
        <v>162</v>
      </c>
      <c r="D88" s="75" t="s">
        <v>163</v>
      </c>
      <c r="E88" s="65" t="s">
        <v>215</v>
      </c>
      <c r="F88" s="80"/>
      <c r="G88" s="77"/>
      <c r="H88" s="77"/>
      <c r="I88" s="204" t="s">
        <v>19</v>
      </c>
      <c r="J88" s="61" t="str">
        <f t="shared" si="18"/>
        <v>F</v>
      </c>
      <c r="K88" s="61" t="str">
        <f t="shared" si="18"/>
        <v/>
      </c>
      <c r="L88" s="61" t="str">
        <f t="shared" si="18"/>
        <v/>
      </c>
      <c r="M88" s="204" t="s">
        <v>19</v>
      </c>
      <c r="N88" s="77"/>
      <c r="O88" s="77"/>
      <c r="P88" s="77"/>
      <c r="Q88" s="76"/>
      <c r="R88" s="76"/>
      <c r="S88" s="61" t="str">
        <f t="shared" si="19"/>
        <v>F</v>
      </c>
      <c r="T88" s="61" t="str">
        <f t="shared" si="19"/>
        <v/>
      </c>
      <c r="U88" s="61" t="str">
        <f t="shared" si="19"/>
        <v/>
      </c>
      <c r="V88" s="78" t="s">
        <v>528</v>
      </c>
      <c r="W88" s="76"/>
    </row>
    <row r="89" spans="1:23">
      <c r="A89" s="63" t="s">
        <v>32</v>
      </c>
      <c r="B89" s="63" t="s">
        <v>23</v>
      </c>
      <c r="C89" s="63"/>
      <c r="D89" s="48" t="s">
        <v>165</v>
      </c>
      <c r="E89" s="43"/>
      <c r="F89" s="63"/>
      <c r="G89" s="45"/>
      <c r="H89" s="45"/>
      <c r="I89" s="45"/>
      <c r="J89" s="45"/>
      <c r="K89" s="45"/>
      <c r="L89" s="45"/>
      <c r="M89" s="45"/>
      <c r="N89" s="45"/>
      <c r="O89" s="45"/>
      <c r="P89" s="45"/>
      <c r="Q89" s="63"/>
      <c r="R89" s="63"/>
      <c r="S89" s="45"/>
      <c r="T89" s="45"/>
      <c r="U89" s="45"/>
      <c r="V89" s="64"/>
      <c r="W89" s="63"/>
    </row>
    <row r="90" spans="1:23">
      <c r="A90" s="63"/>
      <c r="B90" s="63" t="s">
        <v>23</v>
      </c>
      <c r="C90" s="72" t="s">
        <v>477</v>
      </c>
      <c r="D90" s="213" t="s">
        <v>503</v>
      </c>
      <c r="E90" s="68" t="s">
        <v>215</v>
      </c>
      <c r="F90" s="72"/>
      <c r="G90" s="71"/>
      <c r="H90" s="71"/>
      <c r="I90" s="204" t="s">
        <v>539</v>
      </c>
      <c r="J90" s="61" t="str">
        <f>IF($B90=J$3,$I90,"")</f>
        <v/>
      </c>
      <c r="K90" s="61" t="str">
        <f>IF($B90=K$3,$I90,"")</f>
        <v>Execution</v>
      </c>
      <c r="L90" s="61" t="str">
        <f>IF($B90=L$3,$I90,"")</f>
        <v/>
      </c>
      <c r="M90" s="204" t="s">
        <v>197</v>
      </c>
      <c r="N90" s="71"/>
      <c r="O90" s="71"/>
      <c r="P90" s="71"/>
      <c r="Q90" s="72"/>
      <c r="R90" s="72"/>
      <c r="S90" s="61" t="str">
        <f>IF($B90=S$3,$M90,"")</f>
        <v/>
      </c>
      <c r="T90" s="61" t="str">
        <f>IF($B90=T$3,$M90,"")</f>
        <v>NT</v>
      </c>
      <c r="U90" s="61" t="str">
        <f>IF($B90=U$3,$M90,"")</f>
        <v/>
      </c>
      <c r="V90" s="196"/>
      <c r="W90" s="72"/>
    </row>
    <row r="91" spans="1:23">
      <c r="A91" s="63"/>
      <c r="B91" s="63" t="s">
        <v>23</v>
      </c>
      <c r="C91" s="63"/>
      <c r="D91" s="48" t="s">
        <v>167</v>
      </c>
      <c r="E91" s="43"/>
      <c r="F91" s="63"/>
      <c r="G91" s="45"/>
      <c r="H91" s="45"/>
      <c r="I91" s="45"/>
      <c r="J91" s="45"/>
      <c r="K91" s="45"/>
      <c r="L91" s="45"/>
      <c r="M91" s="45"/>
      <c r="N91" s="45"/>
      <c r="O91" s="45"/>
      <c r="P91" s="45"/>
      <c r="Q91" s="63"/>
      <c r="R91" s="63"/>
      <c r="S91" s="45"/>
      <c r="T91" s="45"/>
      <c r="U91" s="45"/>
      <c r="V91" s="64"/>
      <c r="W91" s="63"/>
    </row>
    <row r="92" spans="1:23">
      <c r="A92" s="63" t="s">
        <v>489</v>
      </c>
      <c r="B92" s="63" t="s">
        <v>23</v>
      </c>
      <c r="C92" s="118" t="s">
        <v>478</v>
      </c>
      <c r="D92" s="212" t="s">
        <v>490</v>
      </c>
      <c r="E92" s="68" t="s">
        <v>215</v>
      </c>
      <c r="F92" s="72"/>
      <c r="G92" s="71"/>
      <c r="H92" s="71"/>
      <c r="I92" s="204" t="s">
        <v>539</v>
      </c>
      <c r="J92" s="61" t="str">
        <f t="shared" ref="J92:L98" si="20">IF($B92=J$3,$I92,"")</f>
        <v/>
      </c>
      <c r="K92" s="61" t="str">
        <f t="shared" si="20"/>
        <v>Execution</v>
      </c>
      <c r="L92" s="61" t="str">
        <f t="shared" si="20"/>
        <v/>
      </c>
      <c r="M92" s="204" t="s">
        <v>197</v>
      </c>
      <c r="N92" s="71"/>
      <c r="O92" s="71"/>
      <c r="P92" s="71"/>
      <c r="Q92" s="72"/>
      <c r="R92" s="72"/>
      <c r="S92" s="61" t="str">
        <f t="shared" ref="S92:U98" si="21">IF($B92=S$3,$M92,"")</f>
        <v/>
      </c>
      <c r="T92" s="61" t="str">
        <f t="shared" si="21"/>
        <v>NT</v>
      </c>
      <c r="U92" s="61" t="str">
        <f t="shared" si="21"/>
        <v/>
      </c>
      <c r="V92" s="196"/>
      <c r="W92" s="72"/>
    </row>
    <row r="93" spans="1:23" ht="30">
      <c r="A93" s="192" t="s">
        <v>502</v>
      </c>
      <c r="B93" s="63" t="s">
        <v>23</v>
      </c>
      <c r="C93" s="118" t="s">
        <v>479</v>
      </c>
      <c r="D93" s="212" t="s">
        <v>491</v>
      </c>
      <c r="E93" s="68" t="s">
        <v>215</v>
      </c>
      <c r="F93" s="72"/>
      <c r="G93" s="71"/>
      <c r="H93" s="71"/>
      <c r="I93" s="204" t="s">
        <v>539</v>
      </c>
      <c r="J93" s="61" t="str">
        <f t="shared" si="20"/>
        <v/>
      </c>
      <c r="K93" s="61" t="str">
        <f t="shared" si="20"/>
        <v>Execution</v>
      </c>
      <c r="L93" s="61" t="str">
        <f t="shared" si="20"/>
        <v/>
      </c>
      <c r="M93" s="204" t="s">
        <v>197</v>
      </c>
      <c r="N93" s="71"/>
      <c r="O93" s="71"/>
      <c r="P93" s="71"/>
      <c r="Q93" s="72"/>
      <c r="R93" s="72"/>
      <c r="S93" s="61" t="str">
        <f t="shared" si="21"/>
        <v/>
      </c>
      <c r="T93" s="61" t="str">
        <f t="shared" si="21"/>
        <v>NT</v>
      </c>
      <c r="U93" s="61" t="str">
        <f t="shared" si="21"/>
        <v/>
      </c>
      <c r="V93" s="196"/>
      <c r="W93" s="72"/>
    </row>
    <row r="94" spans="1:23" ht="30">
      <c r="A94" s="192" t="s">
        <v>502</v>
      </c>
      <c r="B94" s="63" t="s">
        <v>23</v>
      </c>
      <c r="C94" s="118" t="s">
        <v>492</v>
      </c>
      <c r="D94" s="212" t="s">
        <v>493</v>
      </c>
      <c r="E94" s="68" t="s">
        <v>215</v>
      </c>
      <c r="F94" s="72"/>
      <c r="G94" s="71"/>
      <c r="H94" s="71"/>
      <c r="I94" s="204" t="s">
        <v>539</v>
      </c>
      <c r="J94" s="61" t="str">
        <f t="shared" si="20"/>
        <v/>
      </c>
      <c r="K94" s="61" t="str">
        <f t="shared" si="20"/>
        <v>Execution</v>
      </c>
      <c r="L94" s="61" t="str">
        <f t="shared" si="20"/>
        <v/>
      </c>
      <c r="M94" s="204" t="s">
        <v>197</v>
      </c>
      <c r="N94" s="71"/>
      <c r="O94" s="71"/>
      <c r="P94" s="71"/>
      <c r="Q94" s="72"/>
      <c r="R94" s="72"/>
      <c r="S94" s="61" t="str">
        <f t="shared" si="21"/>
        <v/>
      </c>
      <c r="T94" s="61" t="str">
        <f t="shared" si="21"/>
        <v>NT</v>
      </c>
      <c r="U94" s="61" t="str">
        <f t="shared" si="21"/>
        <v/>
      </c>
      <c r="V94" s="196"/>
      <c r="W94" s="72"/>
    </row>
    <row r="95" spans="1:23" ht="30">
      <c r="A95" s="192" t="s">
        <v>502</v>
      </c>
      <c r="B95" s="63" t="s">
        <v>23</v>
      </c>
      <c r="C95" s="118" t="s">
        <v>494</v>
      </c>
      <c r="D95" s="212" t="s">
        <v>495</v>
      </c>
      <c r="E95" s="68" t="s">
        <v>215</v>
      </c>
      <c r="F95" s="72"/>
      <c r="G95" s="71"/>
      <c r="H95" s="71"/>
      <c r="I95" s="204" t="s">
        <v>539</v>
      </c>
      <c r="J95" s="61" t="str">
        <f t="shared" si="20"/>
        <v/>
      </c>
      <c r="K95" s="61" t="str">
        <f t="shared" si="20"/>
        <v>Execution</v>
      </c>
      <c r="L95" s="61" t="str">
        <f t="shared" si="20"/>
        <v/>
      </c>
      <c r="M95" s="204" t="s">
        <v>197</v>
      </c>
      <c r="N95" s="71"/>
      <c r="O95" s="71"/>
      <c r="P95" s="71"/>
      <c r="Q95" s="72"/>
      <c r="R95" s="72"/>
      <c r="S95" s="61" t="str">
        <f t="shared" si="21"/>
        <v/>
      </c>
      <c r="T95" s="61" t="str">
        <f t="shared" si="21"/>
        <v>NT</v>
      </c>
      <c r="U95" s="61" t="str">
        <f t="shared" si="21"/>
        <v/>
      </c>
      <c r="V95" s="196"/>
      <c r="W95" s="72"/>
    </row>
    <row r="96" spans="1:23" ht="30">
      <c r="A96" s="192" t="s">
        <v>502</v>
      </c>
      <c r="B96" s="63" t="s">
        <v>23</v>
      </c>
      <c r="C96" s="118" t="s">
        <v>496</v>
      </c>
      <c r="D96" s="212" t="s">
        <v>497</v>
      </c>
      <c r="E96" s="68" t="s">
        <v>215</v>
      </c>
      <c r="F96" s="70"/>
      <c r="G96" s="71"/>
      <c r="H96" s="71"/>
      <c r="I96" s="204" t="s">
        <v>539</v>
      </c>
      <c r="J96" s="61" t="str">
        <f t="shared" si="20"/>
        <v/>
      </c>
      <c r="K96" s="61" t="str">
        <f t="shared" si="20"/>
        <v>Execution</v>
      </c>
      <c r="L96" s="61" t="str">
        <f t="shared" si="20"/>
        <v/>
      </c>
      <c r="M96" s="204" t="s">
        <v>197</v>
      </c>
      <c r="N96" s="71"/>
      <c r="O96" s="71"/>
      <c r="P96" s="71"/>
      <c r="Q96" s="72"/>
      <c r="R96" s="72"/>
      <c r="S96" s="61" t="str">
        <f t="shared" si="21"/>
        <v/>
      </c>
      <c r="T96" s="61" t="str">
        <f t="shared" si="21"/>
        <v>NT</v>
      </c>
      <c r="U96" s="61" t="str">
        <f t="shared" si="21"/>
        <v/>
      </c>
      <c r="V96" s="196"/>
      <c r="W96" s="72"/>
    </row>
    <row r="97" spans="1:23" ht="30">
      <c r="A97" s="192" t="s">
        <v>502</v>
      </c>
      <c r="B97" s="63" t="s">
        <v>23</v>
      </c>
      <c r="C97" s="118" t="s">
        <v>498</v>
      </c>
      <c r="D97" s="212" t="s">
        <v>499</v>
      </c>
      <c r="E97" s="68" t="s">
        <v>215</v>
      </c>
      <c r="F97" s="70"/>
      <c r="G97" s="71"/>
      <c r="H97" s="71"/>
      <c r="I97" s="204" t="s">
        <v>539</v>
      </c>
      <c r="J97" s="61" t="str">
        <f t="shared" si="20"/>
        <v/>
      </c>
      <c r="K97" s="61" t="str">
        <f t="shared" si="20"/>
        <v>Execution</v>
      </c>
      <c r="L97" s="61" t="str">
        <f t="shared" si="20"/>
        <v/>
      </c>
      <c r="M97" s="204" t="s">
        <v>197</v>
      </c>
      <c r="N97" s="71"/>
      <c r="O97" s="71"/>
      <c r="P97" s="71"/>
      <c r="Q97" s="72"/>
      <c r="R97" s="72"/>
      <c r="S97" s="61" t="str">
        <f t="shared" si="21"/>
        <v/>
      </c>
      <c r="T97" s="61" t="str">
        <f t="shared" si="21"/>
        <v>NT</v>
      </c>
      <c r="U97" s="61" t="str">
        <f t="shared" si="21"/>
        <v/>
      </c>
      <c r="V97" s="196"/>
      <c r="W97" s="72"/>
    </row>
    <row r="98" spans="1:23" ht="30">
      <c r="A98" s="192" t="s">
        <v>502</v>
      </c>
      <c r="B98" s="63" t="s">
        <v>23</v>
      </c>
      <c r="C98" s="118" t="s">
        <v>500</v>
      </c>
      <c r="D98" s="212" t="s">
        <v>501</v>
      </c>
      <c r="E98" s="68" t="s">
        <v>215</v>
      </c>
      <c r="F98" s="209"/>
      <c r="G98" s="73"/>
      <c r="H98" s="73"/>
      <c r="I98" s="204" t="s">
        <v>539</v>
      </c>
      <c r="J98" s="61" t="str">
        <f t="shared" si="20"/>
        <v/>
      </c>
      <c r="K98" s="61" t="str">
        <f t="shared" si="20"/>
        <v>Execution</v>
      </c>
      <c r="L98" s="61" t="str">
        <f t="shared" si="20"/>
        <v/>
      </c>
      <c r="M98" s="204" t="s">
        <v>197</v>
      </c>
      <c r="N98" s="73"/>
      <c r="O98" s="73"/>
      <c r="P98" s="73"/>
      <c r="Q98" s="73"/>
      <c r="R98" s="73"/>
      <c r="S98" s="61" t="str">
        <f t="shared" si="21"/>
        <v/>
      </c>
      <c r="T98" s="61" t="str">
        <f t="shared" si="21"/>
        <v>NT</v>
      </c>
      <c r="U98" s="61" t="str">
        <f t="shared" si="21"/>
        <v/>
      </c>
      <c r="V98" s="196"/>
      <c r="W98" s="73"/>
    </row>
    <row r="99" spans="1:23">
      <c r="C99" s="66"/>
      <c r="D99" s="208"/>
      <c r="E99" s="208"/>
      <c r="F99" s="208"/>
      <c r="G99" s="66"/>
      <c r="H99" s="66"/>
      <c r="I99" s="66"/>
      <c r="J99" s="66"/>
      <c r="K99" s="66"/>
      <c r="L99" s="66"/>
      <c r="M99" s="66"/>
      <c r="N99" s="66"/>
      <c r="O99" s="66"/>
      <c r="P99" s="66"/>
      <c r="Q99" s="66"/>
      <c r="R99" s="66"/>
      <c r="S99" s="66"/>
      <c r="T99" s="66"/>
      <c r="U99" s="66"/>
      <c r="V99" s="208"/>
      <c r="W99" s="66"/>
    </row>
    <row r="100" spans="1:23">
      <c r="K100" s="50">
        <f>COUNTIF(K4:K98,"NT")</f>
        <v>1</v>
      </c>
    </row>
  </sheetData>
  <mergeCells count="13">
    <mergeCell ref="F2:F3"/>
    <mergeCell ref="G2:G3"/>
    <mergeCell ref="H2:H3"/>
    <mergeCell ref="M2:M3"/>
    <mergeCell ref="A1:W1"/>
    <mergeCell ref="N2:R2"/>
    <mergeCell ref="V2:V3"/>
    <mergeCell ref="W2:W3"/>
    <mergeCell ref="B2:B3"/>
    <mergeCell ref="I2:I3"/>
    <mergeCell ref="A2:A3"/>
    <mergeCell ref="C2:C3"/>
    <mergeCell ref="D2:D3"/>
  </mergeCells>
  <conditionalFormatting sqref="E2:E65536">
    <cfRule type="cellIs" dxfId="342" priority="4" operator="equal">
      <formula>"Do Not Test"</formula>
    </cfRule>
    <cfRule type="cellIs" dxfId="341" priority="5" operator="equal">
      <formula>"Retest"</formula>
    </cfRule>
    <cfRule type="cellIs" dxfId="340" priority="6" operator="equal">
      <formula>"Ready"</formula>
    </cfRule>
  </conditionalFormatting>
  <pageMargins left="0.41" right="0.4" top="0.64" bottom="0.55000000000000004" header="0.3" footer="0.3"/>
  <pageSetup scale="53" fitToHeight="99" orientation="landscape" r:id="rId1"/>
</worksheet>
</file>

<file path=xl/worksheets/sheet4.xml><?xml version="1.0" encoding="utf-8"?>
<worksheet xmlns="http://schemas.openxmlformats.org/spreadsheetml/2006/main" xmlns:r="http://schemas.openxmlformats.org/officeDocument/2006/relationships">
  <sheetPr filterMode="1">
    <outlinePr summaryBelow="0"/>
    <pageSetUpPr fitToPage="1"/>
  </sheetPr>
  <dimension ref="A1:Z87"/>
  <sheetViews>
    <sheetView workbookViewId="0">
      <selection sqref="A1:A2"/>
    </sheetView>
  </sheetViews>
  <sheetFormatPr defaultRowHeight="15.75"/>
  <cols>
    <col min="1" max="2" width="12.5703125" style="50" customWidth="1"/>
    <col min="3" max="3" width="16" style="50" customWidth="1"/>
    <col min="4" max="4" width="53.42578125" style="49" customWidth="1"/>
    <col min="5" max="5" width="16.140625" style="49" customWidth="1"/>
    <col min="6" max="6" width="14.85546875" style="49" customWidth="1"/>
    <col min="7" max="9" width="12.85546875" style="50" customWidth="1"/>
    <col min="10" max="12" width="8.42578125" style="50" customWidth="1"/>
    <col min="13" max="13" width="14.42578125" style="50" customWidth="1"/>
    <col min="14" max="14" width="5.140625" style="50" customWidth="1"/>
    <col min="15" max="17" width="5.7109375" style="50" customWidth="1"/>
    <col min="18" max="18" width="6" style="50" customWidth="1"/>
    <col min="19" max="19" width="8.42578125" style="50" customWidth="1"/>
    <col min="20" max="20" width="6.85546875" style="50" customWidth="1"/>
    <col min="21" max="21" width="18.42578125" style="50" customWidth="1"/>
    <col min="22" max="22" width="47" style="49" customWidth="1"/>
    <col min="23" max="23" width="26.28515625" style="50" customWidth="1"/>
    <col min="24" max="16384" width="9.140625" style="50"/>
  </cols>
  <sheetData>
    <row r="1" spans="1:26" s="39" customFormat="1" ht="15.75" customHeight="1">
      <c r="A1" s="508" t="s">
        <v>11</v>
      </c>
      <c r="B1" s="506" t="s">
        <v>0</v>
      </c>
      <c r="C1" s="506" t="s">
        <v>182</v>
      </c>
      <c r="D1" s="497" t="s">
        <v>15</v>
      </c>
      <c r="E1" s="37" t="s">
        <v>214</v>
      </c>
      <c r="F1" s="497" t="s">
        <v>20</v>
      </c>
      <c r="G1" s="497" t="s">
        <v>21</v>
      </c>
      <c r="H1" s="497" t="s">
        <v>22</v>
      </c>
      <c r="I1" s="499" t="s">
        <v>531</v>
      </c>
      <c r="J1" s="215"/>
      <c r="K1" s="215"/>
      <c r="L1" s="215"/>
      <c r="M1" s="499" t="s">
        <v>330</v>
      </c>
      <c r="N1" s="503" t="s">
        <v>16</v>
      </c>
      <c r="O1" s="504"/>
      <c r="P1" s="504"/>
      <c r="Q1" s="504"/>
      <c r="R1" s="505"/>
      <c r="S1" s="38"/>
      <c r="T1" s="38"/>
      <c r="U1" s="38"/>
      <c r="V1" s="497" t="s">
        <v>1</v>
      </c>
      <c r="W1" s="497" t="s">
        <v>14</v>
      </c>
      <c r="Y1" s="55"/>
    </row>
    <row r="2" spans="1:26" s="39" customFormat="1" ht="31.5" hidden="1">
      <c r="A2" s="509"/>
      <c r="B2" s="507"/>
      <c r="C2" s="507"/>
      <c r="D2" s="498"/>
      <c r="E2" s="40"/>
      <c r="F2" s="498"/>
      <c r="G2" s="498"/>
      <c r="H2" s="498"/>
      <c r="I2" s="500"/>
      <c r="J2" s="42" t="s">
        <v>10</v>
      </c>
      <c r="K2" s="42" t="s">
        <v>23</v>
      </c>
      <c r="L2" s="42" t="s">
        <v>26</v>
      </c>
      <c r="M2" s="500"/>
      <c r="N2" s="41">
        <v>1</v>
      </c>
      <c r="O2" s="41">
        <v>2</v>
      </c>
      <c r="P2" s="41">
        <v>3</v>
      </c>
      <c r="Q2" s="41">
        <v>4</v>
      </c>
      <c r="R2" s="41">
        <v>5</v>
      </c>
      <c r="S2" s="42" t="s">
        <v>10</v>
      </c>
      <c r="T2" s="42" t="s">
        <v>23</v>
      </c>
      <c r="U2" s="42" t="s">
        <v>26</v>
      </c>
      <c r="V2" s="498"/>
      <c r="W2" s="498"/>
      <c r="Y2" s="55"/>
    </row>
    <row r="3" spans="1:26" s="39" customFormat="1" hidden="1">
      <c r="A3" s="210" t="s">
        <v>176</v>
      </c>
      <c r="B3" s="56" t="s">
        <v>23</v>
      </c>
      <c r="C3" s="190" t="s">
        <v>39</v>
      </c>
      <c r="D3" s="51" t="s">
        <v>40</v>
      </c>
      <c r="E3" s="190" t="s">
        <v>215</v>
      </c>
      <c r="F3" s="58"/>
      <c r="G3" s="198"/>
      <c r="H3" s="198"/>
      <c r="I3" s="204" t="s">
        <v>17</v>
      </c>
      <c r="J3" s="61" t="str">
        <f t="shared" ref="J3:L22" si="0">IF($B3=J$2,$I3,"")</f>
        <v/>
      </c>
      <c r="K3" s="61" t="str">
        <f t="shared" si="0"/>
        <v>P</v>
      </c>
      <c r="L3" s="61" t="str">
        <f t="shared" si="0"/>
        <v/>
      </c>
      <c r="M3" s="204" t="s">
        <v>17</v>
      </c>
      <c r="N3" s="198"/>
      <c r="O3" s="198"/>
      <c r="P3" s="198"/>
      <c r="Q3" s="204"/>
      <c r="R3" s="204"/>
      <c r="S3" s="61" t="str">
        <f t="shared" ref="S3:U22" si="1">IF($B3=S$2,$M3,"")</f>
        <v/>
      </c>
      <c r="T3" s="61" t="str">
        <f t="shared" si="1"/>
        <v>P</v>
      </c>
      <c r="U3" s="61" t="str">
        <f t="shared" si="1"/>
        <v/>
      </c>
      <c r="V3" s="205"/>
      <c r="W3" s="204"/>
      <c r="Y3" s="55"/>
    </row>
    <row r="4" spans="1:26" s="39" customFormat="1" ht="33" hidden="1" customHeight="1">
      <c r="A4" s="210" t="s">
        <v>41</v>
      </c>
      <c r="B4" s="56" t="s">
        <v>23</v>
      </c>
      <c r="C4" s="190" t="s">
        <v>42</v>
      </c>
      <c r="D4" s="51" t="s">
        <v>43</v>
      </c>
      <c r="E4" s="190" t="s">
        <v>215</v>
      </c>
      <c r="F4" s="58"/>
      <c r="G4" s="198"/>
      <c r="H4" s="198"/>
      <c r="I4" s="204" t="s">
        <v>17</v>
      </c>
      <c r="J4" s="61" t="str">
        <f t="shared" si="0"/>
        <v/>
      </c>
      <c r="K4" s="61" t="str">
        <f t="shared" si="0"/>
        <v>P</v>
      </c>
      <c r="L4" s="61" t="str">
        <f t="shared" si="0"/>
        <v/>
      </c>
      <c r="M4" s="204" t="s">
        <v>17</v>
      </c>
      <c r="N4" s="198"/>
      <c r="O4" s="198"/>
      <c r="P4" s="198"/>
      <c r="Q4" s="204"/>
      <c r="R4" s="204"/>
      <c r="S4" s="61" t="str">
        <f t="shared" si="1"/>
        <v/>
      </c>
      <c r="T4" s="61" t="str">
        <f t="shared" si="1"/>
        <v>P</v>
      </c>
      <c r="U4" s="61" t="str">
        <f t="shared" si="1"/>
        <v/>
      </c>
      <c r="V4" s="131" t="s">
        <v>513</v>
      </c>
      <c r="W4" s="204"/>
      <c r="Y4" s="55"/>
    </row>
    <row r="5" spans="1:26" s="39" customFormat="1" ht="45.75" hidden="1" customHeight="1">
      <c r="A5" s="210" t="s">
        <v>199</v>
      </c>
      <c r="B5" s="56" t="s">
        <v>23</v>
      </c>
      <c r="C5" s="190" t="s">
        <v>44</v>
      </c>
      <c r="D5" s="51" t="s">
        <v>45</v>
      </c>
      <c r="E5" s="190" t="s">
        <v>215</v>
      </c>
      <c r="F5" s="58"/>
      <c r="G5" s="198"/>
      <c r="H5" s="198"/>
      <c r="I5" s="204" t="s">
        <v>17</v>
      </c>
      <c r="J5" s="61" t="str">
        <f t="shared" si="0"/>
        <v/>
      </c>
      <c r="K5" s="61" t="str">
        <f t="shared" si="0"/>
        <v>P</v>
      </c>
      <c r="L5" s="61" t="str">
        <f t="shared" si="0"/>
        <v/>
      </c>
      <c r="M5" s="204" t="s">
        <v>17</v>
      </c>
      <c r="N5" s="198"/>
      <c r="O5" s="198"/>
      <c r="P5" s="198"/>
      <c r="Q5" s="204"/>
      <c r="R5" s="204"/>
      <c r="S5" s="61" t="str">
        <f t="shared" si="1"/>
        <v/>
      </c>
      <c r="T5" s="61" t="str">
        <f t="shared" si="1"/>
        <v>P</v>
      </c>
      <c r="U5" s="61" t="str">
        <f t="shared" si="1"/>
        <v/>
      </c>
      <c r="V5" s="131" t="s">
        <v>513</v>
      </c>
      <c r="W5" s="204"/>
      <c r="Y5" s="55"/>
    </row>
    <row r="6" spans="1:26" s="39" customFormat="1" hidden="1">
      <c r="A6" s="210" t="s">
        <v>200</v>
      </c>
      <c r="B6" s="56" t="s">
        <v>10</v>
      </c>
      <c r="C6" s="190" t="s">
        <v>46</v>
      </c>
      <c r="D6" s="51" t="s">
        <v>47</v>
      </c>
      <c r="E6" s="190" t="s">
        <v>215</v>
      </c>
      <c r="F6" s="58"/>
      <c r="G6" s="198"/>
      <c r="H6" s="198"/>
      <c r="I6" s="204" t="s">
        <v>17</v>
      </c>
      <c r="J6" s="61" t="str">
        <f t="shared" si="0"/>
        <v>P</v>
      </c>
      <c r="K6" s="61" t="str">
        <f t="shared" si="0"/>
        <v/>
      </c>
      <c r="L6" s="61" t="str">
        <f t="shared" si="0"/>
        <v/>
      </c>
      <c r="M6" s="204" t="s">
        <v>17</v>
      </c>
      <c r="N6" s="204" t="s">
        <v>469</v>
      </c>
      <c r="O6" s="198"/>
      <c r="P6" s="198"/>
      <c r="Q6" s="204"/>
      <c r="R6" s="204" t="s">
        <v>469</v>
      </c>
      <c r="S6" s="61" t="str">
        <f t="shared" si="1"/>
        <v>P</v>
      </c>
      <c r="T6" s="61" t="str">
        <f t="shared" si="1"/>
        <v/>
      </c>
      <c r="U6" s="61" t="str">
        <f t="shared" si="1"/>
        <v/>
      </c>
      <c r="V6" s="131" t="s">
        <v>513</v>
      </c>
      <c r="W6" s="204"/>
      <c r="Y6" s="55"/>
    </row>
    <row r="7" spans="1:26" s="53" customFormat="1" ht="30" hidden="1">
      <c r="A7" s="210" t="s">
        <v>36</v>
      </c>
      <c r="B7" s="56" t="s">
        <v>10</v>
      </c>
      <c r="C7" s="190" t="s">
        <v>48</v>
      </c>
      <c r="D7" s="51" t="s">
        <v>49</v>
      </c>
      <c r="E7" s="190" t="s">
        <v>215</v>
      </c>
      <c r="F7" s="58"/>
      <c r="G7" s="198"/>
      <c r="H7" s="198"/>
      <c r="I7" s="204" t="s">
        <v>17</v>
      </c>
      <c r="J7" s="61" t="str">
        <f t="shared" si="0"/>
        <v>P</v>
      </c>
      <c r="K7" s="61" t="str">
        <f t="shared" si="0"/>
        <v/>
      </c>
      <c r="L7" s="61" t="str">
        <f t="shared" si="0"/>
        <v/>
      </c>
      <c r="M7" s="204" t="s">
        <v>17</v>
      </c>
      <c r="N7" s="204" t="s">
        <v>469</v>
      </c>
      <c r="O7" s="198"/>
      <c r="P7" s="198"/>
      <c r="Q7" s="204"/>
      <c r="R7" s="204"/>
      <c r="S7" s="61" t="str">
        <f t="shared" si="1"/>
        <v>P</v>
      </c>
      <c r="T7" s="61" t="str">
        <f t="shared" si="1"/>
        <v/>
      </c>
      <c r="U7" s="61" t="str">
        <f t="shared" si="1"/>
        <v/>
      </c>
      <c r="V7" s="131"/>
      <c r="W7" s="204"/>
      <c r="Z7" s="46"/>
    </row>
    <row r="8" spans="1:26" hidden="1">
      <c r="A8" s="210" t="s">
        <v>51</v>
      </c>
      <c r="B8" s="56" t="s">
        <v>10</v>
      </c>
      <c r="C8" s="190" t="s">
        <v>52</v>
      </c>
      <c r="D8" s="51" t="s">
        <v>53</v>
      </c>
      <c r="E8" s="190" t="s">
        <v>215</v>
      </c>
      <c r="F8" s="58"/>
      <c r="G8" s="198"/>
      <c r="H8" s="198"/>
      <c r="I8" s="204" t="s">
        <v>41</v>
      </c>
      <c r="J8" s="61" t="str">
        <f t="shared" si="0"/>
        <v>N/A</v>
      </c>
      <c r="K8" s="61" t="str">
        <f t="shared" si="0"/>
        <v/>
      </c>
      <c r="L8" s="61" t="str">
        <f t="shared" si="0"/>
        <v/>
      </c>
      <c r="M8" s="204" t="s">
        <v>41</v>
      </c>
      <c r="N8" s="198"/>
      <c r="O8" s="198"/>
      <c r="P8" s="198"/>
      <c r="Q8" s="204"/>
      <c r="R8" s="204"/>
      <c r="S8" s="61" t="str">
        <f t="shared" si="1"/>
        <v>N/A</v>
      </c>
      <c r="T8" s="61" t="str">
        <f t="shared" si="1"/>
        <v/>
      </c>
      <c r="U8" s="61" t="str">
        <f t="shared" si="1"/>
        <v/>
      </c>
      <c r="V8" s="205" t="s">
        <v>523</v>
      </c>
      <c r="W8" s="204"/>
    </row>
    <row r="9" spans="1:26" hidden="1">
      <c r="A9" s="210" t="s">
        <v>54</v>
      </c>
      <c r="B9" s="56" t="s">
        <v>10</v>
      </c>
      <c r="C9" s="190" t="s">
        <v>55</v>
      </c>
      <c r="D9" s="51" t="s">
        <v>56</v>
      </c>
      <c r="E9" s="190" t="s">
        <v>215</v>
      </c>
      <c r="F9" s="58"/>
      <c r="G9" s="198"/>
      <c r="H9" s="198"/>
      <c r="I9" s="204" t="s">
        <v>17</v>
      </c>
      <c r="J9" s="61" t="str">
        <f t="shared" si="0"/>
        <v>P</v>
      </c>
      <c r="K9" s="61" t="str">
        <f t="shared" si="0"/>
        <v/>
      </c>
      <c r="L9" s="61" t="str">
        <f t="shared" si="0"/>
        <v/>
      </c>
      <c r="M9" s="204" t="s">
        <v>17</v>
      </c>
      <c r="N9" s="198"/>
      <c r="O9" s="198"/>
      <c r="P9" s="198"/>
      <c r="Q9" s="204"/>
      <c r="R9" s="204"/>
      <c r="S9" s="61" t="str">
        <f t="shared" si="1"/>
        <v>P</v>
      </c>
      <c r="T9" s="61" t="str">
        <f t="shared" si="1"/>
        <v/>
      </c>
      <c r="U9" s="61" t="str">
        <f t="shared" si="1"/>
        <v/>
      </c>
      <c r="V9" s="205"/>
      <c r="W9" s="204"/>
    </row>
    <row r="10" spans="1:26" hidden="1">
      <c r="A10" s="210" t="s">
        <v>54</v>
      </c>
      <c r="B10" s="56" t="s">
        <v>10</v>
      </c>
      <c r="C10" s="190" t="s">
        <v>57</v>
      </c>
      <c r="D10" s="51" t="s">
        <v>58</v>
      </c>
      <c r="E10" s="190" t="s">
        <v>215</v>
      </c>
      <c r="F10" s="58"/>
      <c r="G10" s="198"/>
      <c r="H10" s="198"/>
      <c r="I10" s="204" t="s">
        <v>17</v>
      </c>
      <c r="J10" s="61" t="str">
        <f t="shared" si="0"/>
        <v>P</v>
      </c>
      <c r="K10" s="61" t="str">
        <f t="shared" si="0"/>
        <v/>
      </c>
      <c r="L10" s="61" t="str">
        <f t="shared" si="0"/>
        <v/>
      </c>
      <c r="M10" s="204" t="s">
        <v>17</v>
      </c>
      <c r="N10" s="198"/>
      <c r="O10" s="198"/>
      <c r="P10" s="198"/>
      <c r="Q10" s="204"/>
      <c r="R10" s="204"/>
      <c r="S10" s="61" t="str">
        <f t="shared" si="1"/>
        <v>P</v>
      </c>
      <c r="T10" s="61" t="str">
        <f t="shared" si="1"/>
        <v/>
      </c>
      <c r="U10" s="61" t="str">
        <f t="shared" si="1"/>
        <v/>
      </c>
      <c r="V10" s="205"/>
      <c r="W10" s="204"/>
    </row>
    <row r="11" spans="1:26" hidden="1">
      <c r="A11" s="210" t="s">
        <v>54</v>
      </c>
      <c r="B11" s="56" t="s">
        <v>10</v>
      </c>
      <c r="C11" s="190" t="s">
        <v>59</v>
      </c>
      <c r="D11" s="51" t="s">
        <v>60</v>
      </c>
      <c r="E11" s="190" t="s">
        <v>215</v>
      </c>
      <c r="F11" s="58"/>
      <c r="G11" s="198"/>
      <c r="H11" s="198"/>
      <c r="I11" s="204" t="s">
        <v>504</v>
      </c>
      <c r="J11" s="61" t="str">
        <f t="shared" si="0"/>
        <v>R</v>
      </c>
      <c r="K11" s="61" t="str">
        <f t="shared" si="0"/>
        <v/>
      </c>
      <c r="L11" s="61" t="str">
        <f t="shared" si="0"/>
        <v/>
      </c>
      <c r="M11" s="204" t="s">
        <v>504</v>
      </c>
      <c r="N11" s="198"/>
      <c r="O11" s="198"/>
      <c r="P11" s="198"/>
      <c r="Q11" s="204"/>
      <c r="R11" s="204"/>
      <c r="S11" s="61" t="str">
        <f t="shared" si="1"/>
        <v>R</v>
      </c>
      <c r="T11" s="61" t="str">
        <f t="shared" si="1"/>
        <v/>
      </c>
      <c r="U11" s="61" t="str">
        <f t="shared" si="1"/>
        <v/>
      </c>
      <c r="V11" s="205" t="s">
        <v>515</v>
      </c>
      <c r="W11" s="204"/>
    </row>
    <row r="12" spans="1:26" hidden="1">
      <c r="A12" s="210" t="s">
        <v>54</v>
      </c>
      <c r="B12" s="56" t="s">
        <v>23</v>
      </c>
      <c r="C12" s="190" t="s">
        <v>61</v>
      </c>
      <c r="D12" s="51" t="s">
        <v>62</v>
      </c>
      <c r="E12" s="190" t="s">
        <v>215</v>
      </c>
      <c r="F12" s="58"/>
      <c r="G12" s="198"/>
      <c r="H12" s="198"/>
      <c r="I12" s="204" t="s">
        <v>17</v>
      </c>
      <c r="J12" s="61" t="str">
        <f t="shared" si="0"/>
        <v/>
      </c>
      <c r="K12" s="61" t="str">
        <f t="shared" si="0"/>
        <v>P</v>
      </c>
      <c r="L12" s="61" t="str">
        <f t="shared" si="0"/>
        <v/>
      </c>
      <c r="M12" s="204" t="s">
        <v>17</v>
      </c>
      <c r="N12" s="198"/>
      <c r="O12" s="198"/>
      <c r="P12" s="198"/>
      <c r="Q12" s="204"/>
      <c r="R12" s="204"/>
      <c r="S12" s="61" t="str">
        <f t="shared" si="1"/>
        <v/>
      </c>
      <c r="T12" s="61" t="str">
        <f t="shared" si="1"/>
        <v>P</v>
      </c>
      <c r="U12" s="61" t="str">
        <f t="shared" si="1"/>
        <v/>
      </c>
      <c r="V12" s="205"/>
      <c r="W12" s="204"/>
    </row>
    <row r="13" spans="1:26" hidden="1">
      <c r="A13" s="211" t="s">
        <v>202</v>
      </c>
      <c r="B13" s="43" t="s">
        <v>10</v>
      </c>
      <c r="C13" s="190" t="s">
        <v>64</v>
      </c>
      <c r="D13" s="51" t="s">
        <v>65</v>
      </c>
      <c r="E13" s="190" t="s">
        <v>215</v>
      </c>
      <c r="F13" s="58"/>
      <c r="G13" s="198"/>
      <c r="H13" s="198"/>
      <c r="I13" s="204" t="s">
        <v>17</v>
      </c>
      <c r="J13" s="61" t="str">
        <f t="shared" si="0"/>
        <v>P</v>
      </c>
      <c r="K13" s="61" t="str">
        <f t="shared" si="0"/>
        <v/>
      </c>
      <c r="L13" s="61" t="str">
        <f t="shared" si="0"/>
        <v/>
      </c>
      <c r="M13" s="204" t="s">
        <v>17</v>
      </c>
      <c r="N13" s="198"/>
      <c r="O13" s="198"/>
      <c r="P13" s="198"/>
      <c r="Q13" s="204"/>
      <c r="R13" s="204"/>
      <c r="S13" s="61" t="str">
        <f t="shared" si="1"/>
        <v>P</v>
      </c>
      <c r="T13" s="61" t="str">
        <f t="shared" si="1"/>
        <v/>
      </c>
      <c r="U13" s="61" t="str">
        <f t="shared" si="1"/>
        <v/>
      </c>
      <c r="V13" s="205"/>
      <c r="W13" s="204"/>
    </row>
    <row r="14" spans="1:26" hidden="1">
      <c r="A14" s="211">
        <v>4.8</v>
      </c>
      <c r="B14" s="43" t="s">
        <v>23</v>
      </c>
      <c r="C14" s="190" t="s">
        <v>6</v>
      </c>
      <c r="D14" s="51" t="s">
        <v>7</v>
      </c>
      <c r="E14" s="190" t="s">
        <v>215</v>
      </c>
      <c r="F14" s="58"/>
      <c r="G14" s="198"/>
      <c r="H14" s="198"/>
      <c r="I14" s="204" t="s">
        <v>17</v>
      </c>
      <c r="J14" s="61" t="str">
        <f t="shared" si="0"/>
        <v/>
      </c>
      <c r="K14" s="61" t="str">
        <f t="shared" si="0"/>
        <v>P</v>
      </c>
      <c r="L14" s="61" t="str">
        <f t="shared" si="0"/>
        <v/>
      </c>
      <c r="M14" s="204" t="s">
        <v>17</v>
      </c>
      <c r="N14" s="198"/>
      <c r="O14" s="198"/>
      <c r="P14" s="198"/>
      <c r="Q14" s="204"/>
      <c r="R14" s="204"/>
      <c r="S14" s="61" t="str">
        <f t="shared" si="1"/>
        <v/>
      </c>
      <c r="T14" s="61" t="str">
        <f t="shared" si="1"/>
        <v>P</v>
      </c>
      <c r="U14" s="61" t="str">
        <f t="shared" si="1"/>
        <v/>
      </c>
      <c r="V14" s="205"/>
      <c r="W14" s="204"/>
    </row>
    <row r="15" spans="1:26" ht="64.5" hidden="1" customHeight="1">
      <c r="A15" s="211" t="s">
        <v>201</v>
      </c>
      <c r="B15" s="43" t="s">
        <v>23</v>
      </c>
      <c r="C15" s="190" t="s">
        <v>4</v>
      </c>
      <c r="D15" s="51" t="s">
        <v>9</v>
      </c>
      <c r="E15" s="190" t="s">
        <v>215</v>
      </c>
      <c r="F15" s="58"/>
      <c r="G15" s="198"/>
      <c r="H15" s="198"/>
      <c r="I15" s="204" t="s">
        <v>17</v>
      </c>
      <c r="J15" s="61" t="str">
        <f t="shared" si="0"/>
        <v/>
      </c>
      <c r="K15" s="61" t="str">
        <f t="shared" si="0"/>
        <v>P</v>
      </c>
      <c r="L15" s="61" t="str">
        <f t="shared" si="0"/>
        <v/>
      </c>
      <c r="M15" s="204" t="s">
        <v>17</v>
      </c>
      <c r="N15" s="198"/>
      <c r="O15" s="198"/>
      <c r="P15" s="198"/>
      <c r="Q15" s="204"/>
      <c r="R15" s="204"/>
      <c r="S15" s="61" t="str">
        <f t="shared" si="1"/>
        <v/>
      </c>
      <c r="T15" s="61" t="str">
        <f t="shared" si="1"/>
        <v>P</v>
      </c>
      <c r="U15" s="61" t="str">
        <f t="shared" si="1"/>
        <v/>
      </c>
      <c r="V15" s="205"/>
      <c r="W15" s="204"/>
    </row>
    <row r="16" spans="1:26" hidden="1">
      <c r="A16" s="211">
        <v>2.2999999999999998</v>
      </c>
      <c r="B16" s="43" t="s">
        <v>10</v>
      </c>
      <c r="C16" s="190" t="s">
        <v>3</v>
      </c>
      <c r="D16" s="51" t="s">
        <v>5</v>
      </c>
      <c r="E16" s="190" t="s">
        <v>215</v>
      </c>
      <c r="F16" s="58"/>
      <c r="G16" s="198"/>
      <c r="H16" s="198"/>
      <c r="I16" s="204" t="s">
        <v>17</v>
      </c>
      <c r="J16" s="61" t="str">
        <f t="shared" si="0"/>
        <v>P</v>
      </c>
      <c r="K16" s="61" t="str">
        <f t="shared" si="0"/>
        <v/>
      </c>
      <c r="L16" s="61" t="str">
        <f t="shared" si="0"/>
        <v/>
      </c>
      <c r="M16" s="204" t="s">
        <v>17</v>
      </c>
      <c r="N16" s="198"/>
      <c r="O16" s="198"/>
      <c r="P16" s="198"/>
      <c r="Q16" s="204"/>
      <c r="R16" s="204"/>
      <c r="S16" s="61" t="str">
        <f t="shared" si="1"/>
        <v>P</v>
      </c>
      <c r="T16" s="61" t="str">
        <f t="shared" si="1"/>
        <v/>
      </c>
      <c r="U16" s="61" t="str">
        <f t="shared" si="1"/>
        <v/>
      </c>
      <c r="V16" s="205"/>
      <c r="W16" s="204"/>
    </row>
    <row r="17" spans="1:23" hidden="1">
      <c r="A17" s="211" t="s">
        <v>203</v>
      </c>
      <c r="B17" s="43" t="s">
        <v>23</v>
      </c>
      <c r="C17" s="190" t="s">
        <v>66</v>
      </c>
      <c r="D17" s="51" t="s">
        <v>67</v>
      </c>
      <c r="E17" s="190" t="s">
        <v>215</v>
      </c>
      <c r="F17" s="58"/>
      <c r="G17" s="198"/>
      <c r="H17" s="198"/>
      <c r="I17" s="204" t="s">
        <v>17</v>
      </c>
      <c r="J17" s="61" t="str">
        <f t="shared" si="0"/>
        <v/>
      </c>
      <c r="K17" s="61" t="str">
        <f t="shared" si="0"/>
        <v>P</v>
      </c>
      <c r="L17" s="61" t="str">
        <f t="shared" si="0"/>
        <v/>
      </c>
      <c r="M17" s="204" t="s">
        <v>17</v>
      </c>
      <c r="N17" s="198"/>
      <c r="O17" s="198"/>
      <c r="P17" s="198"/>
      <c r="Q17" s="204"/>
      <c r="R17" s="204"/>
      <c r="S17" s="61" t="str">
        <f t="shared" si="1"/>
        <v/>
      </c>
      <c r="T17" s="61" t="str">
        <f t="shared" si="1"/>
        <v>P</v>
      </c>
      <c r="U17" s="61" t="str">
        <f t="shared" si="1"/>
        <v/>
      </c>
      <c r="V17" s="100"/>
      <c r="W17" s="204"/>
    </row>
    <row r="18" spans="1:23" ht="25.5" hidden="1" customHeight="1">
      <c r="A18" s="211" t="s">
        <v>203</v>
      </c>
      <c r="B18" s="43" t="s">
        <v>23</v>
      </c>
      <c r="C18" s="190" t="s">
        <v>8</v>
      </c>
      <c r="D18" s="51" t="s">
        <v>68</v>
      </c>
      <c r="E18" s="190" t="s">
        <v>215</v>
      </c>
      <c r="F18" s="58"/>
      <c r="G18" s="198"/>
      <c r="H18" s="198"/>
      <c r="I18" s="204" t="s">
        <v>17</v>
      </c>
      <c r="J18" s="61" t="str">
        <f t="shared" si="0"/>
        <v/>
      </c>
      <c r="K18" s="61" t="str">
        <f t="shared" si="0"/>
        <v>P</v>
      </c>
      <c r="L18" s="61" t="str">
        <f t="shared" si="0"/>
        <v/>
      </c>
      <c r="M18" s="204" t="s">
        <v>17</v>
      </c>
      <c r="N18" s="198"/>
      <c r="O18" s="198"/>
      <c r="P18" s="198"/>
      <c r="Q18" s="204"/>
      <c r="R18" s="204"/>
      <c r="S18" s="61" t="str">
        <f t="shared" si="1"/>
        <v/>
      </c>
      <c r="T18" s="61" t="str">
        <f t="shared" si="1"/>
        <v>P</v>
      </c>
      <c r="U18" s="61" t="str">
        <f t="shared" si="1"/>
        <v/>
      </c>
      <c r="V18" s="100"/>
      <c r="W18" s="204"/>
    </row>
    <row r="19" spans="1:23" ht="45" hidden="1" customHeight="1">
      <c r="A19" s="211" t="s">
        <v>206</v>
      </c>
      <c r="B19" s="43" t="s">
        <v>10</v>
      </c>
      <c r="C19" s="190" t="s">
        <v>70</v>
      </c>
      <c r="D19" s="51" t="s">
        <v>71</v>
      </c>
      <c r="E19" s="201" t="s">
        <v>476</v>
      </c>
      <c r="F19" s="58"/>
      <c r="G19" s="198"/>
      <c r="H19" s="198"/>
      <c r="I19" s="204" t="s">
        <v>533</v>
      </c>
      <c r="J19" s="61" t="str">
        <f t="shared" si="0"/>
        <v>Data call</v>
      </c>
      <c r="K19" s="61" t="str">
        <f t="shared" si="0"/>
        <v/>
      </c>
      <c r="L19" s="61" t="str">
        <f t="shared" si="0"/>
        <v/>
      </c>
      <c r="M19" s="204" t="s">
        <v>197</v>
      </c>
      <c r="N19" s="198"/>
      <c r="O19" s="198"/>
      <c r="P19" s="198"/>
      <c r="Q19" s="204"/>
      <c r="R19" s="204"/>
      <c r="S19" s="61" t="str">
        <f t="shared" si="1"/>
        <v>NT</v>
      </c>
      <c r="T19" s="61" t="str">
        <f t="shared" si="1"/>
        <v/>
      </c>
      <c r="U19" s="61" t="str">
        <f t="shared" si="1"/>
        <v/>
      </c>
      <c r="V19" s="205"/>
      <c r="W19" s="204"/>
    </row>
    <row r="20" spans="1:23" ht="34.5" hidden="1" customHeight="1">
      <c r="A20" s="211" t="s">
        <v>206</v>
      </c>
      <c r="B20" s="43" t="s">
        <v>10</v>
      </c>
      <c r="C20" s="190" t="s">
        <v>72</v>
      </c>
      <c r="D20" s="51" t="s">
        <v>73</v>
      </c>
      <c r="E20" s="201" t="s">
        <v>476</v>
      </c>
      <c r="F20" s="58"/>
      <c r="G20" s="198"/>
      <c r="H20" s="198"/>
      <c r="I20" s="204" t="s">
        <v>533</v>
      </c>
      <c r="J20" s="61" t="str">
        <f t="shared" si="0"/>
        <v>Data call</v>
      </c>
      <c r="K20" s="61" t="str">
        <f t="shared" si="0"/>
        <v/>
      </c>
      <c r="L20" s="61" t="str">
        <f t="shared" si="0"/>
        <v/>
      </c>
      <c r="M20" s="204" t="s">
        <v>197</v>
      </c>
      <c r="N20" s="198"/>
      <c r="O20" s="198"/>
      <c r="P20" s="198"/>
      <c r="Q20" s="204"/>
      <c r="R20" s="204"/>
      <c r="S20" s="61" t="str">
        <f t="shared" si="1"/>
        <v>NT</v>
      </c>
      <c r="T20" s="61" t="str">
        <f t="shared" si="1"/>
        <v/>
      </c>
      <c r="U20" s="61" t="str">
        <f t="shared" si="1"/>
        <v/>
      </c>
      <c r="V20" s="205"/>
      <c r="W20" s="204"/>
    </row>
    <row r="21" spans="1:23" hidden="1">
      <c r="A21" s="211" t="s">
        <v>207</v>
      </c>
      <c r="B21" s="43" t="s">
        <v>10</v>
      </c>
      <c r="C21" s="190" t="s">
        <v>74</v>
      </c>
      <c r="D21" s="51" t="s">
        <v>75</v>
      </c>
      <c r="E21" s="190" t="s">
        <v>215</v>
      </c>
      <c r="F21" s="58"/>
      <c r="G21" s="198"/>
      <c r="H21" s="198"/>
      <c r="I21" s="204" t="s">
        <v>504</v>
      </c>
      <c r="J21" s="61" t="str">
        <f t="shared" si="0"/>
        <v>R</v>
      </c>
      <c r="K21" s="61" t="str">
        <f t="shared" si="0"/>
        <v/>
      </c>
      <c r="L21" s="61" t="str">
        <f t="shared" si="0"/>
        <v/>
      </c>
      <c r="M21" s="204" t="s">
        <v>504</v>
      </c>
      <c r="N21" s="198"/>
      <c r="O21" s="198"/>
      <c r="P21" s="198"/>
      <c r="Q21" s="204"/>
      <c r="R21" s="204"/>
      <c r="S21" s="61" t="str">
        <f t="shared" si="1"/>
        <v>R</v>
      </c>
      <c r="T21" s="61" t="str">
        <f t="shared" si="1"/>
        <v/>
      </c>
      <c r="U21" s="61" t="str">
        <f t="shared" si="1"/>
        <v/>
      </c>
      <c r="V21" s="205" t="s">
        <v>505</v>
      </c>
      <c r="W21" s="204"/>
    </row>
    <row r="22" spans="1:23" hidden="1">
      <c r="A22" s="211" t="s">
        <v>31</v>
      </c>
      <c r="B22" s="43" t="s">
        <v>10</v>
      </c>
      <c r="C22" s="190" t="s">
        <v>76</v>
      </c>
      <c r="D22" s="51" t="s">
        <v>77</v>
      </c>
      <c r="E22" s="190" t="s">
        <v>215</v>
      </c>
      <c r="F22" s="58"/>
      <c r="G22" s="198"/>
      <c r="H22" s="198"/>
      <c r="I22" s="204" t="s">
        <v>533</v>
      </c>
      <c r="J22" s="61" t="str">
        <f t="shared" si="0"/>
        <v>Data call</v>
      </c>
      <c r="K22" s="61" t="str">
        <f t="shared" si="0"/>
        <v/>
      </c>
      <c r="L22" s="61" t="str">
        <f t="shared" si="0"/>
        <v/>
      </c>
      <c r="M22" s="204" t="s">
        <v>197</v>
      </c>
      <c r="N22" s="198"/>
      <c r="O22" s="198"/>
      <c r="P22" s="198"/>
      <c r="Q22" s="204"/>
      <c r="R22" s="204"/>
      <c r="S22" s="61" t="str">
        <f t="shared" si="1"/>
        <v>NT</v>
      </c>
      <c r="T22" s="61" t="str">
        <f t="shared" si="1"/>
        <v/>
      </c>
      <c r="U22" s="61" t="str">
        <f t="shared" si="1"/>
        <v/>
      </c>
      <c r="V22" s="205"/>
      <c r="W22" s="204"/>
    </row>
    <row r="23" spans="1:23" ht="30" hidden="1" customHeight="1">
      <c r="A23" s="211" t="s">
        <v>208</v>
      </c>
      <c r="B23" s="43" t="s">
        <v>10</v>
      </c>
      <c r="C23" s="190" t="s">
        <v>78</v>
      </c>
      <c r="D23" s="51" t="s">
        <v>79</v>
      </c>
      <c r="E23" s="190" t="s">
        <v>215</v>
      </c>
      <c r="F23" s="58"/>
      <c r="G23" s="198"/>
      <c r="H23" s="198"/>
      <c r="I23" s="204" t="s">
        <v>533</v>
      </c>
      <c r="J23" s="61" t="str">
        <f t="shared" ref="J23:L42" si="2">IF($B23=J$2,$I23,"")</f>
        <v>Data call</v>
      </c>
      <c r="K23" s="61" t="str">
        <f t="shared" si="2"/>
        <v/>
      </c>
      <c r="L23" s="61" t="str">
        <f t="shared" si="2"/>
        <v/>
      </c>
      <c r="M23" s="204" t="s">
        <v>197</v>
      </c>
      <c r="N23" s="204"/>
      <c r="O23" s="198"/>
      <c r="P23" s="198"/>
      <c r="Q23" s="204"/>
      <c r="R23" s="204"/>
      <c r="S23" s="61" t="str">
        <f t="shared" ref="S23:U42" si="3">IF($B23=S$2,$M23,"")</f>
        <v>NT</v>
      </c>
      <c r="T23" s="61" t="str">
        <f t="shared" si="3"/>
        <v/>
      </c>
      <c r="U23" s="61" t="str">
        <f t="shared" si="3"/>
        <v/>
      </c>
      <c r="V23" s="205"/>
      <c r="W23" s="204"/>
    </row>
    <row r="24" spans="1:23" ht="29.25" hidden="1" customHeight="1">
      <c r="A24" s="211" t="s">
        <v>34</v>
      </c>
      <c r="B24" s="43" t="s">
        <v>23</v>
      </c>
      <c r="C24" s="190" t="s">
        <v>80</v>
      </c>
      <c r="D24" s="51" t="s">
        <v>81</v>
      </c>
      <c r="E24" s="190" t="s">
        <v>215</v>
      </c>
      <c r="F24" s="58"/>
      <c r="G24" s="198"/>
      <c r="H24" s="198"/>
      <c r="I24" s="204" t="s">
        <v>533</v>
      </c>
      <c r="J24" s="61" t="str">
        <f t="shared" si="2"/>
        <v/>
      </c>
      <c r="K24" s="61" t="str">
        <f t="shared" si="2"/>
        <v>Data call</v>
      </c>
      <c r="L24" s="61" t="str">
        <f t="shared" si="2"/>
        <v/>
      </c>
      <c r="M24" s="204" t="s">
        <v>197</v>
      </c>
      <c r="N24" s="204"/>
      <c r="O24" s="198"/>
      <c r="P24" s="198"/>
      <c r="Q24" s="204"/>
      <c r="R24" s="204"/>
      <c r="S24" s="61" t="str">
        <f t="shared" si="3"/>
        <v/>
      </c>
      <c r="T24" s="61" t="str">
        <f t="shared" si="3"/>
        <v>NT</v>
      </c>
      <c r="U24" s="61" t="str">
        <f t="shared" si="3"/>
        <v/>
      </c>
      <c r="V24" s="205"/>
      <c r="W24" s="204"/>
    </row>
    <row r="25" spans="1:23" hidden="1">
      <c r="A25" s="211" t="s">
        <v>82</v>
      </c>
      <c r="B25" s="43" t="s">
        <v>23</v>
      </c>
      <c r="C25" s="190" t="s">
        <v>83</v>
      </c>
      <c r="D25" s="51" t="s">
        <v>84</v>
      </c>
      <c r="E25" s="190" t="s">
        <v>215</v>
      </c>
      <c r="F25" s="58"/>
      <c r="G25" s="198"/>
      <c r="H25" s="198"/>
      <c r="I25" s="204" t="s">
        <v>533</v>
      </c>
      <c r="J25" s="61" t="str">
        <f t="shared" si="2"/>
        <v/>
      </c>
      <c r="K25" s="61" t="str">
        <f t="shared" si="2"/>
        <v>Data call</v>
      </c>
      <c r="L25" s="61" t="str">
        <f t="shared" si="2"/>
        <v/>
      </c>
      <c r="M25" s="204" t="s">
        <v>197</v>
      </c>
      <c r="N25" s="204"/>
      <c r="O25" s="198"/>
      <c r="P25" s="204"/>
      <c r="Q25" s="204"/>
      <c r="R25" s="204"/>
      <c r="S25" s="61" t="str">
        <f t="shared" si="3"/>
        <v/>
      </c>
      <c r="T25" s="61" t="str">
        <f t="shared" si="3"/>
        <v>NT</v>
      </c>
      <c r="U25" s="61" t="str">
        <f t="shared" si="3"/>
        <v/>
      </c>
      <c r="V25" s="205"/>
      <c r="W25" s="204"/>
    </row>
    <row r="26" spans="1:23" hidden="1">
      <c r="A26" s="211" t="s">
        <v>85</v>
      </c>
      <c r="B26" s="43" t="s">
        <v>26</v>
      </c>
      <c r="C26" s="190" t="s">
        <v>86</v>
      </c>
      <c r="D26" s="51" t="s">
        <v>87</v>
      </c>
      <c r="E26" s="190" t="s">
        <v>215</v>
      </c>
      <c r="F26" s="58"/>
      <c r="G26" s="198"/>
      <c r="H26" s="198"/>
      <c r="I26" s="204" t="s">
        <v>533</v>
      </c>
      <c r="J26" s="61" t="str">
        <f t="shared" si="2"/>
        <v/>
      </c>
      <c r="K26" s="61" t="str">
        <f t="shared" si="2"/>
        <v/>
      </c>
      <c r="L26" s="61" t="str">
        <f t="shared" si="2"/>
        <v>Data call</v>
      </c>
      <c r="M26" s="204" t="s">
        <v>197</v>
      </c>
      <c r="N26" s="198"/>
      <c r="O26" s="204"/>
      <c r="P26" s="198"/>
      <c r="Q26" s="204"/>
      <c r="R26" s="204"/>
      <c r="S26" s="61" t="str">
        <f t="shared" si="3"/>
        <v/>
      </c>
      <c r="T26" s="61" t="str">
        <f t="shared" si="3"/>
        <v/>
      </c>
      <c r="U26" s="61" t="str">
        <f t="shared" si="3"/>
        <v>NT</v>
      </c>
      <c r="V26" s="205"/>
      <c r="W26" s="204"/>
    </row>
    <row r="27" spans="1:23" hidden="1">
      <c r="A27" s="211" t="s">
        <v>204</v>
      </c>
      <c r="B27" s="43" t="s">
        <v>23</v>
      </c>
      <c r="C27" s="190" t="s">
        <v>193</v>
      </c>
      <c r="D27" s="51" t="s">
        <v>213</v>
      </c>
      <c r="E27" s="190" t="s">
        <v>215</v>
      </c>
      <c r="F27" s="58"/>
      <c r="G27" s="198"/>
      <c r="H27" s="198"/>
      <c r="I27" s="204" t="s">
        <v>533</v>
      </c>
      <c r="J27" s="61" t="str">
        <f t="shared" si="2"/>
        <v/>
      </c>
      <c r="K27" s="61" t="str">
        <f t="shared" si="2"/>
        <v>Data call</v>
      </c>
      <c r="L27" s="61" t="str">
        <f t="shared" si="2"/>
        <v/>
      </c>
      <c r="M27" s="204" t="s">
        <v>197</v>
      </c>
      <c r="N27" s="198"/>
      <c r="O27" s="198"/>
      <c r="P27" s="198"/>
      <c r="Q27" s="204"/>
      <c r="R27" s="204"/>
      <c r="S27" s="61" t="str">
        <f t="shared" si="3"/>
        <v/>
      </c>
      <c r="T27" s="61" t="str">
        <f t="shared" si="3"/>
        <v>NT</v>
      </c>
      <c r="U27" s="61" t="str">
        <f t="shared" si="3"/>
        <v/>
      </c>
      <c r="V27" s="205"/>
      <c r="W27" s="204"/>
    </row>
    <row r="28" spans="1:23" ht="47.25" hidden="1" customHeight="1">
      <c r="A28" s="211" t="s">
        <v>205</v>
      </c>
      <c r="B28" s="43" t="s">
        <v>10</v>
      </c>
      <c r="C28" s="190" t="s">
        <v>194</v>
      </c>
      <c r="D28" s="51" t="s">
        <v>195</v>
      </c>
      <c r="E28" s="190" t="s">
        <v>215</v>
      </c>
      <c r="F28" s="58"/>
      <c r="G28" s="198"/>
      <c r="H28" s="198"/>
      <c r="I28" s="204" t="s">
        <v>533</v>
      </c>
      <c r="J28" s="61" t="str">
        <f t="shared" si="2"/>
        <v>Data call</v>
      </c>
      <c r="K28" s="61" t="str">
        <f t="shared" si="2"/>
        <v/>
      </c>
      <c r="L28" s="61" t="str">
        <f t="shared" si="2"/>
        <v/>
      </c>
      <c r="M28" s="204" t="s">
        <v>197</v>
      </c>
      <c r="N28" s="204"/>
      <c r="O28" s="198"/>
      <c r="P28" s="198"/>
      <c r="Q28" s="204"/>
      <c r="R28" s="204"/>
      <c r="S28" s="61" t="str">
        <f t="shared" si="3"/>
        <v>NT</v>
      </c>
      <c r="T28" s="61" t="str">
        <f t="shared" si="3"/>
        <v/>
      </c>
      <c r="U28" s="61" t="str">
        <f t="shared" si="3"/>
        <v/>
      </c>
      <c r="V28" s="202"/>
      <c r="W28" s="204"/>
    </row>
    <row r="29" spans="1:23" ht="29.25" hidden="1" customHeight="1">
      <c r="A29" s="211" t="s">
        <v>210</v>
      </c>
      <c r="B29" s="43" t="s">
        <v>23</v>
      </c>
      <c r="C29" s="204" t="s">
        <v>89</v>
      </c>
      <c r="D29" s="213" t="s">
        <v>90</v>
      </c>
      <c r="E29" s="190" t="s">
        <v>517</v>
      </c>
      <c r="F29" s="58"/>
      <c r="G29" s="198"/>
      <c r="H29" s="198"/>
      <c r="I29" s="204" t="s">
        <v>516</v>
      </c>
      <c r="J29" s="61" t="str">
        <f t="shared" si="2"/>
        <v/>
      </c>
      <c r="K29" s="61" t="str">
        <f t="shared" si="2"/>
        <v>DUP</v>
      </c>
      <c r="L29" s="61" t="str">
        <f t="shared" si="2"/>
        <v/>
      </c>
      <c r="M29" s="204" t="s">
        <v>516</v>
      </c>
      <c r="N29" s="198"/>
      <c r="O29" s="198"/>
      <c r="P29" s="198"/>
      <c r="Q29" s="204"/>
      <c r="R29" s="204"/>
      <c r="S29" s="61" t="str">
        <f t="shared" si="3"/>
        <v/>
      </c>
      <c r="T29" s="61" t="str">
        <f t="shared" si="3"/>
        <v>DUP</v>
      </c>
      <c r="U29" s="61" t="str">
        <f t="shared" si="3"/>
        <v/>
      </c>
      <c r="V29" s="205" t="str">
        <f>+"Refer to FS9, Status: "&amp; M56</f>
        <v>Refer to FS9, Status: P</v>
      </c>
      <c r="W29" s="204"/>
    </row>
    <row r="30" spans="1:23" ht="30" hidden="1" customHeight="1">
      <c r="A30" s="211" t="s">
        <v>209</v>
      </c>
      <c r="B30" s="43" t="s">
        <v>23</v>
      </c>
      <c r="C30" s="204" t="s">
        <v>91</v>
      </c>
      <c r="D30" s="213" t="s">
        <v>92</v>
      </c>
      <c r="E30" s="190" t="s">
        <v>215</v>
      </c>
      <c r="F30" s="58"/>
      <c r="G30" s="198"/>
      <c r="H30" s="198"/>
      <c r="I30" s="204" t="s">
        <v>534</v>
      </c>
      <c r="J30" s="61" t="str">
        <f t="shared" si="2"/>
        <v/>
      </c>
      <c r="K30" s="61" t="str">
        <f t="shared" si="2"/>
        <v>NA</v>
      </c>
      <c r="L30" s="61" t="str">
        <f t="shared" si="2"/>
        <v/>
      </c>
      <c r="M30" s="204" t="s">
        <v>534</v>
      </c>
      <c r="N30" s="198"/>
      <c r="O30" s="198"/>
      <c r="P30" s="198"/>
      <c r="Q30" s="204"/>
      <c r="R30" s="204"/>
      <c r="S30" s="61" t="str">
        <f t="shared" si="3"/>
        <v/>
      </c>
      <c r="T30" s="61" t="str">
        <f t="shared" si="3"/>
        <v>NA</v>
      </c>
      <c r="U30" s="61" t="str">
        <f t="shared" si="3"/>
        <v/>
      </c>
      <c r="V30" s="205"/>
      <c r="W30" s="204"/>
    </row>
    <row r="31" spans="1:23" ht="31.5" hidden="1" customHeight="1">
      <c r="A31" s="211" t="s">
        <v>210</v>
      </c>
      <c r="B31" s="43" t="s">
        <v>23</v>
      </c>
      <c r="C31" s="204" t="s">
        <v>93</v>
      </c>
      <c r="D31" s="213" t="s">
        <v>94</v>
      </c>
      <c r="E31" s="190" t="s">
        <v>517</v>
      </c>
      <c r="F31" s="58"/>
      <c r="G31" s="198"/>
      <c r="H31" s="198"/>
      <c r="I31" s="204" t="s">
        <v>516</v>
      </c>
      <c r="J31" s="61" t="str">
        <f t="shared" si="2"/>
        <v/>
      </c>
      <c r="K31" s="61" t="str">
        <f t="shared" si="2"/>
        <v>DUP</v>
      </c>
      <c r="L31" s="61" t="str">
        <f t="shared" si="2"/>
        <v/>
      </c>
      <c r="M31" s="204" t="s">
        <v>516</v>
      </c>
      <c r="N31" s="198"/>
      <c r="O31" s="198"/>
      <c r="P31" s="198"/>
      <c r="Q31" s="204"/>
      <c r="R31" s="204"/>
      <c r="S31" s="61" t="str">
        <f t="shared" si="3"/>
        <v/>
      </c>
      <c r="T31" s="61" t="str">
        <f t="shared" si="3"/>
        <v>DUP</v>
      </c>
      <c r="U31" s="61" t="str">
        <f t="shared" si="3"/>
        <v/>
      </c>
      <c r="V31" s="205" t="str">
        <f>+"Refer to FS3, Status: "&amp; +M50</f>
        <v>Refer to FS3, Status: R</v>
      </c>
      <c r="W31" s="204"/>
    </row>
    <row r="32" spans="1:23" ht="34.5" hidden="1" customHeight="1">
      <c r="A32" s="211" t="s">
        <v>210</v>
      </c>
      <c r="B32" s="43" t="s">
        <v>10</v>
      </c>
      <c r="C32" s="204" t="s">
        <v>95</v>
      </c>
      <c r="D32" s="213" t="s">
        <v>96</v>
      </c>
      <c r="E32" s="190" t="s">
        <v>517</v>
      </c>
      <c r="F32" s="58"/>
      <c r="G32" s="198"/>
      <c r="H32" s="198"/>
      <c r="I32" s="204" t="s">
        <v>516</v>
      </c>
      <c r="J32" s="61" t="str">
        <f t="shared" si="2"/>
        <v>DUP</v>
      </c>
      <c r="K32" s="61" t="str">
        <f t="shared" si="2"/>
        <v/>
      </c>
      <c r="L32" s="61" t="str">
        <f t="shared" si="2"/>
        <v/>
      </c>
      <c r="M32" s="204" t="s">
        <v>516</v>
      </c>
      <c r="N32" s="198"/>
      <c r="O32" s="198"/>
      <c r="P32" s="198"/>
      <c r="Q32" s="204"/>
      <c r="R32" s="204"/>
      <c r="S32" s="61" t="str">
        <f t="shared" si="3"/>
        <v>DUP</v>
      </c>
      <c r="T32" s="61" t="str">
        <f t="shared" si="3"/>
        <v/>
      </c>
      <c r="U32" s="61" t="str">
        <f t="shared" si="3"/>
        <v/>
      </c>
      <c r="V32" s="205" t="str">
        <f>+"Refer to FS4, Status: "&amp; +M51</f>
        <v>Refer to FS4, Status: P</v>
      </c>
      <c r="W32" s="204"/>
    </row>
    <row r="33" spans="1:23" ht="27" hidden="1" customHeight="1">
      <c r="A33" s="211" t="s">
        <v>210</v>
      </c>
      <c r="B33" s="43" t="s">
        <v>23</v>
      </c>
      <c r="C33" s="204" t="s">
        <v>97</v>
      </c>
      <c r="D33" s="188" t="s">
        <v>98</v>
      </c>
      <c r="E33" s="190" t="s">
        <v>517</v>
      </c>
      <c r="F33" s="58"/>
      <c r="G33" s="198"/>
      <c r="H33" s="198"/>
      <c r="I33" s="204" t="s">
        <v>516</v>
      </c>
      <c r="J33" s="61" t="str">
        <f t="shared" si="2"/>
        <v/>
      </c>
      <c r="K33" s="61" t="str">
        <f t="shared" si="2"/>
        <v>DUP</v>
      </c>
      <c r="L33" s="61" t="str">
        <f t="shared" si="2"/>
        <v/>
      </c>
      <c r="M33" s="204" t="s">
        <v>516</v>
      </c>
      <c r="N33" s="198"/>
      <c r="O33" s="198"/>
      <c r="P33" s="198"/>
      <c r="Q33" s="204"/>
      <c r="R33" s="204"/>
      <c r="S33" s="61" t="str">
        <f t="shared" si="3"/>
        <v/>
      </c>
      <c r="T33" s="61" t="str">
        <f t="shared" si="3"/>
        <v>DUP</v>
      </c>
      <c r="U33" s="61" t="str">
        <f t="shared" si="3"/>
        <v/>
      </c>
      <c r="V33" s="205" t="str">
        <f>+"Refer to FS5, Status: "&amp; +M52</f>
        <v>Refer to FS5, Status: R</v>
      </c>
      <c r="W33" s="204"/>
    </row>
    <row r="34" spans="1:23" ht="25.5" hidden="1" customHeight="1">
      <c r="A34" s="211" t="s">
        <v>210</v>
      </c>
      <c r="B34" s="43" t="s">
        <v>23</v>
      </c>
      <c r="C34" s="204" t="s">
        <v>99</v>
      </c>
      <c r="D34" s="188" t="s">
        <v>100</v>
      </c>
      <c r="E34" s="190" t="s">
        <v>517</v>
      </c>
      <c r="F34" s="58"/>
      <c r="G34" s="198"/>
      <c r="H34" s="198"/>
      <c r="I34" s="204" t="s">
        <v>516</v>
      </c>
      <c r="J34" s="61" t="str">
        <f t="shared" si="2"/>
        <v/>
      </c>
      <c r="K34" s="61" t="str">
        <f t="shared" si="2"/>
        <v>DUP</v>
      </c>
      <c r="L34" s="61" t="str">
        <f t="shared" si="2"/>
        <v/>
      </c>
      <c r="M34" s="204" t="s">
        <v>516</v>
      </c>
      <c r="N34" s="198"/>
      <c r="O34" s="198"/>
      <c r="P34" s="198"/>
      <c r="Q34" s="204"/>
      <c r="R34" s="204"/>
      <c r="S34" s="61" t="str">
        <f t="shared" si="3"/>
        <v/>
      </c>
      <c r="T34" s="61" t="str">
        <f t="shared" si="3"/>
        <v>DUP</v>
      </c>
      <c r="U34" s="61" t="str">
        <f t="shared" si="3"/>
        <v/>
      </c>
      <c r="V34" s="205" t="str">
        <f>+"Refer to FS6, Status: "&amp; +M53</f>
        <v>Refer to FS6, Status: R</v>
      </c>
      <c r="W34" s="204"/>
    </row>
    <row r="35" spans="1:23" ht="27.75" hidden="1" customHeight="1">
      <c r="A35" s="211" t="s">
        <v>210</v>
      </c>
      <c r="B35" s="43" t="s">
        <v>23</v>
      </c>
      <c r="C35" s="204" t="s">
        <v>101</v>
      </c>
      <c r="D35" s="188" t="s">
        <v>102</v>
      </c>
      <c r="E35" s="190" t="s">
        <v>517</v>
      </c>
      <c r="F35" s="58"/>
      <c r="G35" s="198"/>
      <c r="H35" s="198"/>
      <c r="I35" s="204" t="s">
        <v>516</v>
      </c>
      <c r="J35" s="61" t="str">
        <f t="shared" si="2"/>
        <v/>
      </c>
      <c r="K35" s="61" t="str">
        <f t="shared" si="2"/>
        <v>DUP</v>
      </c>
      <c r="L35" s="61" t="str">
        <f t="shared" si="2"/>
        <v/>
      </c>
      <c r="M35" s="204" t="s">
        <v>516</v>
      </c>
      <c r="N35" s="198"/>
      <c r="O35" s="198"/>
      <c r="P35" s="198"/>
      <c r="Q35" s="204"/>
      <c r="R35" s="204"/>
      <c r="S35" s="61" t="str">
        <f t="shared" si="3"/>
        <v/>
      </c>
      <c r="T35" s="61" t="str">
        <f t="shared" si="3"/>
        <v>DUP</v>
      </c>
      <c r="U35" s="61" t="str">
        <f t="shared" si="3"/>
        <v/>
      </c>
      <c r="V35" s="205" t="str">
        <f>+"Refer to FS7, Status: "&amp; +M54</f>
        <v>Refer to FS7, Status: P</v>
      </c>
      <c r="W35" s="204"/>
    </row>
    <row r="36" spans="1:23" ht="30" hidden="1" customHeight="1">
      <c r="A36" s="211" t="s">
        <v>211</v>
      </c>
      <c r="B36" s="43" t="s">
        <v>23</v>
      </c>
      <c r="C36" s="204" t="s">
        <v>103</v>
      </c>
      <c r="D36" s="188" t="s">
        <v>104</v>
      </c>
      <c r="E36" s="190" t="s">
        <v>517</v>
      </c>
      <c r="F36" s="58"/>
      <c r="G36" s="198"/>
      <c r="H36" s="198"/>
      <c r="I36" s="204" t="s">
        <v>516</v>
      </c>
      <c r="J36" s="61" t="str">
        <f t="shared" si="2"/>
        <v/>
      </c>
      <c r="K36" s="61" t="str">
        <f t="shared" si="2"/>
        <v>DUP</v>
      </c>
      <c r="L36" s="61" t="str">
        <f t="shared" si="2"/>
        <v/>
      </c>
      <c r="M36" s="204" t="s">
        <v>516</v>
      </c>
      <c r="N36" s="198"/>
      <c r="O36" s="198"/>
      <c r="P36" s="198"/>
      <c r="Q36" s="204"/>
      <c r="R36" s="204"/>
      <c r="S36" s="61" t="str">
        <f t="shared" si="3"/>
        <v/>
      </c>
      <c r="T36" s="61" t="str">
        <f t="shared" si="3"/>
        <v>DUP</v>
      </c>
      <c r="U36" s="61" t="str">
        <f t="shared" si="3"/>
        <v/>
      </c>
      <c r="V36" s="205"/>
      <c r="W36" s="204"/>
    </row>
    <row r="37" spans="1:23" ht="27.75" hidden="1" customHeight="1">
      <c r="A37" s="211" t="s">
        <v>211</v>
      </c>
      <c r="B37" s="43" t="s">
        <v>23</v>
      </c>
      <c r="C37" s="204" t="s">
        <v>105</v>
      </c>
      <c r="D37" s="188" t="s">
        <v>106</v>
      </c>
      <c r="E37" s="190" t="s">
        <v>517</v>
      </c>
      <c r="F37" s="58"/>
      <c r="G37" s="198"/>
      <c r="H37" s="198"/>
      <c r="I37" s="204" t="s">
        <v>516</v>
      </c>
      <c r="J37" s="61" t="str">
        <f t="shared" si="2"/>
        <v/>
      </c>
      <c r="K37" s="61" t="str">
        <f t="shared" si="2"/>
        <v>DUP</v>
      </c>
      <c r="L37" s="61" t="str">
        <f t="shared" si="2"/>
        <v/>
      </c>
      <c r="M37" s="204" t="s">
        <v>516</v>
      </c>
      <c r="N37" s="198"/>
      <c r="O37" s="198"/>
      <c r="P37" s="198"/>
      <c r="Q37" s="204"/>
      <c r="R37" s="204"/>
      <c r="S37" s="61" t="str">
        <f t="shared" si="3"/>
        <v/>
      </c>
      <c r="T37" s="61" t="str">
        <f t="shared" si="3"/>
        <v>DUP</v>
      </c>
      <c r="U37" s="61" t="str">
        <f t="shared" si="3"/>
        <v/>
      </c>
      <c r="V37" s="205" t="s">
        <v>518</v>
      </c>
      <c r="W37" s="204"/>
    </row>
    <row r="38" spans="1:23" ht="26.25" hidden="1" customHeight="1">
      <c r="A38" s="211" t="s">
        <v>211</v>
      </c>
      <c r="B38" s="43" t="s">
        <v>23</v>
      </c>
      <c r="C38" s="204" t="s">
        <v>107</v>
      </c>
      <c r="D38" s="188" t="s">
        <v>108</v>
      </c>
      <c r="E38" s="190" t="s">
        <v>517</v>
      </c>
      <c r="F38" s="58"/>
      <c r="G38" s="198"/>
      <c r="H38" s="198"/>
      <c r="I38" s="204" t="s">
        <v>516</v>
      </c>
      <c r="J38" s="61" t="str">
        <f t="shared" si="2"/>
        <v/>
      </c>
      <c r="K38" s="61" t="str">
        <f t="shared" si="2"/>
        <v>DUP</v>
      </c>
      <c r="L38" s="61" t="str">
        <f t="shared" si="2"/>
        <v/>
      </c>
      <c r="M38" s="204" t="s">
        <v>516</v>
      </c>
      <c r="N38" s="198"/>
      <c r="O38" s="198"/>
      <c r="P38" s="198"/>
      <c r="Q38" s="204"/>
      <c r="R38" s="204"/>
      <c r="S38" s="61" t="str">
        <f t="shared" si="3"/>
        <v/>
      </c>
      <c r="T38" s="61" t="str">
        <f t="shared" si="3"/>
        <v>DUP</v>
      </c>
      <c r="U38" s="61" t="str">
        <f t="shared" si="3"/>
        <v/>
      </c>
      <c r="V38" s="205"/>
      <c r="W38" s="204"/>
    </row>
    <row r="39" spans="1:23" ht="30" hidden="1">
      <c r="A39" s="211" t="s">
        <v>212</v>
      </c>
      <c r="B39" s="43" t="s">
        <v>23</v>
      </c>
      <c r="C39" s="190" t="s">
        <v>110</v>
      </c>
      <c r="D39" s="51" t="s">
        <v>111</v>
      </c>
      <c r="E39" s="190" t="s">
        <v>215</v>
      </c>
      <c r="F39" s="58"/>
      <c r="G39" s="198"/>
      <c r="H39" s="198"/>
      <c r="I39" s="204" t="s">
        <v>17</v>
      </c>
      <c r="J39" s="61" t="str">
        <f t="shared" si="2"/>
        <v/>
      </c>
      <c r="K39" s="61" t="str">
        <f t="shared" si="2"/>
        <v>P</v>
      </c>
      <c r="L39" s="61" t="str">
        <f t="shared" si="2"/>
        <v/>
      </c>
      <c r="M39" s="204" t="s">
        <v>17</v>
      </c>
      <c r="N39" s="198"/>
      <c r="O39" s="198"/>
      <c r="P39" s="198"/>
      <c r="Q39" s="204"/>
      <c r="R39" s="204"/>
      <c r="S39" s="61" t="str">
        <f t="shared" si="3"/>
        <v/>
      </c>
      <c r="T39" s="61" t="str">
        <f t="shared" si="3"/>
        <v>P</v>
      </c>
      <c r="U39" s="61" t="str">
        <f t="shared" si="3"/>
        <v/>
      </c>
      <c r="V39" s="205"/>
      <c r="W39" s="204"/>
    </row>
    <row r="40" spans="1:23" hidden="1">
      <c r="A40" s="211" t="s">
        <v>212</v>
      </c>
      <c r="B40" s="43" t="s">
        <v>23</v>
      </c>
      <c r="C40" s="190" t="s">
        <v>112</v>
      </c>
      <c r="D40" s="51" t="s">
        <v>113</v>
      </c>
      <c r="E40" s="190" t="s">
        <v>215</v>
      </c>
      <c r="F40" s="58"/>
      <c r="G40" s="198"/>
      <c r="H40" s="198"/>
      <c r="I40" s="204" t="s">
        <v>17</v>
      </c>
      <c r="J40" s="61" t="str">
        <f t="shared" si="2"/>
        <v/>
      </c>
      <c r="K40" s="61" t="str">
        <f t="shared" si="2"/>
        <v>P</v>
      </c>
      <c r="L40" s="61" t="str">
        <f t="shared" si="2"/>
        <v/>
      </c>
      <c r="M40" s="204" t="s">
        <v>17</v>
      </c>
      <c r="N40" s="198"/>
      <c r="O40" s="198"/>
      <c r="P40" s="198"/>
      <c r="Q40" s="204"/>
      <c r="R40" s="204"/>
      <c r="S40" s="61" t="str">
        <f t="shared" si="3"/>
        <v/>
      </c>
      <c r="T40" s="61" t="str">
        <f t="shared" si="3"/>
        <v>P</v>
      </c>
      <c r="U40" s="61" t="str">
        <f t="shared" si="3"/>
        <v/>
      </c>
      <c r="V40" s="205"/>
      <c r="W40" s="204"/>
    </row>
    <row r="41" spans="1:23" ht="30" hidden="1">
      <c r="A41" s="211" t="s">
        <v>212</v>
      </c>
      <c r="B41" s="43" t="s">
        <v>23</v>
      </c>
      <c r="C41" s="190" t="s">
        <v>114</v>
      </c>
      <c r="D41" s="51" t="s">
        <v>484</v>
      </c>
      <c r="E41" s="190" t="s">
        <v>215</v>
      </c>
      <c r="F41" s="58"/>
      <c r="G41" s="198"/>
      <c r="H41" s="198"/>
      <c r="I41" s="204" t="s">
        <v>17</v>
      </c>
      <c r="J41" s="61" t="str">
        <f t="shared" si="2"/>
        <v/>
      </c>
      <c r="K41" s="61" t="str">
        <f t="shared" si="2"/>
        <v>P</v>
      </c>
      <c r="L41" s="61" t="str">
        <f t="shared" si="2"/>
        <v/>
      </c>
      <c r="M41" s="204" t="s">
        <v>17</v>
      </c>
      <c r="N41" s="198"/>
      <c r="O41" s="198"/>
      <c r="P41" s="198"/>
      <c r="Q41" s="204"/>
      <c r="R41" s="204"/>
      <c r="S41" s="61" t="str">
        <f t="shared" si="3"/>
        <v/>
      </c>
      <c r="T41" s="61" t="str">
        <f t="shared" si="3"/>
        <v>P</v>
      </c>
      <c r="U41" s="61" t="str">
        <f t="shared" si="3"/>
        <v/>
      </c>
      <c r="V41" s="205"/>
      <c r="W41" s="204"/>
    </row>
    <row r="42" spans="1:23" hidden="1">
      <c r="A42" s="211" t="s">
        <v>212</v>
      </c>
      <c r="B42" s="43" t="s">
        <v>23</v>
      </c>
      <c r="C42" s="190" t="s">
        <v>115</v>
      </c>
      <c r="D42" s="51" t="s">
        <v>116</v>
      </c>
      <c r="E42" s="190" t="s">
        <v>215</v>
      </c>
      <c r="F42" s="58"/>
      <c r="G42" s="198"/>
      <c r="H42" s="198"/>
      <c r="I42" s="204" t="s">
        <v>18</v>
      </c>
      <c r="J42" s="61" t="str">
        <f t="shared" si="2"/>
        <v/>
      </c>
      <c r="K42" s="61" t="str">
        <f t="shared" si="2"/>
        <v>A</v>
      </c>
      <c r="L42" s="61" t="str">
        <f t="shared" si="2"/>
        <v/>
      </c>
      <c r="M42" s="204" t="s">
        <v>18</v>
      </c>
      <c r="N42" s="198"/>
      <c r="O42" s="198"/>
      <c r="P42" s="198"/>
      <c r="Q42" s="204"/>
      <c r="R42" s="204"/>
      <c r="S42" s="61" t="str">
        <f t="shared" si="3"/>
        <v/>
      </c>
      <c r="T42" s="61" t="str">
        <f t="shared" si="3"/>
        <v>A</v>
      </c>
      <c r="U42" s="61" t="str">
        <f t="shared" si="3"/>
        <v/>
      </c>
      <c r="V42" s="205"/>
      <c r="W42" s="204"/>
    </row>
    <row r="43" spans="1:23" ht="15.75" hidden="1" customHeight="1">
      <c r="A43" s="211" t="s">
        <v>30</v>
      </c>
      <c r="B43" s="43" t="s">
        <v>23</v>
      </c>
      <c r="C43" s="190" t="s">
        <v>117</v>
      </c>
      <c r="D43" s="51" t="s">
        <v>118</v>
      </c>
      <c r="E43" s="190" t="s">
        <v>215</v>
      </c>
      <c r="F43" s="58"/>
      <c r="G43" s="198"/>
      <c r="H43" s="198"/>
      <c r="I43" s="204" t="s">
        <v>538</v>
      </c>
      <c r="J43" s="61" t="str">
        <f t="shared" ref="J43:L62" si="4">IF($B43=J$2,$I43,"")</f>
        <v/>
      </c>
      <c r="K43" s="61" t="str">
        <f t="shared" si="4"/>
        <v>HOLD</v>
      </c>
      <c r="L43" s="61" t="str">
        <f t="shared" si="4"/>
        <v/>
      </c>
      <c r="M43" s="204" t="s">
        <v>538</v>
      </c>
      <c r="N43" s="198"/>
      <c r="O43" s="198"/>
      <c r="P43" s="198"/>
      <c r="Q43" s="204"/>
      <c r="R43" s="204"/>
      <c r="S43" s="61" t="str">
        <f t="shared" ref="S43:U62" si="5">IF($B43=S$2,$M43,"")</f>
        <v/>
      </c>
      <c r="T43" s="61" t="str">
        <f t="shared" si="5"/>
        <v>HOLD</v>
      </c>
      <c r="U43" s="61" t="str">
        <f t="shared" si="5"/>
        <v/>
      </c>
      <c r="V43" s="205"/>
      <c r="W43" s="204"/>
    </row>
    <row r="44" spans="1:23" ht="32.25" hidden="1" customHeight="1">
      <c r="A44" s="211">
        <v>5.2</v>
      </c>
      <c r="B44" s="43" t="s">
        <v>10</v>
      </c>
      <c r="C44" s="204" t="s">
        <v>119</v>
      </c>
      <c r="D44" s="188" t="s">
        <v>120</v>
      </c>
      <c r="E44" s="190" t="s">
        <v>215</v>
      </c>
      <c r="F44" s="58"/>
      <c r="G44" s="198"/>
      <c r="H44" s="198"/>
      <c r="I44" s="204" t="s">
        <v>17</v>
      </c>
      <c r="J44" s="61" t="str">
        <f t="shared" si="4"/>
        <v>P</v>
      </c>
      <c r="K44" s="61" t="str">
        <f t="shared" si="4"/>
        <v/>
      </c>
      <c r="L44" s="61" t="str">
        <f t="shared" si="4"/>
        <v/>
      </c>
      <c r="M44" s="204" t="s">
        <v>17</v>
      </c>
      <c r="N44" s="198"/>
      <c r="O44" s="198"/>
      <c r="P44" s="198"/>
      <c r="Q44" s="204"/>
      <c r="R44" s="204"/>
      <c r="S44" s="61" t="str">
        <f t="shared" si="5"/>
        <v>P</v>
      </c>
      <c r="T44" s="61" t="str">
        <f t="shared" si="5"/>
        <v/>
      </c>
      <c r="U44" s="61" t="str">
        <f t="shared" si="5"/>
        <v/>
      </c>
      <c r="V44" s="205"/>
      <c r="W44" s="204"/>
    </row>
    <row r="45" spans="1:23" ht="32.25" hidden="1" customHeight="1">
      <c r="A45" s="211" t="s">
        <v>514</v>
      </c>
      <c r="B45" s="43" t="s">
        <v>10</v>
      </c>
      <c r="C45" s="204" t="s">
        <v>467</v>
      </c>
      <c r="D45" s="188" t="s">
        <v>480</v>
      </c>
      <c r="E45" s="190" t="s">
        <v>215</v>
      </c>
      <c r="F45" s="58"/>
      <c r="G45" s="198"/>
      <c r="H45" s="198"/>
      <c r="I45" s="204" t="s">
        <v>17</v>
      </c>
      <c r="J45" s="61" t="str">
        <f t="shared" si="4"/>
        <v>P</v>
      </c>
      <c r="K45" s="61" t="str">
        <f t="shared" si="4"/>
        <v/>
      </c>
      <c r="L45" s="61" t="str">
        <f t="shared" si="4"/>
        <v/>
      </c>
      <c r="M45" s="204" t="s">
        <v>17</v>
      </c>
      <c r="N45" s="198"/>
      <c r="O45" s="198"/>
      <c r="P45" s="198"/>
      <c r="Q45" s="204"/>
      <c r="R45" s="204"/>
      <c r="S45" s="61" t="str">
        <f t="shared" si="5"/>
        <v>P</v>
      </c>
      <c r="T45" s="61" t="str">
        <f t="shared" si="5"/>
        <v/>
      </c>
      <c r="U45" s="61" t="str">
        <f t="shared" si="5"/>
        <v/>
      </c>
      <c r="V45" s="205"/>
      <c r="W45" s="204"/>
    </row>
    <row r="46" spans="1:23" ht="32.25" hidden="1" customHeight="1">
      <c r="A46" s="211" t="s">
        <v>514</v>
      </c>
      <c r="B46" s="43" t="s">
        <v>10</v>
      </c>
      <c r="C46" s="204" t="s">
        <v>468</v>
      </c>
      <c r="D46" s="188" t="s">
        <v>481</v>
      </c>
      <c r="E46" s="190" t="s">
        <v>215</v>
      </c>
      <c r="F46" s="58"/>
      <c r="G46" s="198"/>
      <c r="H46" s="198"/>
      <c r="I46" s="204" t="s">
        <v>17</v>
      </c>
      <c r="J46" s="61" t="str">
        <f t="shared" si="4"/>
        <v>P</v>
      </c>
      <c r="K46" s="61" t="str">
        <f t="shared" si="4"/>
        <v/>
      </c>
      <c r="L46" s="61" t="str">
        <f t="shared" si="4"/>
        <v/>
      </c>
      <c r="M46" s="204" t="s">
        <v>17</v>
      </c>
      <c r="N46" s="198"/>
      <c r="O46" s="198"/>
      <c r="P46" s="198"/>
      <c r="Q46" s="204"/>
      <c r="R46" s="204"/>
      <c r="S46" s="61" t="str">
        <f t="shared" si="5"/>
        <v>P</v>
      </c>
      <c r="T46" s="61" t="str">
        <f t="shared" si="5"/>
        <v/>
      </c>
      <c r="U46" s="61" t="str">
        <f t="shared" si="5"/>
        <v/>
      </c>
      <c r="V46" s="205"/>
      <c r="W46" s="204"/>
    </row>
    <row r="47" spans="1:23" ht="32.25" hidden="1" customHeight="1">
      <c r="A47" s="211" t="s">
        <v>514</v>
      </c>
      <c r="B47" s="43" t="s">
        <v>10</v>
      </c>
      <c r="C47" s="204" t="s">
        <v>482</v>
      </c>
      <c r="D47" s="188" t="s">
        <v>483</v>
      </c>
      <c r="E47" s="190" t="s">
        <v>215</v>
      </c>
      <c r="F47" s="58"/>
      <c r="G47" s="198"/>
      <c r="H47" s="198"/>
      <c r="I47" s="204" t="s">
        <v>504</v>
      </c>
      <c r="J47" s="61" t="str">
        <f t="shared" si="4"/>
        <v>R</v>
      </c>
      <c r="K47" s="61" t="str">
        <f t="shared" si="4"/>
        <v/>
      </c>
      <c r="L47" s="61" t="str">
        <f t="shared" si="4"/>
        <v/>
      </c>
      <c r="M47" s="204" t="s">
        <v>504</v>
      </c>
      <c r="N47" s="198"/>
      <c r="O47" s="198"/>
      <c r="P47" s="198"/>
      <c r="Q47" s="204"/>
      <c r="R47" s="204"/>
      <c r="S47" s="61" t="str">
        <f t="shared" si="5"/>
        <v>R</v>
      </c>
      <c r="T47" s="61" t="str">
        <f t="shared" si="5"/>
        <v/>
      </c>
      <c r="U47" s="61" t="str">
        <f t="shared" si="5"/>
        <v/>
      </c>
      <c r="V47" s="205"/>
      <c r="W47" s="204"/>
    </row>
    <row r="48" spans="1:23" ht="32.25" hidden="1" customHeight="1">
      <c r="A48" s="211"/>
      <c r="B48" s="43" t="s">
        <v>23</v>
      </c>
      <c r="C48" s="204" t="s">
        <v>521</v>
      </c>
      <c r="D48" s="214" t="s">
        <v>525</v>
      </c>
      <c r="E48" s="190" t="s">
        <v>215</v>
      </c>
      <c r="F48" s="58"/>
      <c r="G48" s="198"/>
      <c r="H48" s="198"/>
      <c r="I48" s="204" t="s">
        <v>197</v>
      </c>
      <c r="J48" s="61" t="str">
        <f t="shared" si="4"/>
        <v/>
      </c>
      <c r="K48" s="61" t="str">
        <f t="shared" si="4"/>
        <v>NT</v>
      </c>
      <c r="L48" s="61" t="str">
        <f t="shared" si="4"/>
        <v/>
      </c>
      <c r="M48" s="204" t="s">
        <v>197</v>
      </c>
      <c r="N48" s="198"/>
      <c r="O48" s="198"/>
      <c r="P48" s="198"/>
      <c r="Q48" s="204"/>
      <c r="R48" s="204"/>
      <c r="S48" s="61" t="str">
        <f t="shared" si="5"/>
        <v/>
      </c>
      <c r="T48" s="61" t="str">
        <f t="shared" si="5"/>
        <v>NT</v>
      </c>
      <c r="U48" s="61" t="str">
        <f t="shared" si="5"/>
        <v/>
      </c>
      <c r="V48" s="205" t="s">
        <v>527</v>
      </c>
      <c r="W48" s="204"/>
    </row>
    <row r="49" spans="1:23" ht="32.25" hidden="1" customHeight="1">
      <c r="A49" s="211"/>
      <c r="B49" s="43" t="s">
        <v>23</v>
      </c>
      <c r="C49" s="204" t="s">
        <v>524</v>
      </c>
      <c r="D49" s="214" t="s">
        <v>526</v>
      </c>
      <c r="E49" s="190" t="s">
        <v>215</v>
      </c>
      <c r="F49" s="58"/>
      <c r="G49" s="198"/>
      <c r="H49" s="198"/>
      <c r="I49" s="204" t="s">
        <v>504</v>
      </c>
      <c r="J49" s="61" t="str">
        <f t="shared" si="4"/>
        <v/>
      </c>
      <c r="K49" s="61" t="str">
        <f t="shared" si="4"/>
        <v>R</v>
      </c>
      <c r="L49" s="61" t="str">
        <f t="shared" si="4"/>
        <v/>
      </c>
      <c r="M49" s="204" t="s">
        <v>504</v>
      </c>
      <c r="N49" s="198"/>
      <c r="O49" s="198"/>
      <c r="P49" s="198"/>
      <c r="Q49" s="204"/>
      <c r="R49" s="204"/>
      <c r="S49" s="61" t="str">
        <f t="shared" si="5"/>
        <v/>
      </c>
      <c r="T49" s="61" t="str">
        <f t="shared" si="5"/>
        <v>R</v>
      </c>
      <c r="U49" s="61" t="str">
        <f t="shared" si="5"/>
        <v/>
      </c>
      <c r="V49" s="205" t="s">
        <v>527</v>
      </c>
      <c r="W49" s="204"/>
    </row>
    <row r="50" spans="1:23" hidden="1">
      <c r="A50" s="211" t="s">
        <v>122</v>
      </c>
      <c r="B50" s="43" t="s">
        <v>10</v>
      </c>
      <c r="C50" s="204" t="s">
        <v>123</v>
      </c>
      <c r="D50" s="188" t="s">
        <v>94</v>
      </c>
      <c r="E50" s="190" t="s">
        <v>215</v>
      </c>
      <c r="F50" s="58"/>
      <c r="G50" s="198"/>
      <c r="H50" s="198"/>
      <c r="I50" s="204" t="s">
        <v>504</v>
      </c>
      <c r="J50" s="61" t="str">
        <f t="shared" si="4"/>
        <v>R</v>
      </c>
      <c r="K50" s="61" t="str">
        <f t="shared" si="4"/>
        <v/>
      </c>
      <c r="L50" s="61" t="str">
        <f t="shared" si="4"/>
        <v/>
      </c>
      <c r="M50" s="204" t="s">
        <v>504</v>
      </c>
      <c r="N50" s="198"/>
      <c r="O50" s="198"/>
      <c r="P50" s="198"/>
      <c r="Q50" s="204"/>
      <c r="R50" s="204"/>
      <c r="S50" s="61" t="str">
        <f t="shared" si="5"/>
        <v>R</v>
      </c>
      <c r="T50" s="61" t="str">
        <f t="shared" si="5"/>
        <v/>
      </c>
      <c r="U50" s="61" t="str">
        <f t="shared" si="5"/>
        <v/>
      </c>
      <c r="V50" s="205" t="s">
        <v>506</v>
      </c>
      <c r="W50" s="204"/>
    </row>
    <row r="51" spans="1:23" hidden="1">
      <c r="A51" s="211" t="s">
        <v>122</v>
      </c>
      <c r="B51" s="43" t="s">
        <v>10</v>
      </c>
      <c r="C51" s="204" t="s">
        <v>124</v>
      </c>
      <c r="D51" s="188" t="s">
        <v>96</v>
      </c>
      <c r="E51" s="190" t="s">
        <v>215</v>
      </c>
      <c r="F51" s="58"/>
      <c r="G51" s="198"/>
      <c r="H51" s="198"/>
      <c r="I51" s="204" t="s">
        <v>17</v>
      </c>
      <c r="J51" s="61" t="str">
        <f t="shared" si="4"/>
        <v>P</v>
      </c>
      <c r="K51" s="61" t="str">
        <f t="shared" si="4"/>
        <v/>
      </c>
      <c r="L51" s="61" t="str">
        <f t="shared" si="4"/>
        <v/>
      </c>
      <c r="M51" s="204" t="s">
        <v>17</v>
      </c>
      <c r="N51" s="204"/>
      <c r="O51" s="198"/>
      <c r="P51" s="198"/>
      <c r="Q51" s="204"/>
      <c r="R51" s="204"/>
      <c r="S51" s="61" t="str">
        <f t="shared" si="5"/>
        <v>P</v>
      </c>
      <c r="T51" s="61" t="str">
        <f t="shared" si="5"/>
        <v/>
      </c>
      <c r="U51" s="61" t="str">
        <f t="shared" si="5"/>
        <v/>
      </c>
      <c r="V51" s="205"/>
      <c r="W51" s="204"/>
    </row>
    <row r="52" spans="1:23" ht="30" hidden="1">
      <c r="A52" s="211" t="s">
        <v>122</v>
      </c>
      <c r="B52" s="43" t="s">
        <v>10</v>
      </c>
      <c r="C52" s="204" t="s">
        <v>125</v>
      </c>
      <c r="D52" s="188" t="s">
        <v>536</v>
      </c>
      <c r="E52" s="190" t="s">
        <v>215</v>
      </c>
      <c r="F52" s="58"/>
      <c r="G52" s="198"/>
      <c r="H52" s="198"/>
      <c r="I52" s="204" t="s">
        <v>504</v>
      </c>
      <c r="J52" s="61" t="str">
        <f t="shared" si="4"/>
        <v>R</v>
      </c>
      <c r="K52" s="61" t="str">
        <f t="shared" si="4"/>
        <v/>
      </c>
      <c r="L52" s="61" t="str">
        <f t="shared" si="4"/>
        <v/>
      </c>
      <c r="M52" s="204" t="s">
        <v>504</v>
      </c>
      <c r="N52" s="198"/>
      <c r="O52" s="198"/>
      <c r="P52" s="198"/>
      <c r="Q52" s="204"/>
      <c r="R52" s="204"/>
      <c r="S52" s="61" t="str">
        <f t="shared" si="5"/>
        <v>R</v>
      </c>
      <c r="T52" s="61" t="str">
        <f t="shared" si="5"/>
        <v/>
      </c>
      <c r="U52" s="61" t="str">
        <f t="shared" si="5"/>
        <v/>
      </c>
      <c r="V52" s="205" t="s">
        <v>530</v>
      </c>
      <c r="W52" s="204"/>
    </row>
    <row r="53" spans="1:23" ht="30" hidden="1">
      <c r="A53" s="211" t="s">
        <v>122</v>
      </c>
      <c r="B53" s="43" t="s">
        <v>10</v>
      </c>
      <c r="C53" s="204" t="s">
        <v>126</v>
      </c>
      <c r="D53" s="188" t="s">
        <v>100</v>
      </c>
      <c r="E53" s="190" t="s">
        <v>215</v>
      </c>
      <c r="F53" s="58"/>
      <c r="G53" s="198"/>
      <c r="H53" s="198"/>
      <c r="I53" s="204" t="s">
        <v>504</v>
      </c>
      <c r="J53" s="61" t="str">
        <f t="shared" si="4"/>
        <v>R</v>
      </c>
      <c r="K53" s="61" t="str">
        <f t="shared" si="4"/>
        <v/>
      </c>
      <c r="L53" s="61" t="str">
        <f t="shared" si="4"/>
        <v/>
      </c>
      <c r="M53" s="204" t="s">
        <v>504</v>
      </c>
      <c r="N53" s="198"/>
      <c r="O53" s="198"/>
      <c r="P53" s="198"/>
      <c r="Q53" s="204"/>
      <c r="R53" s="204"/>
      <c r="S53" s="61" t="str">
        <f t="shared" si="5"/>
        <v>R</v>
      </c>
      <c r="T53" s="61" t="str">
        <f t="shared" si="5"/>
        <v/>
      </c>
      <c r="U53" s="61" t="str">
        <f t="shared" si="5"/>
        <v/>
      </c>
      <c r="V53" s="205" t="s">
        <v>522</v>
      </c>
      <c r="W53" s="204"/>
    </row>
    <row r="54" spans="1:23" hidden="1">
      <c r="A54" s="211" t="s">
        <v>122</v>
      </c>
      <c r="B54" s="43" t="s">
        <v>10</v>
      </c>
      <c r="C54" s="204" t="s">
        <v>127</v>
      </c>
      <c r="D54" s="188" t="s">
        <v>102</v>
      </c>
      <c r="E54" s="190" t="s">
        <v>215</v>
      </c>
      <c r="F54" s="58"/>
      <c r="G54" s="198"/>
      <c r="H54" s="198"/>
      <c r="I54" s="204" t="s">
        <v>17</v>
      </c>
      <c r="J54" s="61" t="str">
        <f t="shared" si="4"/>
        <v>P</v>
      </c>
      <c r="K54" s="61" t="str">
        <f t="shared" si="4"/>
        <v/>
      </c>
      <c r="L54" s="61" t="str">
        <f t="shared" si="4"/>
        <v/>
      </c>
      <c r="M54" s="204" t="s">
        <v>17</v>
      </c>
      <c r="N54" s="198"/>
      <c r="O54" s="198"/>
      <c r="P54" s="198"/>
      <c r="Q54" s="204"/>
      <c r="R54" s="204"/>
      <c r="S54" s="61" t="str">
        <f t="shared" si="5"/>
        <v>P</v>
      </c>
      <c r="T54" s="61" t="str">
        <f t="shared" si="5"/>
        <v/>
      </c>
      <c r="U54" s="61" t="str">
        <f t="shared" si="5"/>
        <v/>
      </c>
      <c r="V54" s="205"/>
      <c r="W54" s="204"/>
    </row>
    <row r="55" spans="1:23" hidden="1">
      <c r="A55" s="211" t="s">
        <v>122</v>
      </c>
      <c r="B55" s="43" t="s">
        <v>10</v>
      </c>
      <c r="C55" s="204" t="s">
        <v>128</v>
      </c>
      <c r="D55" s="188" t="s">
        <v>129</v>
      </c>
      <c r="E55" s="190" t="s">
        <v>215</v>
      </c>
      <c r="F55" s="58"/>
      <c r="G55" s="198"/>
      <c r="H55" s="198"/>
      <c r="I55" s="204" t="s">
        <v>18</v>
      </c>
      <c r="J55" s="61" t="str">
        <f t="shared" si="4"/>
        <v>A</v>
      </c>
      <c r="K55" s="61" t="str">
        <f t="shared" si="4"/>
        <v/>
      </c>
      <c r="L55" s="61" t="str">
        <f t="shared" si="4"/>
        <v/>
      </c>
      <c r="M55" s="204" t="s">
        <v>18</v>
      </c>
      <c r="N55" s="198"/>
      <c r="O55" s="198"/>
      <c r="P55" s="198"/>
      <c r="Q55" s="204"/>
      <c r="R55" s="204"/>
      <c r="S55" s="61" t="str">
        <f t="shared" si="5"/>
        <v>A</v>
      </c>
      <c r="T55" s="61" t="str">
        <f t="shared" si="5"/>
        <v/>
      </c>
      <c r="U55" s="61" t="str">
        <f t="shared" si="5"/>
        <v/>
      </c>
      <c r="V55" s="205" t="s">
        <v>511</v>
      </c>
      <c r="W55" s="204"/>
    </row>
    <row r="56" spans="1:23" hidden="1">
      <c r="A56" s="211" t="s">
        <v>122</v>
      </c>
      <c r="B56" s="43" t="s">
        <v>10</v>
      </c>
      <c r="C56" s="204" t="s">
        <v>130</v>
      </c>
      <c r="D56" s="188" t="s">
        <v>90</v>
      </c>
      <c r="E56" s="190" t="s">
        <v>215</v>
      </c>
      <c r="F56" s="58"/>
      <c r="G56" s="198"/>
      <c r="H56" s="198"/>
      <c r="I56" s="204" t="s">
        <v>17</v>
      </c>
      <c r="J56" s="61" t="str">
        <f t="shared" si="4"/>
        <v>P</v>
      </c>
      <c r="K56" s="61" t="str">
        <f t="shared" si="4"/>
        <v/>
      </c>
      <c r="L56" s="61" t="str">
        <f t="shared" si="4"/>
        <v/>
      </c>
      <c r="M56" s="204" t="s">
        <v>17</v>
      </c>
      <c r="N56" s="198"/>
      <c r="O56" s="198"/>
      <c r="P56" s="198"/>
      <c r="Q56" s="204"/>
      <c r="R56" s="204"/>
      <c r="S56" s="61" t="str">
        <f t="shared" si="5"/>
        <v>P</v>
      </c>
      <c r="T56" s="61" t="str">
        <f t="shared" si="5"/>
        <v/>
      </c>
      <c r="U56" s="61" t="str">
        <f t="shared" si="5"/>
        <v/>
      </c>
      <c r="V56" s="205"/>
      <c r="W56" s="204"/>
    </row>
    <row r="57" spans="1:23" ht="87" hidden="1" customHeight="1">
      <c r="A57" s="211" t="s">
        <v>122</v>
      </c>
      <c r="B57" s="43" t="s">
        <v>10</v>
      </c>
      <c r="C57" s="190" t="s">
        <v>131</v>
      </c>
      <c r="D57" s="51" t="s">
        <v>132</v>
      </c>
      <c r="E57" s="190" t="s">
        <v>215</v>
      </c>
      <c r="F57" s="58"/>
      <c r="G57" s="198"/>
      <c r="H57" s="198"/>
      <c r="I57" s="204" t="s">
        <v>504</v>
      </c>
      <c r="J57" s="61" t="str">
        <f t="shared" si="4"/>
        <v>R</v>
      </c>
      <c r="K57" s="61" t="str">
        <f t="shared" si="4"/>
        <v/>
      </c>
      <c r="L57" s="61" t="str">
        <f t="shared" si="4"/>
        <v/>
      </c>
      <c r="M57" s="204" t="s">
        <v>504</v>
      </c>
      <c r="N57" s="198"/>
      <c r="O57" s="198"/>
      <c r="P57" s="198"/>
      <c r="Q57" s="204"/>
      <c r="R57" s="204"/>
      <c r="S57" s="61" t="str">
        <f t="shared" si="5"/>
        <v>R</v>
      </c>
      <c r="T57" s="61" t="str">
        <f t="shared" si="5"/>
        <v/>
      </c>
      <c r="U57" s="61" t="str">
        <f t="shared" si="5"/>
        <v/>
      </c>
      <c r="V57" s="206" t="s">
        <v>512</v>
      </c>
      <c r="W57" s="204"/>
    </row>
    <row r="58" spans="1:23" hidden="1">
      <c r="A58" s="211" t="s">
        <v>135</v>
      </c>
      <c r="B58" s="43" t="s">
        <v>10</v>
      </c>
      <c r="C58" s="204" t="s">
        <v>136</v>
      </c>
      <c r="D58" s="188" t="s">
        <v>470</v>
      </c>
      <c r="E58" s="190" t="s">
        <v>215</v>
      </c>
      <c r="F58" s="58"/>
      <c r="G58" s="198"/>
      <c r="H58" s="198"/>
      <c r="I58" s="204" t="s">
        <v>18</v>
      </c>
      <c r="J58" s="61" t="str">
        <f t="shared" si="4"/>
        <v>A</v>
      </c>
      <c r="K58" s="61" t="str">
        <f t="shared" si="4"/>
        <v/>
      </c>
      <c r="L58" s="61" t="str">
        <f t="shared" si="4"/>
        <v/>
      </c>
      <c r="M58" s="204" t="s">
        <v>18</v>
      </c>
      <c r="N58" s="204"/>
      <c r="O58" s="198"/>
      <c r="P58" s="204"/>
      <c r="Q58" s="204"/>
      <c r="R58" s="204"/>
      <c r="S58" s="61" t="str">
        <f t="shared" si="5"/>
        <v>A</v>
      </c>
      <c r="T58" s="61" t="str">
        <f t="shared" si="5"/>
        <v/>
      </c>
      <c r="U58" s="61" t="str">
        <f t="shared" si="5"/>
        <v/>
      </c>
      <c r="V58" s="205" t="s">
        <v>507</v>
      </c>
      <c r="W58" s="204"/>
    </row>
    <row r="59" spans="1:23" ht="30" hidden="1">
      <c r="A59" s="211" t="s">
        <v>27</v>
      </c>
      <c r="B59" s="43" t="s">
        <v>10</v>
      </c>
      <c r="C59" s="204" t="s">
        <v>137</v>
      </c>
      <c r="D59" s="188" t="s">
        <v>218</v>
      </c>
      <c r="E59" s="190" t="s">
        <v>215</v>
      </c>
      <c r="F59" s="58"/>
      <c r="G59" s="198"/>
      <c r="H59" s="198"/>
      <c r="I59" s="204" t="s">
        <v>504</v>
      </c>
      <c r="J59" s="61" t="str">
        <f t="shared" si="4"/>
        <v>R</v>
      </c>
      <c r="K59" s="61" t="str">
        <f t="shared" si="4"/>
        <v/>
      </c>
      <c r="L59" s="61" t="str">
        <f t="shared" si="4"/>
        <v/>
      </c>
      <c r="M59" s="204" t="s">
        <v>504</v>
      </c>
      <c r="N59" s="198"/>
      <c r="O59" s="198"/>
      <c r="P59" s="198"/>
      <c r="Q59" s="204"/>
      <c r="R59" s="204"/>
      <c r="S59" s="61" t="str">
        <f t="shared" si="5"/>
        <v>R</v>
      </c>
      <c r="T59" s="61" t="str">
        <f t="shared" si="5"/>
        <v/>
      </c>
      <c r="U59" s="61" t="str">
        <f t="shared" si="5"/>
        <v/>
      </c>
      <c r="V59" s="205" t="s">
        <v>529</v>
      </c>
      <c r="W59" s="204"/>
    </row>
    <row r="60" spans="1:23" ht="30" hidden="1" customHeight="1">
      <c r="A60" s="211" t="s">
        <v>138</v>
      </c>
      <c r="B60" s="43" t="s">
        <v>23</v>
      </c>
      <c r="C60" s="190" t="s">
        <v>139</v>
      </c>
      <c r="D60" s="67" t="s">
        <v>219</v>
      </c>
      <c r="E60" s="190" t="s">
        <v>216</v>
      </c>
      <c r="F60" s="58"/>
      <c r="G60" s="198"/>
      <c r="H60" s="198"/>
      <c r="I60" s="204" t="s">
        <v>537</v>
      </c>
      <c r="J60" s="61" t="str">
        <f t="shared" si="4"/>
        <v/>
      </c>
      <c r="K60" s="61" t="str">
        <f t="shared" si="4"/>
        <v>REM</v>
      </c>
      <c r="L60" s="61" t="str">
        <f t="shared" si="4"/>
        <v/>
      </c>
      <c r="M60" s="204" t="s">
        <v>537</v>
      </c>
      <c r="N60" s="198"/>
      <c r="O60" s="198"/>
      <c r="P60" s="198"/>
      <c r="Q60" s="204"/>
      <c r="R60" s="204"/>
      <c r="S60" s="61" t="str">
        <f t="shared" si="5"/>
        <v/>
      </c>
      <c r="T60" s="61" t="str">
        <f t="shared" si="5"/>
        <v>REM</v>
      </c>
      <c r="U60" s="61" t="str">
        <f t="shared" si="5"/>
        <v/>
      </c>
      <c r="V60" s="205"/>
      <c r="W60" s="204"/>
    </row>
    <row r="61" spans="1:23" hidden="1">
      <c r="A61" s="211" t="s">
        <v>33</v>
      </c>
      <c r="B61" s="43" t="s">
        <v>23</v>
      </c>
      <c r="C61" s="68" t="s">
        <v>141</v>
      </c>
      <c r="D61" s="69" t="s">
        <v>222</v>
      </c>
      <c r="E61" s="190" t="s">
        <v>215</v>
      </c>
      <c r="F61" s="70"/>
      <c r="G61" s="71"/>
      <c r="H61" s="71"/>
      <c r="I61" s="204" t="s">
        <v>504</v>
      </c>
      <c r="J61" s="61" t="str">
        <f t="shared" si="4"/>
        <v/>
      </c>
      <c r="K61" s="61" t="str">
        <f t="shared" si="4"/>
        <v>R</v>
      </c>
      <c r="L61" s="61" t="str">
        <f t="shared" si="4"/>
        <v/>
      </c>
      <c r="M61" s="204" t="s">
        <v>504</v>
      </c>
      <c r="N61" s="71"/>
      <c r="O61" s="71"/>
      <c r="P61" s="71"/>
      <c r="Q61" s="72"/>
      <c r="R61" s="72"/>
      <c r="S61" s="61" t="str">
        <f t="shared" si="5"/>
        <v/>
      </c>
      <c r="T61" s="61" t="str">
        <f t="shared" si="5"/>
        <v>R</v>
      </c>
      <c r="U61" s="61" t="str">
        <f t="shared" si="5"/>
        <v/>
      </c>
      <c r="V61" s="196" t="s">
        <v>535</v>
      </c>
      <c r="W61" s="72"/>
    </row>
    <row r="62" spans="1:23" ht="30" hidden="1">
      <c r="A62" s="211" t="s">
        <v>140</v>
      </c>
      <c r="B62" s="43" t="s">
        <v>23</v>
      </c>
      <c r="C62" s="204" t="s">
        <v>143</v>
      </c>
      <c r="D62" s="188" t="s">
        <v>223</v>
      </c>
      <c r="E62" s="190" t="s">
        <v>216</v>
      </c>
      <c r="F62" s="58"/>
      <c r="G62" s="198"/>
      <c r="H62" s="198"/>
      <c r="I62" s="204" t="s">
        <v>504</v>
      </c>
      <c r="J62" s="61" t="str">
        <f t="shared" si="4"/>
        <v/>
      </c>
      <c r="K62" s="61" t="str">
        <f t="shared" si="4"/>
        <v>R</v>
      </c>
      <c r="L62" s="61" t="str">
        <f t="shared" si="4"/>
        <v/>
      </c>
      <c r="M62" s="204" t="s">
        <v>504</v>
      </c>
      <c r="N62" s="198"/>
      <c r="O62" s="198"/>
      <c r="P62" s="198"/>
      <c r="Q62" s="204"/>
      <c r="R62" s="204"/>
      <c r="S62" s="61" t="str">
        <f t="shared" si="5"/>
        <v/>
      </c>
      <c r="T62" s="61" t="str">
        <f t="shared" si="5"/>
        <v>R</v>
      </c>
      <c r="U62" s="61" t="str">
        <f t="shared" si="5"/>
        <v/>
      </c>
      <c r="V62" s="205" t="s">
        <v>510</v>
      </c>
      <c r="W62" s="204"/>
    </row>
    <row r="63" spans="1:23" hidden="1">
      <c r="A63" s="211" t="s">
        <v>142</v>
      </c>
      <c r="B63" s="43" t="s">
        <v>23</v>
      </c>
      <c r="C63" s="204" t="s">
        <v>144</v>
      </c>
      <c r="D63" s="188" t="s">
        <v>471</v>
      </c>
      <c r="E63" s="190" t="s">
        <v>215</v>
      </c>
      <c r="F63" s="58"/>
      <c r="G63" s="198"/>
      <c r="H63" s="198"/>
      <c r="I63" s="204" t="s">
        <v>504</v>
      </c>
      <c r="J63" s="61" t="str">
        <f t="shared" ref="J63:L85" si="6">IF($B63=J$2,$I63,"")</f>
        <v/>
      </c>
      <c r="K63" s="61" t="str">
        <f t="shared" si="6"/>
        <v>R</v>
      </c>
      <c r="L63" s="61" t="str">
        <f t="shared" si="6"/>
        <v/>
      </c>
      <c r="M63" s="204" t="s">
        <v>504</v>
      </c>
      <c r="N63" s="198"/>
      <c r="O63" s="198"/>
      <c r="P63" s="198"/>
      <c r="Q63" s="204"/>
      <c r="R63" s="204"/>
      <c r="S63" s="61" t="str">
        <f t="shared" ref="S63:U85" si="7">IF($B63=S$2,$M63,"")</f>
        <v/>
      </c>
      <c r="T63" s="61" t="str">
        <f t="shared" si="7"/>
        <v>R</v>
      </c>
      <c r="U63" s="61" t="str">
        <f t="shared" si="7"/>
        <v/>
      </c>
      <c r="V63" s="205" t="s">
        <v>509</v>
      </c>
      <c r="W63" s="204"/>
    </row>
    <row r="64" spans="1:23" hidden="1">
      <c r="A64" s="211" t="s">
        <v>27</v>
      </c>
      <c r="B64" s="43" t="s">
        <v>23</v>
      </c>
      <c r="C64" s="204" t="s">
        <v>145</v>
      </c>
      <c r="D64" s="188" t="s">
        <v>472</v>
      </c>
      <c r="E64" s="190" t="s">
        <v>215</v>
      </c>
      <c r="F64" s="58"/>
      <c r="G64" s="198"/>
      <c r="H64" s="198"/>
      <c r="I64" s="204" t="s">
        <v>17</v>
      </c>
      <c r="J64" s="61" t="str">
        <f t="shared" si="6"/>
        <v/>
      </c>
      <c r="K64" s="61" t="str">
        <f t="shared" si="6"/>
        <v>P</v>
      </c>
      <c r="L64" s="61" t="str">
        <f t="shared" si="6"/>
        <v/>
      </c>
      <c r="M64" s="204" t="s">
        <v>17</v>
      </c>
      <c r="N64" s="198"/>
      <c r="O64" s="198"/>
      <c r="P64" s="198"/>
      <c r="Q64" s="204"/>
      <c r="R64" s="204"/>
      <c r="S64" s="61" t="str">
        <f t="shared" si="7"/>
        <v/>
      </c>
      <c r="T64" s="61" t="str">
        <f t="shared" si="7"/>
        <v>P</v>
      </c>
      <c r="U64" s="61" t="str">
        <f t="shared" si="7"/>
        <v/>
      </c>
      <c r="V64" s="205"/>
      <c r="W64" s="204"/>
    </row>
    <row r="65" spans="1:23" hidden="1">
      <c r="A65" s="211" t="s">
        <v>198</v>
      </c>
      <c r="B65" s="43" t="s">
        <v>10</v>
      </c>
      <c r="C65" s="204" t="s">
        <v>220</v>
      </c>
      <c r="D65" s="188" t="s">
        <v>473</v>
      </c>
      <c r="E65" s="190" t="s">
        <v>215</v>
      </c>
      <c r="F65" s="58"/>
      <c r="G65" s="198"/>
      <c r="H65" s="198"/>
      <c r="I65" s="204" t="s">
        <v>17</v>
      </c>
      <c r="J65" s="61" t="str">
        <f t="shared" si="6"/>
        <v>P</v>
      </c>
      <c r="K65" s="61" t="str">
        <f t="shared" si="6"/>
        <v/>
      </c>
      <c r="L65" s="61" t="str">
        <f t="shared" si="6"/>
        <v/>
      </c>
      <c r="M65" s="204" t="s">
        <v>17</v>
      </c>
      <c r="N65" s="198"/>
      <c r="O65" s="198"/>
      <c r="P65" s="198"/>
      <c r="Q65" s="204"/>
      <c r="R65" s="204"/>
      <c r="S65" s="61" t="str">
        <f t="shared" si="7"/>
        <v>P</v>
      </c>
      <c r="T65" s="61" t="str">
        <f t="shared" si="7"/>
        <v/>
      </c>
      <c r="U65" s="61" t="str">
        <f t="shared" si="7"/>
        <v/>
      </c>
      <c r="V65" s="205"/>
      <c r="W65" s="204"/>
    </row>
    <row r="66" spans="1:23" ht="27.75" hidden="1" customHeight="1">
      <c r="A66" s="211" t="s">
        <v>37</v>
      </c>
      <c r="B66" s="43" t="s">
        <v>23</v>
      </c>
      <c r="C66" s="79" t="s">
        <v>221</v>
      </c>
      <c r="D66" s="75" t="s">
        <v>474</v>
      </c>
      <c r="E66" s="190" t="s">
        <v>215</v>
      </c>
      <c r="F66" s="70"/>
      <c r="G66" s="77"/>
      <c r="H66" s="77"/>
      <c r="I66" s="204" t="s">
        <v>17</v>
      </c>
      <c r="J66" s="61" t="str">
        <f t="shared" si="6"/>
        <v/>
      </c>
      <c r="K66" s="61" t="str">
        <f t="shared" si="6"/>
        <v>P</v>
      </c>
      <c r="L66" s="61" t="str">
        <f t="shared" si="6"/>
        <v/>
      </c>
      <c r="M66" s="204" t="s">
        <v>17</v>
      </c>
      <c r="N66" s="77"/>
      <c r="O66" s="77"/>
      <c r="P66" s="77"/>
      <c r="Q66" s="76"/>
      <c r="R66" s="76"/>
      <c r="S66" s="61" t="str">
        <f t="shared" si="7"/>
        <v/>
      </c>
      <c r="T66" s="61" t="str">
        <f t="shared" si="7"/>
        <v>P</v>
      </c>
      <c r="U66" s="61" t="str">
        <f t="shared" si="7"/>
        <v/>
      </c>
      <c r="V66" s="78"/>
      <c r="W66" s="76"/>
    </row>
    <row r="67" spans="1:23" ht="27.75" hidden="1" customHeight="1">
      <c r="A67" s="211" t="s">
        <v>489</v>
      </c>
      <c r="B67" s="43" t="s">
        <v>23</v>
      </c>
      <c r="C67" s="76" t="s">
        <v>485</v>
      </c>
      <c r="D67" s="207" t="s">
        <v>487</v>
      </c>
      <c r="E67" s="190" t="s">
        <v>215</v>
      </c>
      <c r="F67" s="70"/>
      <c r="G67" s="77"/>
      <c r="H67" s="77"/>
      <c r="I67" s="204" t="s">
        <v>532</v>
      </c>
      <c r="J67" s="61" t="str">
        <f t="shared" si="6"/>
        <v/>
      </c>
      <c r="K67" s="61" t="str">
        <f t="shared" si="6"/>
        <v>EXEC</v>
      </c>
      <c r="L67" s="61" t="str">
        <f t="shared" si="6"/>
        <v/>
      </c>
      <c r="M67" s="204" t="s">
        <v>197</v>
      </c>
      <c r="N67" s="77"/>
      <c r="O67" s="77"/>
      <c r="P67" s="77"/>
      <c r="Q67" s="76"/>
      <c r="R67" s="76"/>
      <c r="S67" s="61" t="str">
        <f t="shared" si="7"/>
        <v/>
      </c>
      <c r="T67" s="61" t="str">
        <f t="shared" si="7"/>
        <v>NT</v>
      </c>
      <c r="U67" s="61" t="str">
        <f t="shared" si="7"/>
        <v/>
      </c>
      <c r="V67" s="78"/>
      <c r="W67" s="76"/>
    </row>
    <row r="68" spans="1:23" ht="27.75" hidden="1" customHeight="1">
      <c r="A68" s="211" t="s">
        <v>32</v>
      </c>
      <c r="B68" s="43" t="s">
        <v>23</v>
      </c>
      <c r="C68" s="76" t="s">
        <v>486</v>
      </c>
      <c r="D68" s="207" t="s">
        <v>488</v>
      </c>
      <c r="E68" s="190" t="s">
        <v>215</v>
      </c>
      <c r="F68" s="70"/>
      <c r="G68" s="77"/>
      <c r="H68" s="77"/>
      <c r="I68" s="204" t="s">
        <v>532</v>
      </c>
      <c r="J68" s="61" t="str">
        <f t="shared" si="6"/>
        <v/>
      </c>
      <c r="K68" s="61" t="str">
        <f t="shared" si="6"/>
        <v>EXEC</v>
      </c>
      <c r="L68" s="61" t="str">
        <f t="shared" si="6"/>
        <v/>
      </c>
      <c r="M68" s="204" t="s">
        <v>197</v>
      </c>
      <c r="N68" s="77"/>
      <c r="O68" s="77"/>
      <c r="P68" s="77"/>
      <c r="Q68" s="76"/>
      <c r="R68" s="76"/>
      <c r="S68" s="61" t="str">
        <f t="shared" si="7"/>
        <v/>
      </c>
      <c r="T68" s="61" t="str">
        <f t="shared" si="7"/>
        <v>NT</v>
      </c>
      <c r="U68" s="61" t="str">
        <f t="shared" si="7"/>
        <v/>
      </c>
      <c r="V68" s="78"/>
      <c r="W68" s="76"/>
    </row>
    <row r="69" spans="1:23" hidden="1">
      <c r="A69" s="211" t="s">
        <v>24</v>
      </c>
      <c r="B69" s="43" t="s">
        <v>23</v>
      </c>
      <c r="C69" s="190" t="s">
        <v>147</v>
      </c>
      <c r="D69" s="51" t="s">
        <v>148</v>
      </c>
      <c r="E69" s="192" t="s">
        <v>215</v>
      </c>
      <c r="F69" s="58"/>
      <c r="G69" s="198"/>
      <c r="H69" s="198"/>
      <c r="I69" s="204" t="s">
        <v>17</v>
      </c>
      <c r="J69" s="61" t="str">
        <f t="shared" si="6"/>
        <v/>
      </c>
      <c r="K69" s="61" t="str">
        <f t="shared" si="6"/>
        <v>P</v>
      </c>
      <c r="L69" s="61" t="str">
        <f t="shared" si="6"/>
        <v/>
      </c>
      <c r="M69" s="204" t="s">
        <v>17</v>
      </c>
      <c r="N69" s="198"/>
      <c r="O69" s="198"/>
      <c r="P69" s="198"/>
      <c r="Q69" s="204"/>
      <c r="R69" s="204"/>
      <c r="S69" s="61" t="str">
        <f t="shared" si="7"/>
        <v/>
      </c>
      <c r="T69" s="61" t="str">
        <f t="shared" si="7"/>
        <v>P</v>
      </c>
      <c r="U69" s="61" t="str">
        <f t="shared" si="7"/>
        <v/>
      </c>
      <c r="V69" s="205"/>
      <c r="W69" s="204"/>
    </row>
    <row r="70" spans="1:23" hidden="1">
      <c r="A70" s="211" t="s">
        <v>25</v>
      </c>
      <c r="B70" s="43" t="s">
        <v>23</v>
      </c>
      <c r="C70" s="204" t="s">
        <v>149</v>
      </c>
      <c r="D70" s="188" t="s">
        <v>150</v>
      </c>
      <c r="E70" s="190" t="s">
        <v>215</v>
      </c>
      <c r="F70" s="58"/>
      <c r="G70" s="198"/>
      <c r="H70" s="198"/>
      <c r="I70" s="204" t="s">
        <v>17</v>
      </c>
      <c r="J70" s="61" t="str">
        <f t="shared" si="6"/>
        <v/>
      </c>
      <c r="K70" s="61" t="str">
        <f t="shared" si="6"/>
        <v>P</v>
      </c>
      <c r="L70" s="61" t="str">
        <f t="shared" si="6"/>
        <v/>
      </c>
      <c r="M70" s="204" t="s">
        <v>17</v>
      </c>
      <c r="N70" s="198"/>
      <c r="O70" s="198"/>
      <c r="P70" s="198"/>
      <c r="Q70" s="204"/>
      <c r="R70" s="204"/>
      <c r="S70" s="61" t="str">
        <f t="shared" si="7"/>
        <v/>
      </c>
      <c r="T70" s="61" t="str">
        <f t="shared" si="7"/>
        <v>P</v>
      </c>
      <c r="U70" s="61" t="str">
        <f t="shared" si="7"/>
        <v/>
      </c>
      <c r="V70" s="205"/>
      <c r="W70" s="204"/>
    </row>
    <row r="71" spans="1:23" hidden="1">
      <c r="A71" s="211" t="s">
        <v>151</v>
      </c>
      <c r="B71" s="43" t="s">
        <v>23</v>
      </c>
      <c r="C71" s="190" t="s">
        <v>152</v>
      </c>
      <c r="D71" s="51" t="s">
        <v>153</v>
      </c>
      <c r="E71" s="190" t="s">
        <v>215</v>
      </c>
      <c r="F71" s="58"/>
      <c r="G71" s="198"/>
      <c r="H71" s="198"/>
      <c r="I71" s="204" t="s">
        <v>17</v>
      </c>
      <c r="J71" s="61" t="str">
        <f t="shared" si="6"/>
        <v/>
      </c>
      <c r="K71" s="61" t="str">
        <f t="shared" si="6"/>
        <v>P</v>
      </c>
      <c r="L71" s="61" t="str">
        <f t="shared" si="6"/>
        <v/>
      </c>
      <c r="M71" s="204" t="s">
        <v>17</v>
      </c>
      <c r="N71" s="198"/>
      <c r="O71" s="198"/>
      <c r="P71" s="198"/>
      <c r="Q71" s="204"/>
      <c r="R71" s="204"/>
      <c r="S71" s="61" t="str">
        <f t="shared" si="7"/>
        <v/>
      </c>
      <c r="T71" s="61" t="str">
        <f t="shared" si="7"/>
        <v>P</v>
      </c>
      <c r="U71" s="61" t="str">
        <f t="shared" si="7"/>
        <v/>
      </c>
      <c r="V71" s="205"/>
      <c r="W71" s="204"/>
    </row>
    <row r="72" spans="1:23" hidden="1">
      <c r="A72" s="211"/>
      <c r="B72" s="43" t="s">
        <v>26</v>
      </c>
      <c r="C72" s="190" t="s">
        <v>154</v>
      </c>
      <c r="D72" s="51" t="s">
        <v>155</v>
      </c>
      <c r="E72" s="190" t="s">
        <v>215</v>
      </c>
      <c r="F72" s="58"/>
      <c r="G72" s="198"/>
      <c r="H72" s="198"/>
      <c r="I72" s="204" t="s">
        <v>17</v>
      </c>
      <c r="J72" s="61" t="str">
        <f t="shared" si="6"/>
        <v/>
      </c>
      <c r="K72" s="61" t="str">
        <f t="shared" si="6"/>
        <v/>
      </c>
      <c r="L72" s="61" t="str">
        <f t="shared" si="6"/>
        <v>P</v>
      </c>
      <c r="M72" s="204" t="s">
        <v>17</v>
      </c>
      <c r="N72" s="198"/>
      <c r="O72" s="198"/>
      <c r="P72" s="198"/>
      <c r="Q72" s="204"/>
      <c r="R72" s="204"/>
      <c r="S72" s="61" t="str">
        <f t="shared" si="7"/>
        <v/>
      </c>
      <c r="T72" s="61" t="str">
        <f t="shared" si="7"/>
        <v/>
      </c>
      <c r="U72" s="61" t="str">
        <f t="shared" si="7"/>
        <v>P</v>
      </c>
      <c r="V72" s="205"/>
      <c r="W72" s="204"/>
    </row>
    <row r="73" spans="1:23" hidden="1">
      <c r="A73" s="211" t="s">
        <v>28</v>
      </c>
      <c r="B73" s="43" t="s">
        <v>10</v>
      </c>
      <c r="C73" s="190" t="s">
        <v>156</v>
      </c>
      <c r="D73" s="51" t="s">
        <v>475</v>
      </c>
      <c r="E73" s="190" t="s">
        <v>215</v>
      </c>
      <c r="F73" s="58"/>
      <c r="G73" s="198"/>
      <c r="H73" s="198"/>
      <c r="I73" s="204" t="s">
        <v>17</v>
      </c>
      <c r="J73" s="61" t="str">
        <f t="shared" si="6"/>
        <v>P</v>
      </c>
      <c r="K73" s="61" t="str">
        <f t="shared" si="6"/>
        <v/>
      </c>
      <c r="L73" s="61" t="str">
        <f t="shared" si="6"/>
        <v/>
      </c>
      <c r="M73" s="204" t="s">
        <v>17</v>
      </c>
      <c r="N73" s="198"/>
      <c r="O73" s="198"/>
      <c r="P73" s="198"/>
      <c r="Q73" s="204"/>
      <c r="R73" s="204"/>
      <c r="S73" s="61" t="str">
        <f t="shared" si="7"/>
        <v>P</v>
      </c>
      <c r="T73" s="61" t="str">
        <f t="shared" si="7"/>
        <v/>
      </c>
      <c r="U73" s="61" t="str">
        <f t="shared" si="7"/>
        <v/>
      </c>
      <c r="V73" s="205"/>
      <c r="W73" s="204"/>
    </row>
    <row r="74" spans="1:23" hidden="1">
      <c r="A74" s="211" t="s">
        <v>28</v>
      </c>
      <c r="B74" s="43" t="s">
        <v>10</v>
      </c>
      <c r="C74" s="204" t="s">
        <v>157</v>
      </c>
      <c r="D74" s="188" t="s">
        <v>158</v>
      </c>
      <c r="E74" s="192" t="s">
        <v>215</v>
      </c>
      <c r="F74" s="58"/>
      <c r="G74" s="198"/>
      <c r="H74" s="198"/>
      <c r="I74" s="204" t="s">
        <v>17</v>
      </c>
      <c r="J74" s="61" t="str">
        <f t="shared" si="6"/>
        <v>P</v>
      </c>
      <c r="K74" s="61" t="str">
        <f t="shared" si="6"/>
        <v/>
      </c>
      <c r="L74" s="61" t="str">
        <f t="shared" si="6"/>
        <v/>
      </c>
      <c r="M74" s="204" t="s">
        <v>17</v>
      </c>
      <c r="N74" s="198"/>
      <c r="O74" s="198"/>
      <c r="P74" s="198"/>
      <c r="Q74" s="204"/>
      <c r="R74" s="204"/>
      <c r="S74" s="61" t="str">
        <f t="shared" si="7"/>
        <v>P</v>
      </c>
      <c r="T74" s="61" t="str">
        <f t="shared" si="7"/>
        <v/>
      </c>
      <c r="U74" s="61" t="str">
        <f t="shared" si="7"/>
        <v/>
      </c>
      <c r="V74" s="205"/>
      <c r="W74" s="204"/>
    </row>
    <row r="75" spans="1:23" hidden="1">
      <c r="A75" s="211"/>
      <c r="B75" s="43" t="s">
        <v>10</v>
      </c>
      <c r="C75" s="204" t="s">
        <v>519</v>
      </c>
      <c r="D75" s="188" t="s">
        <v>520</v>
      </c>
      <c r="E75" s="192" t="s">
        <v>215</v>
      </c>
      <c r="F75" s="58"/>
      <c r="G75" s="198"/>
      <c r="H75" s="198"/>
      <c r="I75" s="204" t="s">
        <v>17</v>
      </c>
      <c r="J75" s="61" t="str">
        <f t="shared" si="6"/>
        <v>P</v>
      </c>
      <c r="K75" s="61" t="str">
        <f t="shared" si="6"/>
        <v/>
      </c>
      <c r="L75" s="61" t="str">
        <f t="shared" si="6"/>
        <v/>
      </c>
      <c r="M75" s="204" t="s">
        <v>17</v>
      </c>
      <c r="N75" s="198"/>
      <c r="O75" s="198"/>
      <c r="P75" s="198"/>
      <c r="Q75" s="204"/>
      <c r="R75" s="204"/>
      <c r="S75" s="61" t="str">
        <f t="shared" si="7"/>
        <v>P</v>
      </c>
      <c r="T75" s="61" t="str">
        <f t="shared" si="7"/>
        <v/>
      </c>
      <c r="U75" s="61" t="str">
        <f t="shared" si="7"/>
        <v/>
      </c>
      <c r="V75" s="205"/>
      <c r="W75" s="204"/>
    </row>
    <row r="76" spans="1:23" ht="40.5" hidden="1" customHeight="1">
      <c r="A76" s="211" t="s">
        <v>29</v>
      </c>
      <c r="B76" s="43" t="s">
        <v>10</v>
      </c>
      <c r="C76" s="190" t="s">
        <v>160</v>
      </c>
      <c r="D76" s="51" t="s">
        <v>161</v>
      </c>
      <c r="E76" s="190" t="s">
        <v>215</v>
      </c>
      <c r="F76" s="58"/>
      <c r="G76" s="198"/>
      <c r="H76" s="198"/>
      <c r="I76" s="204" t="s">
        <v>17</v>
      </c>
      <c r="J76" s="61" t="str">
        <f t="shared" si="6"/>
        <v>P</v>
      </c>
      <c r="K76" s="61" t="str">
        <f t="shared" si="6"/>
        <v/>
      </c>
      <c r="L76" s="61" t="str">
        <f t="shared" si="6"/>
        <v/>
      </c>
      <c r="M76" s="204" t="s">
        <v>17</v>
      </c>
      <c r="N76" s="198"/>
      <c r="O76" s="198"/>
      <c r="P76" s="198"/>
      <c r="Q76" s="204"/>
      <c r="R76" s="204"/>
      <c r="S76" s="61" t="str">
        <f t="shared" si="7"/>
        <v>P</v>
      </c>
      <c r="T76" s="61" t="str">
        <f t="shared" si="7"/>
        <v/>
      </c>
      <c r="U76" s="61" t="str">
        <f t="shared" si="7"/>
        <v/>
      </c>
      <c r="V76" s="206" t="s">
        <v>508</v>
      </c>
      <c r="W76" s="204"/>
    </row>
    <row r="77" spans="1:23" s="66" customFormat="1">
      <c r="A77" s="211" t="s">
        <v>224</v>
      </c>
      <c r="B77" s="43" t="s">
        <v>10</v>
      </c>
      <c r="C77" s="76" t="s">
        <v>162</v>
      </c>
      <c r="D77" s="75" t="s">
        <v>163</v>
      </c>
      <c r="E77" s="65" t="s">
        <v>215</v>
      </c>
      <c r="F77" s="80"/>
      <c r="G77" s="77"/>
      <c r="H77" s="77"/>
      <c r="I77" s="204" t="s">
        <v>19</v>
      </c>
      <c r="J77" s="61" t="str">
        <f t="shared" si="6"/>
        <v>F</v>
      </c>
      <c r="K77" s="61" t="str">
        <f t="shared" si="6"/>
        <v/>
      </c>
      <c r="L77" s="61" t="str">
        <f t="shared" si="6"/>
        <v/>
      </c>
      <c r="M77" s="204" t="s">
        <v>19</v>
      </c>
      <c r="N77" s="77"/>
      <c r="O77" s="77"/>
      <c r="P77" s="77"/>
      <c r="Q77" s="76"/>
      <c r="R77" s="76"/>
      <c r="S77" s="61" t="str">
        <f t="shared" si="7"/>
        <v>F</v>
      </c>
      <c r="T77" s="61" t="str">
        <f t="shared" si="7"/>
        <v/>
      </c>
      <c r="U77" s="61" t="str">
        <f t="shared" si="7"/>
        <v/>
      </c>
      <c r="V77" s="78" t="s">
        <v>528</v>
      </c>
      <c r="W77" s="76"/>
    </row>
    <row r="78" spans="1:23" hidden="1">
      <c r="A78" s="63"/>
      <c r="B78" s="63" t="s">
        <v>23</v>
      </c>
      <c r="C78" s="72" t="s">
        <v>477</v>
      </c>
      <c r="D78" s="213" t="s">
        <v>503</v>
      </c>
      <c r="E78" s="68" t="s">
        <v>215</v>
      </c>
      <c r="F78" s="72"/>
      <c r="G78" s="71"/>
      <c r="H78" s="71"/>
      <c r="I78" s="204" t="s">
        <v>532</v>
      </c>
      <c r="J78" s="61" t="str">
        <f t="shared" si="6"/>
        <v/>
      </c>
      <c r="K78" s="61" t="str">
        <f t="shared" si="6"/>
        <v>EXEC</v>
      </c>
      <c r="L78" s="61" t="str">
        <f t="shared" si="6"/>
        <v/>
      </c>
      <c r="M78" s="204" t="s">
        <v>197</v>
      </c>
      <c r="N78" s="71"/>
      <c r="O78" s="71"/>
      <c r="P78" s="71"/>
      <c r="Q78" s="72"/>
      <c r="R78" s="72"/>
      <c r="S78" s="61" t="str">
        <f t="shared" si="7"/>
        <v/>
      </c>
      <c r="T78" s="61" t="str">
        <f t="shared" si="7"/>
        <v>NT</v>
      </c>
      <c r="U78" s="61" t="str">
        <f t="shared" si="7"/>
        <v/>
      </c>
      <c r="V78" s="196"/>
      <c r="W78" s="72"/>
    </row>
    <row r="79" spans="1:23" hidden="1">
      <c r="A79" s="63" t="s">
        <v>489</v>
      </c>
      <c r="B79" s="63" t="s">
        <v>23</v>
      </c>
      <c r="C79" s="118" t="s">
        <v>478</v>
      </c>
      <c r="D79" s="212" t="s">
        <v>490</v>
      </c>
      <c r="E79" s="68" t="s">
        <v>216</v>
      </c>
      <c r="F79" s="72"/>
      <c r="G79" s="71"/>
      <c r="H79" s="71"/>
      <c r="I79" s="204" t="s">
        <v>532</v>
      </c>
      <c r="J79" s="61" t="str">
        <f t="shared" si="6"/>
        <v/>
      </c>
      <c r="K79" s="61" t="str">
        <f t="shared" si="6"/>
        <v>EXEC</v>
      </c>
      <c r="L79" s="61" t="str">
        <f t="shared" si="6"/>
        <v/>
      </c>
      <c r="M79" s="204" t="s">
        <v>197</v>
      </c>
      <c r="N79" s="71"/>
      <c r="O79" s="71"/>
      <c r="P79" s="71"/>
      <c r="Q79" s="72"/>
      <c r="R79" s="72"/>
      <c r="S79" s="61" t="str">
        <f t="shared" si="7"/>
        <v/>
      </c>
      <c r="T79" s="61" t="str">
        <f t="shared" si="7"/>
        <v>NT</v>
      </c>
      <c r="U79" s="61" t="str">
        <f t="shared" si="7"/>
        <v/>
      </c>
      <c r="V79" s="196"/>
      <c r="W79" s="72"/>
    </row>
    <row r="80" spans="1:23" ht="30" hidden="1">
      <c r="A80" s="192" t="s">
        <v>502</v>
      </c>
      <c r="B80" s="63" t="s">
        <v>23</v>
      </c>
      <c r="C80" s="118" t="s">
        <v>479</v>
      </c>
      <c r="D80" s="212" t="s">
        <v>491</v>
      </c>
      <c r="E80" s="68" t="s">
        <v>216</v>
      </c>
      <c r="F80" s="72"/>
      <c r="G80" s="71"/>
      <c r="H80" s="71"/>
      <c r="I80" s="204" t="s">
        <v>532</v>
      </c>
      <c r="J80" s="61" t="str">
        <f t="shared" si="6"/>
        <v/>
      </c>
      <c r="K80" s="61" t="str">
        <f t="shared" si="6"/>
        <v>EXEC</v>
      </c>
      <c r="L80" s="61" t="str">
        <f t="shared" si="6"/>
        <v/>
      </c>
      <c r="M80" s="204" t="s">
        <v>197</v>
      </c>
      <c r="N80" s="71"/>
      <c r="O80" s="71"/>
      <c r="P80" s="71"/>
      <c r="Q80" s="72"/>
      <c r="R80" s="72"/>
      <c r="S80" s="61" t="str">
        <f t="shared" si="7"/>
        <v/>
      </c>
      <c r="T80" s="61" t="str">
        <f t="shared" si="7"/>
        <v>NT</v>
      </c>
      <c r="U80" s="61" t="str">
        <f t="shared" si="7"/>
        <v/>
      </c>
      <c r="V80" s="196"/>
      <c r="W80" s="72"/>
    </row>
    <row r="81" spans="1:23" ht="30" hidden="1">
      <c r="A81" s="192" t="s">
        <v>502</v>
      </c>
      <c r="B81" s="63" t="s">
        <v>23</v>
      </c>
      <c r="C81" s="118" t="s">
        <v>492</v>
      </c>
      <c r="D81" s="212" t="s">
        <v>493</v>
      </c>
      <c r="E81" s="68" t="s">
        <v>216</v>
      </c>
      <c r="F81" s="72"/>
      <c r="G81" s="71"/>
      <c r="H81" s="71"/>
      <c r="I81" s="204" t="s">
        <v>532</v>
      </c>
      <c r="J81" s="61" t="str">
        <f t="shared" si="6"/>
        <v/>
      </c>
      <c r="K81" s="61" t="str">
        <f t="shared" si="6"/>
        <v>EXEC</v>
      </c>
      <c r="L81" s="61" t="str">
        <f t="shared" si="6"/>
        <v/>
      </c>
      <c r="M81" s="204" t="s">
        <v>197</v>
      </c>
      <c r="N81" s="71"/>
      <c r="O81" s="71"/>
      <c r="P81" s="71"/>
      <c r="Q81" s="72"/>
      <c r="R81" s="72"/>
      <c r="S81" s="61" t="str">
        <f t="shared" si="7"/>
        <v/>
      </c>
      <c r="T81" s="61" t="str">
        <f t="shared" si="7"/>
        <v>NT</v>
      </c>
      <c r="U81" s="61" t="str">
        <f t="shared" si="7"/>
        <v/>
      </c>
      <c r="V81" s="196"/>
      <c r="W81" s="72"/>
    </row>
    <row r="82" spans="1:23" ht="30" hidden="1">
      <c r="A82" s="192" t="s">
        <v>502</v>
      </c>
      <c r="B82" s="63" t="s">
        <v>23</v>
      </c>
      <c r="C82" s="118" t="s">
        <v>494</v>
      </c>
      <c r="D82" s="212" t="s">
        <v>495</v>
      </c>
      <c r="E82" s="68" t="s">
        <v>216</v>
      </c>
      <c r="F82" s="72"/>
      <c r="G82" s="71"/>
      <c r="H82" s="71"/>
      <c r="I82" s="204" t="s">
        <v>532</v>
      </c>
      <c r="J82" s="61" t="str">
        <f t="shared" si="6"/>
        <v/>
      </c>
      <c r="K82" s="61" t="str">
        <f t="shared" si="6"/>
        <v>EXEC</v>
      </c>
      <c r="L82" s="61" t="str">
        <f t="shared" si="6"/>
        <v/>
      </c>
      <c r="M82" s="204" t="s">
        <v>197</v>
      </c>
      <c r="N82" s="71"/>
      <c r="O82" s="71"/>
      <c r="P82" s="71"/>
      <c r="Q82" s="72"/>
      <c r="R82" s="72"/>
      <c r="S82" s="61" t="str">
        <f t="shared" si="7"/>
        <v/>
      </c>
      <c r="T82" s="61" t="str">
        <f t="shared" si="7"/>
        <v>NT</v>
      </c>
      <c r="U82" s="61" t="str">
        <f t="shared" si="7"/>
        <v/>
      </c>
      <c r="V82" s="196"/>
      <c r="W82" s="72"/>
    </row>
    <row r="83" spans="1:23" ht="30" hidden="1">
      <c r="A83" s="192" t="s">
        <v>502</v>
      </c>
      <c r="B83" s="63" t="s">
        <v>23</v>
      </c>
      <c r="C83" s="118" t="s">
        <v>496</v>
      </c>
      <c r="D83" s="212" t="s">
        <v>497</v>
      </c>
      <c r="E83" s="68" t="s">
        <v>216</v>
      </c>
      <c r="F83" s="70"/>
      <c r="G83" s="71"/>
      <c r="H83" s="71"/>
      <c r="I83" s="204" t="s">
        <v>532</v>
      </c>
      <c r="J83" s="61" t="str">
        <f t="shared" si="6"/>
        <v/>
      </c>
      <c r="K83" s="61" t="str">
        <f t="shared" si="6"/>
        <v>EXEC</v>
      </c>
      <c r="L83" s="61" t="str">
        <f t="shared" si="6"/>
        <v/>
      </c>
      <c r="M83" s="204" t="s">
        <v>197</v>
      </c>
      <c r="N83" s="71"/>
      <c r="O83" s="71"/>
      <c r="P83" s="71"/>
      <c r="Q83" s="72"/>
      <c r="R83" s="72"/>
      <c r="S83" s="61" t="str">
        <f t="shared" si="7"/>
        <v/>
      </c>
      <c r="T83" s="61" t="str">
        <f t="shared" si="7"/>
        <v>NT</v>
      </c>
      <c r="U83" s="61" t="str">
        <f t="shared" si="7"/>
        <v/>
      </c>
      <c r="V83" s="196"/>
      <c r="W83" s="72"/>
    </row>
    <row r="84" spans="1:23" ht="30" hidden="1">
      <c r="A84" s="192" t="s">
        <v>502</v>
      </c>
      <c r="B84" s="63" t="s">
        <v>23</v>
      </c>
      <c r="C84" s="118" t="s">
        <v>498</v>
      </c>
      <c r="D84" s="212" t="s">
        <v>499</v>
      </c>
      <c r="E84" s="68" t="s">
        <v>216</v>
      </c>
      <c r="F84" s="70"/>
      <c r="G84" s="71"/>
      <c r="H84" s="71"/>
      <c r="I84" s="204" t="s">
        <v>532</v>
      </c>
      <c r="J84" s="61" t="str">
        <f t="shared" si="6"/>
        <v/>
      </c>
      <c r="K84" s="61" t="str">
        <f t="shared" si="6"/>
        <v>EXEC</v>
      </c>
      <c r="L84" s="61" t="str">
        <f t="shared" si="6"/>
        <v/>
      </c>
      <c r="M84" s="204" t="s">
        <v>197</v>
      </c>
      <c r="N84" s="71"/>
      <c r="O84" s="71"/>
      <c r="P84" s="71"/>
      <c r="Q84" s="72"/>
      <c r="R84" s="72"/>
      <c r="S84" s="61" t="str">
        <f t="shared" si="7"/>
        <v/>
      </c>
      <c r="T84" s="61" t="str">
        <f t="shared" si="7"/>
        <v>NT</v>
      </c>
      <c r="U84" s="61" t="str">
        <f t="shared" si="7"/>
        <v/>
      </c>
      <c r="V84" s="196"/>
      <c r="W84" s="72"/>
    </row>
    <row r="85" spans="1:23" ht="30" hidden="1">
      <c r="A85" s="192" t="s">
        <v>502</v>
      </c>
      <c r="B85" s="63" t="s">
        <v>23</v>
      </c>
      <c r="C85" s="118" t="s">
        <v>500</v>
      </c>
      <c r="D85" s="212" t="s">
        <v>501</v>
      </c>
      <c r="E85" s="68" t="s">
        <v>216</v>
      </c>
      <c r="F85" s="209"/>
      <c r="G85" s="73"/>
      <c r="H85" s="73"/>
      <c r="I85" s="204" t="s">
        <v>532</v>
      </c>
      <c r="J85" s="61" t="str">
        <f t="shared" si="6"/>
        <v/>
      </c>
      <c r="K85" s="61" t="str">
        <f t="shared" si="6"/>
        <v>EXEC</v>
      </c>
      <c r="L85" s="61" t="str">
        <f t="shared" si="6"/>
        <v/>
      </c>
      <c r="M85" s="204" t="s">
        <v>197</v>
      </c>
      <c r="N85" s="73"/>
      <c r="O85" s="73"/>
      <c r="P85" s="73"/>
      <c r="Q85" s="73"/>
      <c r="R85" s="73"/>
      <c r="S85" s="61" t="str">
        <f t="shared" si="7"/>
        <v/>
      </c>
      <c r="T85" s="61" t="str">
        <f t="shared" si="7"/>
        <v>NT</v>
      </c>
      <c r="U85" s="61" t="str">
        <f t="shared" si="7"/>
        <v/>
      </c>
      <c r="V85" s="196"/>
      <c r="W85" s="73"/>
    </row>
    <row r="86" spans="1:23">
      <c r="C86" s="66"/>
      <c r="D86" s="208"/>
      <c r="E86" s="208"/>
      <c r="F86" s="208"/>
      <c r="G86" s="66"/>
      <c r="H86" s="66"/>
      <c r="I86" s="66"/>
      <c r="J86" s="66"/>
      <c r="K86" s="66"/>
      <c r="L86" s="66"/>
      <c r="M86" s="66"/>
      <c r="N86" s="66"/>
      <c r="O86" s="66"/>
      <c r="P86" s="66"/>
      <c r="Q86" s="66"/>
      <c r="R86" s="66"/>
      <c r="S86" s="66"/>
      <c r="T86" s="66"/>
      <c r="U86" s="66"/>
      <c r="V86" s="208"/>
      <c r="W86" s="66"/>
    </row>
    <row r="87" spans="1:23">
      <c r="K87" s="50">
        <f>COUNTIF(K3:K85,"NT")</f>
        <v>1</v>
      </c>
    </row>
  </sheetData>
  <autoFilter ref="A1:V85">
    <filterColumn colId="12">
      <filters>
        <filter val="F"/>
      </filters>
    </filterColumn>
    <filterColumn colId="13" showButton="0"/>
    <filterColumn colId="14" showButton="0"/>
    <filterColumn colId="15" showButton="0"/>
    <filterColumn colId="16" showButton="0"/>
  </autoFilter>
  <mergeCells count="12">
    <mergeCell ref="V1:V2"/>
    <mergeCell ref="W1:W2"/>
    <mergeCell ref="A1:A2"/>
    <mergeCell ref="B1:B2"/>
    <mergeCell ref="C1:C2"/>
    <mergeCell ref="D1:D2"/>
    <mergeCell ref="F1:F2"/>
    <mergeCell ref="G1:G2"/>
    <mergeCell ref="H1:H2"/>
    <mergeCell ref="I1:I2"/>
    <mergeCell ref="M1:M2"/>
    <mergeCell ref="N1:R1"/>
  </mergeCells>
  <conditionalFormatting sqref="E1:E1048576">
    <cfRule type="cellIs" dxfId="339" priority="1" operator="equal">
      <formula>"Do Not Test"</formula>
    </cfRule>
    <cfRule type="cellIs" dxfId="338" priority="2" operator="equal">
      <formula>"Retest"</formula>
    </cfRule>
    <cfRule type="cellIs" dxfId="337" priority="3" operator="equal">
      <formula>"Ready"</formula>
    </cfRule>
  </conditionalFormatting>
  <pageMargins left="0.41" right="0.4" top="0.64" bottom="0.55000000000000004" header="0.3" footer="0.3"/>
  <pageSetup scale="38" fitToHeight="99" orientation="landscape" r:id="rId1"/>
</worksheet>
</file>

<file path=xl/worksheets/sheet5.xml><?xml version="1.0" encoding="utf-8"?>
<worksheet xmlns="http://schemas.openxmlformats.org/spreadsheetml/2006/main" xmlns:r="http://schemas.openxmlformats.org/officeDocument/2006/relationships">
  <sheetPr>
    <pageSetUpPr fitToPage="1"/>
  </sheetPr>
  <dimension ref="A1:CH81"/>
  <sheetViews>
    <sheetView workbookViewId="0"/>
  </sheetViews>
  <sheetFormatPr defaultRowHeight="15" outlineLevelCol="1"/>
  <cols>
    <col min="1" max="1" width="27.140625" style="8" customWidth="1"/>
    <col min="2" max="2" width="51.85546875" style="9" customWidth="1"/>
    <col min="3" max="3" width="9.140625" style="9"/>
    <col min="4" max="4" width="21" style="10" customWidth="1"/>
    <col min="5" max="5" width="23.5703125" style="10" customWidth="1"/>
    <col min="6" max="6" width="26.28515625" style="10" customWidth="1"/>
    <col min="7" max="7" width="9.140625" style="8" customWidth="1" outlineLevel="1"/>
    <col min="8" max="8" width="8.28515625" style="8" customWidth="1" outlineLevel="1"/>
    <col min="9" max="10" width="9.140625" style="8" customWidth="1" outlineLevel="1"/>
    <col min="11" max="11" width="9.28515625" style="8" customWidth="1" outlineLevel="1"/>
    <col min="12" max="12" width="8.85546875" style="35" customWidth="1"/>
    <col min="13" max="15" width="9.140625" style="8" customWidth="1" outlineLevel="1"/>
    <col min="16" max="17" width="9.140625" style="5" customWidth="1" outlineLevel="1"/>
    <col min="18" max="18" width="5.5703125" style="33" customWidth="1"/>
    <col min="19" max="24" width="9.140625" style="5" customWidth="1" outlineLevel="1"/>
    <col min="25" max="25" width="4.7109375" style="33" customWidth="1"/>
    <col min="26" max="35" width="9.140625" style="5" customWidth="1" outlineLevel="1"/>
    <col min="36" max="36" width="6" style="33" customWidth="1"/>
    <col min="37" max="45" width="9.140625" style="5" customWidth="1" outlineLevel="1"/>
    <col min="46" max="46" width="10" style="5" customWidth="1" outlineLevel="1"/>
    <col min="47" max="47" width="5.140625" style="33" customWidth="1"/>
    <col min="48" max="54" width="9.140625" style="5" customWidth="1" outlineLevel="1"/>
    <col min="55" max="55" width="5" style="33" customWidth="1"/>
    <col min="56" max="64" width="9.140625" style="5" customWidth="1" outlineLevel="1"/>
    <col min="65" max="65" width="3.28515625" style="33" customWidth="1"/>
    <col min="66" max="72" width="9.140625" style="5" customWidth="1" outlineLevel="1"/>
    <col min="73" max="73" width="5.28515625" style="33" customWidth="1"/>
    <col min="74" max="76" width="9.140625" style="5" customWidth="1" outlineLevel="1"/>
    <col min="77" max="77" width="9.85546875" style="5" customWidth="1" outlineLevel="1"/>
    <col min="78" max="79" width="9.140625" style="5" customWidth="1" outlineLevel="1"/>
    <col min="80" max="80" width="3.5703125" style="33" customWidth="1"/>
    <col min="81" max="84" width="9.140625" style="5" customWidth="1" outlineLevel="1"/>
    <col min="85" max="16384" width="9.140625" style="5"/>
  </cols>
  <sheetData>
    <row r="1" spans="1:86">
      <c r="M1" s="5"/>
    </row>
    <row r="2" spans="1:86" ht="63" customHeight="1">
      <c r="A2" s="14" t="s">
        <v>11</v>
      </c>
      <c r="B2" s="14" t="s">
        <v>168</v>
      </c>
      <c r="C2" s="14" t="s">
        <v>0</v>
      </c>
      <c r="D2" s="17" t="s">
        <v>12</v>
      </c>
      <c r="E2" s="12" t="s">
        <v>182</v>
      </c>
      <c r="F2" s="12" t="s">
        <v>182</v>
      </c>
      <c r="G2" s="31" t="str">
        <f>+'CVT Master List'!C5</f>
        <v>NAV1</v>
      </c>
      <c r="H2" s="31" t="str">
        <f>+'CVT Master List'!C6</f>
        <v>NAV2</v>
      </c>
      <c r="I2" s="31" t="str">
        <f>+'CVT Master List'!C7</f>
        <v>NAV3</v>
      </c>
      <c r="J2" s="31" t="str">
        <f>+'CVT Master List'!C8</f>
        <v>NAV4</v>
      </c>
      <c r="K2" s="31" t="str">
        <f>+'CVT Master List'!C9</f>
        <v>NAV5</v>
      </c>
      <c r="L2" s="31" t="s">
        <v>50</v>
      </c>
      <c r="M2" s="31" t="str">
        <f>+'CVT Master List'!C11</f>
        <v>UM1</v>
      </c>
      <c r="N2" s="31" t="str">
        <f>+'CVT Master List'!C12</f>
        <v>UM2</v>
      </c>
      <c r="O2" s="31" t="str">
        <f>+'CVT Master List'!C13</f>
        <v>UM3</v>
      </c>
      <c r="P2" s="32" t="str">
        <f>+'CVT Master List'!C14</f>
        <v>UM4</v>
      </c>
      <c r="Q2" s="32" t="str">
        <f>+'CVT Master List'!C15</f>
        <v>UM5</v>
      </c>
      <c r="R2" s="32" t="s">
        <v>184</v>
      </c>
      <c r="S2" s="32" t="str">
        <f>+'CVT Master List'!C17</f>
        <v>DCROLE1</v>
      </c>
      <c r="T2" s="32" t="str">
        <f>+'CVT Master List'!C18</f>
        <v>DCROLE2</v>
      </c>
      <c r="U2" s="32" t="str">
        <f>+'CVT Master List'!C19</f>
        <v>DCROLE3</v>
      </c>
      <c r="V2" s="32" t="str">
        <f>+'CVT Master List'!C20</f>
        <v>DCROLE4</v>
      </c>
      <c r="W2" s="32" t="str">
        <f>+'CVT Master List'!C21</f>
        <v>DCROLE5</v>
      </c>
      <c r="X2" s="32" t="str">
        <f>+'CVT Master List'!C22</f>
        <v>DCROLE6</v>
      </c>
      <c r="Y2" s="32" t="s">
        <v>185</v>
      </c>
      <c r="Z2" s="32" t="str">
        <f>+'CVT Master List'!C24</f>
        <v>DC1</v>
      </c>
      <c r="AA2" s="32" t="str">
        <f>+'CVT Master List'!C25</f>
        <v>DC2</v>
      </c>
      <c r="AB2" s="32" t="str">
        <f>+'CVT Master List'!C26</f>
        <v>DC3</v>
      </c>
      <c r="AC2" s="32" t="str">
        <f>+'CVT Master List'!C27</f>
        <v>DC4</v>
      </c>
      <c r="AD2" s="32" t="str">
        <f>+'CVT Master List'!C28</f>
        <v>DC5</v>
      </c>
      <c r="AE2" s="32" t="str">
        <f>+'CVT Master List'!C29</f>
        <v>DC6</v>
      </c>
      <c r="AF2" s="32" t="str">
        <f>+'CVT Master List'!C30</f>
        <v>DC7</v>
      </c>
      <c r="AG2" s="32" t="str">
        <f>+'CVT Master List'!C31</f>
        <v>DC8</v>
      </c>
      <c r="AH2" s="32" t="s">
        <v>193</v>
      </c>
      <c r="AI2" s="32" t="s">
        <v>194</v>
      </c>
      <c r="AJ2" s="32" t="s">
        <v>188</v>
      </c>
      <c r="AK2" s="32" t="str">
        <f>+'CVT Master List'!C35</f>
        <v>MassDC1</v>
      </c>
      <c r="AL2" s="32" t="str">
        <f>+'CVT Master List'!C36</f>
        <v>MassDC2</v>
      </c>
      <c r="AM2" s="32" t="str">
        <f>+'CVT Master List'!C37</f>
        <v>MassDC3</v>
      </c>
      <c r="AN2" s="32" t="str">
        <f>+'CVT Master List'!C38</f>
        <v>MassDC4</v>
      </c>
      <c r="AO2" s="32" t="str">
        <f>+'CVT Master List'!C39</f>
        <v>MassDC5</v>
      </c>
      <c r="AP2" s="32" t="str">
        <f>+'CVT Master List'!C40</f>
        <v>MassDC6</v>
      </c>
      <c r="AQ2" s="32" t="str">
        <f>+'CVT Master List'!C41</f>
        <v>MassDC7</v>
      </c>
      <c r="AR2" s="32" t="str">
        <f>+'CVT Master List'!C42</f>
        <v>MassDC8</v>
      </c>
      <c r="AS2" s="32" t="str">
        <f>+'CVT Master List'!C43</f>
        <v>MassDC9</v>
      </c>
      <c r="AT2" s="32" t="str">
        <f>+'CVT Master List'!C44</f>
        <v>MassDC10</v>
      </c>
      <c r="AU2" s="32" t="s">
        <v>189</v>
      </c>
      <c r="AV2" s="32" t="e">
        <f>+'CVT Master List'!#REF!</f>
        <v>#REF!</v>
      </c>
      <c r="AW2" s="32" t="str">
        <f>+'CVT Master List'!C46</f>
        <v>TGT2</v>
      </c>
      <c r="AX2" s="32" t="str">
        <f>+'CVT Master List'!C47</f>
        <v>TGT3</v>
      </c>
      <c r="AY2" s="32" t="str">
        <f>+'CVT Master List'!C48</f>
        <v>TGT4</v>
      </c>
      <c r="AZ2" s="32" t="str">
        <f>+'CVT Master List'!C49</f>
        <v>TGT5</v>
      </c>
      <c r="BA2" s="32" t="str">
        <f>+'CVT Master List'!C50</f>
        <v>TGT6</v>
      </c>
      <c r="BB2" s="32" t="str">
        <f>+'CVT Master List'!C51</f>
        <v>TGT7</v>
      </c>
      <c r="BC2" s="32" t="s">
        <v>190</v>
      </c>
      <c r="BD2" s="32" t="str">
        <f>+'CVT Master List'!C58</f>
        <v>FS3</v>
      </c>
      <c r="BE2" s="32" t="str">
        <f>+'CVT Master List'!C59</f>
        <v>FS4</v>
      </c>
      <c r="BF2" s="32" t="str">
        <f>+'CVT Master List'!C60</f>
        <v>FS5</v>
      </c>
      <c r="BG2" s="32" t="str">
        <f>+'CVT Master List'!C61</f>
        <v>FS6</v>
      </c>
      <c r="BH2" s="32" t="str">
        <f>+'CVT Master List'!C62</f>
        <v>FS7</v>
      </c>
      <c r="BI2" s="32" t="str">
        <f>+'CVT Master List'!C63</f>
        <v>FS8</v>
      </c>
      <c r="BJ2" s="32" t="str">
        <f>+'CVT Master List'!C64</f>
        <v>FS9</v>
      </c>
      <c r="BK2" s="32" t="str">
        <f>+'CVT Master List'!C65</f>
        <v>FS10</v>
      </c>
      <c r="BL2" s="32" t="e">
        <f>+'CVT Master List'!#REF!</f>
        <v>#REF!</v>
      </c>
      <c r="BM2" s="32" t="s">
        <v>191</v>
      </c>
      <c r="BN2" s="32" t="str">
        <f>+'CVT Master List'!C67</f>
        <v>RPT1</v>
      </c>
      <c r="BO2" s="32" t="str">
        <f>+'CVT Master List'!C68</f>
        <v>RPT2</v>
      </c>
      <c r="BP2" s="32" t="str">
        <f>+'CVT Master List'!C69</f>
        <v>RPT3</v>
      </c>
      <c r="BQ2" s="32" t="str">
        <f>+'CVT Master List'!C71</f>
        <v>RPT5</v>
      </c>
      <c r="BR2" s="32" t="str">
        <f>+'CVT Master List'!C72</f>
        <v>RPT6</v>
      </c>
      <c r="BS2" s="32" t="str">
        <f>+'CVT Master List'!C73</f>
        <v>RPT7</v>
      </c>
      <c r="BT2" s="32" t="str">
        <f>+'CVT Master List'!C74</f>
        <v>RPT8</v>
      </c>
      <c r="BU2" s="32" t="s">
        <v>192</v>
      </c>
      <c r="BV2" s="32" t="str">
        <f>+'CVT Master List'!C79</f>
        <v>TOOLS1</v>
      </c>
      <c r="BW2" s="32" t="str">
        <f>+'CVT Master List'!C80</f>
        <v>TOOLS2</v>
      </c>
      <c r="BX2" s="32" t="str">
        <f>+'CVT Master List'!C81</f>
        <v>TOOLS3</v>
      </c>
      <c r="BY2" s="32" t="str">
        <f>+'CVT Master List'!C82</f>
        <v>TOOLS4</v>
      </c>
      <c r="BZ2" s="32" t="str">
        <f>+'CVT Master List'!C83</f>
        <v>TOOLS 5</v>
      </c>
      <c r="CA2" s="32" t="str">
        <f>+'CVT Master List'!C84</f>
        <v>TOOLS6</v>
      </c>
      <c r="CB2" s="32" t="s">
        <v>35</v>
      </c>
      <c r="CC2" s="32" t="str">
        <f>+'CVT Master List'!C87</f>
        <v>RQMT1</v>
      </c>
      <c r="CD2" s="32" t="str">
        <f>+'CVT Master List'!C88</f>
        <v>RQMT2</v>
      </c>
      <c r="CE2" s="32">
        <f>+'CVT Master List'!C89</f>
        <v>0</v>
      </c>
      <c r="CF2" s="32" t="str">
        <f>+'CVT Master List'!C92</f>
        <v>OBL2</v>
      </c>
      <c r="CG2" s="16"/>
      <c r="CH2" s="16"/>
    </row>
    <row r="3" spans="1:86" ht="26.25" customHeight="1">
      <c r="A3" s="13"/>
      <c r="B3" s="13"/>
      <c r="C3" s="13"/>
      <c r="D3" s="18"/>
      <c r="E3" s="13" t="s">
        <v>183</v>
      </c>
      <c r="F3" s="13" t="s">
        <v>196</v>
      </c>
      <c r="G3" s="30" t="str">
        <f>IF(COUNTIFS(G5:G80,"CRITICAL")&gt;0,"Critical",IF(COUNTIFS(G5:G80,"Major")&gt;0,"Major",IF(COUNTIFS(G5:G80,"Minor")&gt;0,"Minor","UNK")))</f>
        <v>UNK</v>
      </c>
      <c r="H3" s="30" t="str">
        <f>IF(COUNTIFS(H5:H80,"CRITICAL")&gt;0,"Critical",IF(COUNTIFS(H5:H80,"Major")&gt;0,"Major",IF(COUNTIFS(H5:H80,"Minor")&gt;0,"Minor","UNK")))</f>
        <v>UNK</v>
      </c>
      <c r="I3" s="30" t="str">
        <f>IF(COUNTIFS(I5:I80,"CRITICAL")&gt;0,"Critical",IF(COUNTIFS(I5:I80,"Major")&gt;0,"Major",IF(COUNTIFS(I5:I80,"Minor")&gt;0,"Minor","UNK")))</f>
        <v>UNK</v>
      </c>
      <c r="J3" s="30" t="str">
        <f>IF(COUNTIFS(J5:J80,"CRITICAL")&gt;0,"Critical",IF(COUNTIFS(J5:J80,"Major")&gt;0,"Major",IF(COUNTIFS(J5:J80,"Minor")&gt;0,"Minor","UNK")))</f>
        <v>UNK</v>
      </c>
      <c r="K3" s="30" t="str">
        <f>IF(COUNTIFS(K5:K80,"CRITICAL")&gt;0,"Critical",IF(COUNTIFS(K5:K80,"Major")&gt;0,"Major",IF(COUNTIFS(K5:K80,"Minor")&gt;0,"Minor","UNK")))</f>
        <v>UNK</v>
      </c>
      <c r="L3" s="31"/>
      <c r="M3" s="30" t="str">
        <f>IF(COUNTIFS(M5:M80,"CRITICAL")&gt;0,"Critical",IF(COUNTIFS(M5:M80,"Major")&gt;0,"Major",IF(COUNTIFS(M5:M80,"Minor")&gt;0,"Minor","UNK")))</f>
        <v>UNK</v>
      </c>
      <c r="N3" s="30" t="str">
        <f>IF(COUNTIFS(N5:N80,"CRITICAL")&gt;0,"Critical",IF(COUNTIFS(N5:N80,"Major")&gt;0,"Major",IF(COUNTIFS(N5:N80,"Minor")&gt;0,"Minor","UNK")))</f>
        <v>UNK</v>
      </c>
      <c r="O3" s="30" t="str">
        <f>IF(COUNTIFS(O5:O80,"CRITICAL")&gt;0,"Critical",IF(COUNTIFS(O5:O80,"Major")&gt;0,"Major",IF(COUNTIFS(O5:O80,"Minor")&gt;0,"Minor","UNK")))</f>
        <v>UNK</v>
      </c>
      <c r="P3" s="30" t="str">
        <f>IF(COUNTIFS(P5:P80,"CRITICAL")&gt;0,"Critical",IF(COUNTIFS(P5:P80,"Major")&gt;0,"Major",IF(COUNTIFS(P5:P80,"Minor")&gt;0,"Minor","UNK")))</f>
        <v>UNK</v>
      </c>
      <c r="Q3" s="30" t="str">
        <f>IF(COUNTIFS(Q5:Q80,"CRITICAL")&gt;0,"Critical",IF(COUNTIFS(Q5:Q80,"Major")&gt;0,"Major",IF(COUNTIFS(Q5:Q80,"Minor")&gt;0,"Minor","UNK")))</f>
        <v>UNK</v>
      </c>
      <c r="R3" s="32"/>
      <c r="S3" s="30" t="str">
        <f t="shared" ref="S3:X3" si="0">IF(COUNTIFS(S5:S80,"CRITICAL")&gt;0,"Critical",IF(COUNTIFS(S5:S80,"Major")&gt;0,"Major",IF(COUNTIFS(S5:S80,"Minor")&gt;0,"Minor","UNK")))</f>
        <v>UNK</v>
      </c>
      <c r="T3" s="30" t="str">
        <f t="shared" si="0"/>
        <v>UNK</v>
      </c>
      <c r="U3" s="30" t="str">
        <f t="shared" si="0"/>
        <v>UNK</v>
      </c>
      <c r="V3" s="30" t="str">
        <f t="shared" si="0"/>
        <v>UNK</v>
      </c>
      <c r="W3" s="30" t="str">
        <f t="shared" si="0"/>
        <v>UNK</v>
      </c>
      <c r="X3" s="30" t="str">
        <f t="shared" si="0"/>
        <v>UNK</v>
      </c>
      <c r="Y3" s="32"/>
      <c r="Z3" s="30" t="str">
        <f t="shared" ref="Z3:AI3" si="1">IF(COUNTIFS(Z5:Z80,"CRITICAL")&gt;0,"Critical",IF(COUNTIFS(Z5:Z80,"Major")&gt;0,"Major",IF(COUNTIFS(Z5:Z80,"Minor")&gt;0,"Minor","UNK")))</f>
        <v>UNK</v>
      </c>
      <c r="AA3" s="30" t="str">
        <f t="shared" si="1"/>
        <v>UNK</v>
      </c>
      <c r="AB3" s="30" t="str">
        <f t="shared" si="1"/>
        <v>UNK</v>
      </c>
      <c r="AC3" s="30" t="str">
        <f t="shared" si="1"/>
        <v>UNK</v>
      </c>
      <c r="AD3" s="30" t="str">
        <f t="shared" si="1"/>
        <v>UNK</v>
      </c>
      <c r="AE3" s="30" t="str">
        <f t="shared" si="1"/>
        <v>UNK</v>
      </c>
      <c r="AF3" s="30" t="str">
        <f t="shared" si="1"/>
        <v>UNK</v>
      </c>
      <c r="AG3" s="30" t="str">
        <f t="shared" si="1"/>
        <v>UNK</v>
      </c>
      <c r="AH3" s="30" t="str">
        <f t="shared" si="1"/>
        <v>UNK</v>
      </c>
      <c r="AI3" s="30" t="str">
        <f t="shared" si="1"/>
        <v>UNK</v>
      </c>
      <c r="AJ3" s="32"/>
      <c r="AK3" s="30" t="str">
        <f t="shared" ref="AK3:AT3" si="2">IF(COUNTIFS(AK5:AK80,"CRITICAL")&gt;0,"Critical",IF(COUNTIFS(AK5:AK80,"Major")&gt;0,"Major",IF(COUNTIFS(AK5:AK80,"Minor")&gt;0,"Minor","UNK")))</f>
        <v>UNK</v>
      </c>
      <c r="AL3" s="30" t="str">
        <f t="shared" si="2"/>
        <v>UNK</v>
      </c>
      <c r="AM3" s="30" t="str">
        <f t="shared" si="2"/>
        <v>UNK</v>
      </c>
      <c r="AN3" s="30" t="str">
        <f t="shared" si="2"/>
        <v>UNK</v>
      </c>
      <c r="AO3" s="30" t="str">
        <f t="shared" si="2"/>
        <v>UNK</v>
      </c>
      <c r="AP3" s="30" t="str">
        <f t="shared" si="2"/>
        <v>UNK</v>
      </c>
      <c r="AQ3" s="30" t="str">
        <f t="shared" si="2"/>
        <v>UNK</v>
      </c>
      <c r="AR3" s="30" t="str">
        <f t="shared" si="2"/>
        <v>UNK</v>
      </c>
      <c r="AS3" s="30" t="str">
        <f t="shared" si="2"/>
        <v>UNK</v>
      </c>
      <c r="AT3" s="30" t="str">
        <f t="shared" si="2"/>
        <v>UNK</v>
      </c>
      <c r="AU3" s="32"/>
      <c r="AV3" s="30" t="str">
        <f t="shared" ref="AV3:BB3" si="3">IF(COUNTIFS(AV5:AV80,"CRITICAL")&gt;0,"Critical",IF(COUNTIFS(AV5:AV80,"Major")&gt;0,"Major",IF(COUNTIFS(AV5:AV80,"Minor")&gt;0,"Minor","UNK")))</f>
        <v>UNK</v>
      </c>
      <c r="AW3" s="30" t="str">
        <f t="shared" si="3"/>
        <v>UNK</v>
      </c>
      <c r="AX3" s="30" t="str">
        <f t="shared" si="3"/>
        <v>UNK</v>
      </c>
      <c r="AY3" s="30" t="str">
        <f t="shared" si="3"/>
        <v>UNK</v>
      </c>
      <c r="AZ3" s="30" t="str">
        <f t="shared" si="3"/>
        <v>UNK</v>
      </c>
      <c r="BA3" s="30" t="str">
        <f t="shared" si="3"/>
        <v>UNK</v>
      </c>
      <c r="BB3" s="30" t="str">
        <f t="shared" si="3"/>
        <v>UNK</v>
      </c>
      <c r="BC3" s="32"/>
      <c r="BD3" s="30" t="str">
        <f t="shared" ref="BD3:BL3" si="4">IF(COUNTIFS(BD5:BD80,"CRITICAL")&gt;0,"Critical",IF(COUNTIFS(BD5:BD80,"Major")&gt;0,"Major",IF(COUNTIFS(BD5:BD80,"Minor")&gt;0,"Minor","UNK")))</f>
        <v>UNK</v>
      </c>
      <c r="BE3" s="30" t="str">
        <f t="shared" si="4"/>
        <v>UNK</v>
      </c>
      <c r="BF3" s="30" t="str">
        <f t="shared" si="4"/>
        <v>UNK</v>
      </c>
      <c r="BG3" s="30" t="str">
        <f t="shared" si="4"/>
        <v>UNK</v>
      </c>
      <c r="BH3" s="30" t="str">
        <f t="shared" si="4"/>
        <v>UNK</v>
      </c>
      <c r="BI3" s="30" t="str">
        <f t="shared" si="4"/>
        <v>UNK</v>
      </c>
      <c r="BJ3" s="30" t="str">
        <f t="shared" si="4"/>
        <v>UNK</v>
      </c>
      <c r="BK3" s="30" t="str">
        <f t="shared" si="4"/>
        <v>UNK</v>
      </c>
      <c r="BL3" s="30" t="str">
        <f t="shared" si="4"/>
        <v>UNK</v>
      </c>
      <c r="BM3" s="32"/>
      <c r="BN3" s="30" t="str">
        <f t="shared" ref="BN3:BT3" si="5">IF(COUNTIFS(BN5:BN80,"CRITICAL")&gt;0,"Critical",IF(COUNTIFS(BN5:BN80,"Major")&gt;0,"Major",IF(COUNTIFS(BN5:BN80,"Minor")&gt;0,"Minor","UNK")))</f>
        <v>UNK</v>
      </c>
      <c r="BO3" s="30" t="str">
        <f t="shared" si="5"/>
        <v>UNK</v>
      </c>
      <c r="BP3" s="30" t="str">
        <f t="shared" si="5"/>
        <v>UNK</v>
      </c>
      <c r="BQ3" s="30" t="str">
        <f t="shared" si="5"/>
        <v>UNK</v>
      </c>
      <c r="BR3" s="30" t="str">
        <f t="shared" si="5"/>
        <v>UNK</v>
      </c>
      <c r="BS3" s="30" t="str">
        <f t="shared" si="5"/>
        <v>UNK</v>
      </c>
      <c r="BT3" s="30" t="str">
        <f t="shared" si="5"/>
        <v>UNK</v>
      </c>
      <c r="BU3" s="32"/>
      <c r="BV3" s="30" t="str">
        <f t="shared" ref="BV3:CA3" si="6">IF(COUNTIFS(BV5:BV80,"CRITICAL")&gt;0,"Critical",IF(COUNTIFS(BV5:BV80,"Major")&gt;0,"Major",IF(COUNTIFS(BV5:BV80,"Minor")&gt;0,"Minor","UNK")))</f>
        <v>UNK</v>
      </c>
      <c r="BW3" s="30" t="str">
        <f t="shared" si="6"/>
        <v>UNK</v>
      </c>
      <c r="BX3" s="30" t="str">
        <f t="shared" si="6"/>
        <v>UNK</v>
      </c>
      <c r="BY3" s="30" t="str">
        <f t="shared" si="6"/>
        <v>UNK</v>
      </c>
      <c r="BZ3" s="30" t="str">
        <f t="shared" si="6"/>
        <v>UNK</v>
      </c>
      <c r="CA3" s="30" t="str">
        <f t="shared" si="6"/>
        <v>UNK</v>
      </c>
      <c r="CB3" s="32"/>
      <c r="CC3" s="30" t="str">
        <f>IF(COUNTIFS(CC5:CC80,"CRITICAL")&gt;0,"Critical",IF(COUNTIFS(CC5:CC80,"Major")&gt;0,"Major",IF(COUNTIFS(CC5:CC80,"Minor")&gt;0,"Minor","UNK")))</f>
        <v>UNK</v>
      </c>
      <c r="CD3" s="30" t="str">
        <f>IF(COUNTIFS(CD5:CD80,"CRITICAL")&gt;0,"Critical",IF(COUNTIFS(CD5:CD80,"Major")&gt;0,"Major",IF(COUNTIFS(CD5:CD80,"Minor")&gt;0,"Minor","UNK")))</f>
        <v>UNK</v>
      </c>
      <c r="CE3" s="30" t="str">
        <f>IF(COUNTIFS(CE5:CE80,"CRITICAL")&gt;0,"Critical",IF(COUNTIFS(CE5:CE80,"Major")&gt;0,"Major",IF(COUNTIFS(CE5:CE80,"Minor")&gt;0,"Minor","UNK")))</f>
        <v>UNK</v>
      </c>
      <c r="CF3" s="30" t="str">
        <f>IF(COUNTIFS(CF5:CF80,"CRITICAL")&gt;0,"Critical",IF(COUNTIFS(CF5:CF80,"Major")&gt;0,"Major",IF(COUNTIFS(CF5:CF80,"Minor")&gt;0,"Minor","UNK")))</f>
        <v>UNK</v>
      </c>
      <c r="CG3" s="16"/>
    </row>
    <row r="4" spans="1:86" ht="23.25" customHeight="1">
      <c r="A4" s="4" t="e">
        <f>#REF!</f>
        <v>#REF!</v>
      </c>
      <c r="B4" s="4"/>
      <c r="C4" s="1"/>
      <c r="D4" s="19"/>
      <c r="E4" s="19"/>
      <c r="F4" s="6"/>
      <c r="G4" s="6"/>
      <c r="H4" s="6"/>
      <c r="I4" s="6"/>
      <c r="J4" s="6"/>
      <c r="K4" s="6"/>
      <c r="L4" s="34"/>
      <c r="M4" s="6"/>
      <c r="N4" s="6"/>
      <c r="O4" s="6"/>
      <c r="P4" s="6"/>
      <c r="Q4" s="6"/>
      <c r="R4" s="34"/>
      <c r="S4" s="6"/>
      <c r="T4" s="6"/>
      <c r="U4" s="6"/>
      <c r="V4" s="6"/>
      <c r="W4" s="6"/>
      <c r="X4" s="6"/>
      <c r="Y4" s="34"/>
      <c r="Z4" s="6"/>
      <c r="AA4" s="6"/>
      <c r="AB4" s="6"/>
      <c r="AC4" s="6"/>
      <c r="AD4" s="6"/>
      <c r="AE4" s="6"/>
      <c r="AF4" s="6"/>
      <c r="AG4" s="6"/>
      <c r="AH4" s="6"/>
      <c r="AI4" s="6"/>
      <c r="AJ4" s="34"/>
      <c r="AK4" s="6"/>
      <c r="AL4" s="6"/>
      <c r="AM4" s="6"/>
      <c r="AN4" s="6"/>
      <c r="AO4" s="6"/>
      <c r="AP4" s="6"/>
      <c r="AQ4" s="6"/>
      <c r="AR4" s="6"/>
      <c r="AS4" s="6"/>
      <c r="AT4" s="6"/>
      <c r="AU4" s="34"/>
      <c r="AV4" s="6"/>
      <c r="AW4" s="6"/>
      <c r="AX4" s="6"/>
      <c r="AY4" s="6"/>
      <c r="AZ4" s="6"/>
      <c r="BA4" s="6"/>
      <c r="BB4" s="6"/>
      <c r="BC4" s="34"/>
      <c r="BD4" s="6"/>
      <c r="BE4" s="6"/>
      <c r="BF4" s="6"/>
      <c r="BG4" s="6"/>
      <c r="BH4" s="6"/>
      <c r="BI4" s="6"/>
      <c r="BJ4" s="6"/>
      <c r="BK4" s="6"/>
      <c r="BL4" s="6"/>
      <c r="BM4" s="34"/>
      <c r="BN4" s="6"/>
      <c r="BO4" s="6"/>
      <c r="BP4" s="6"/>
      <c r="BQ4" s="6"/>
      <c r="BR4" s="6"/>
      <c r="BS4" s="6"/>
      <c r="BT4" s="6"/>
      <c r="BU4" s="34"/>
      <c r="BV4" s="6"/>
      <c r="BW4" s="6"/>
      <c r="BX4" s="6"/>
      <c r="BY4" s="6"/>
      <c r="BZ4" s="6"/>
      <c r="CA4" s="6"/>
      <c r="CB4" s="34"/>
      <c r="CC4" s="6"/>
      <c r="CD4" s="6"/>
      <c r="CE4" s="6"/>
      <c r="CF4" s="6"/>
    </row>
    <row r="5" spans="1:86" ht="30">
      <c r="A5" s="15" t="e">
        <f>#REF!</f>
        <v>#REF!</v>
      </c>
      <c r="B5" s="15" t="e">
        <f>#REF!</f>
        <v>#REF!</v>
      </c>
      <c r="C5" s="15" t="e">
        <f>#REF!</f>
        <v>#REF!</v>
      </c>
      <c r="D5" s="20" t="s">
        <v>169</v>
      </c>
      <c r="E5" s="30" t="str">
        <f>IF(COUNTIFS(F5:CF5,"F")+COUNTIFS(F5:CF5,"NT")&gt;0,"In Test",IF(COUNTIFS(F5:CF5,"P")+COUNTIFS(F5:CF5,"A")&gt;0,"Pass","Pending"))</f>
        <v>Pending</v>
      </c>
      <c r="F5" s="30" t="str">
        <f xml:space="preserve"> "Pass:  "&amp; COUNTIFS(G5:CG5,"P")&amp;  "     /Accept:  "&amp; COUNTIFS(G5:CG5,"A")&amp;  "/     Fail:  "&amp; COUNTIFS(G5:CG5,"Fail") &amp;  "/     NT:  "&amp; COUNTIFS(G5:CG5,"NT")</f>
        <v>Pass:  0     /Accept:  0/     Fail:  0/     NT:  0</v>
      </c>
      <c r="G5" s="29" t="e">
        <f>IF(#REF!&lt;&gt;"N/A",Priority!$C5,"")</f>
        <v>#REF!</v>
      </c>
      <c r="H5" s="29" t="e">
        <f>IF(#REF!&lt;&gt;"N/A",Priority!$C5,"")</f>
        <v>#REF!</v>
      </c>
      <c r="I5" s="29" t="e">
        <f>IF(#REF!&lt;&gt;"N/A",Priority!$C5,"")</f>
        <v>#REF!</v>
      </c>
      <c r="J5" s="29" t="e">
        <f>IF(#REF!&lt;&gt;"N/A",Priority!$C5,"")</f>
        <v>#REF!</v>
      </c>
      <c r="K5" s="29" t="e">
        <f>IF(#REF!&lt;&gt;"N/A",Priority!$C5,"")</f>
        <v>#REF!</v>
      </c>
      <c r="L5" s="31"/>
      <c r="M5" s="29" t="e">
        <f>IF(#REF!&lt;&gt;"N/A",Priority!$C5,"")</f>
        <v>#REF!</v>
      </c>
      <c r="N5" s="29" t="e">
        <f>IF(#REF!&lt;&gt;"N/A",Priority!$C5,"")</f>
        <v>#REF!</v>
      </c>
      <c r="O5" s="29" t="e">
        <f>IF(#REF!&lt;&gt;"N/A",Priority!$C5,"")</f>
        <v>#REF!</v>
      </c>
      <c r="P5" s="29" t="e">
        <f>IF(#REF!&lt;&gt;"N/A",Priority!$C5,"")</f>
        <v>#REF!</v>
      </c>
      <c r="Q5" s="29" t="e">
        <f>IF(#REF!&lt;&gt;"N/A",Priority!$C5,"")</f>
        <v>#REF!</v>
      </c>
      <c r="R5" s="31"/>
      <c r="S5" s="29" t="e">
        <f>IF(#REF!&lt;&gt;"N/A",Priority!$C5,"")</f>
        <v>#REF!</v>
      </c>
      <c r="T5" s="29" t="e">
        <f>IF(#REF!&lt;&gt;"N/A",Priority!$C5,"")</f>
        <v>#REF!</v>
      </c>
      <c r="U5" s="29" t="e">
        <f>IF(#REF!&lt;&gt;"N/A",Priority!$C5,"")</f>
        <v>#REF!</v>
      </c>
      <c r="V5" s="29" t="e">
        <f>IF(#REF!&lt;&gt;"N/A",Priority!$C5,"")</f>
        <v>#REF!</v>
      </c>
      <c r="W5" s="29" t="e">
        <f>IF(#REF!&lt;&gt;"N/A",Priority!$C5,"")</f>
        <v>#REF!</v>
      </c>
      <c r="X5" s="29" t="e">
        <f>IF(#REF!&lt;&gt;"N/A",Priority!$C5,"")</f>
        <v>#REF!</v>
      </c>
      <c r="Y5" s="31"/>
      <c r="Z5" s="29" t="e">
        <f>IF(#REF!&lt;&gt;"N/A",Priority!$C5,"")</f>
        <v>#REF!</v>
      </c>
      <c r="AA5" s="29" t="e">
        <f>IF(#REF!&lt;&gt;"N/A",Priority!$C5,"")</f>
        <v>#REF!</v>
      </c>
      <c r="AB5" s="29" t="e">
        <f>IF(#REF!&lt;&gt;"N/A",Priority!$C5,"")</f>
        <v>#REF!</v>
      </c>
      <c r="AC5" s="29" t="e">
        <f>IF(#REF!&lt;&gt;"N/A",Priority!$C5,"")</f>
        <v>#REF!</v>
      </c>
      <c r="AD5" s="29" t="e">
        <f>IF(#REF!&lt;&gt;"N/A",Priority!$C5,"")</f>
        <v>#REF!</v>
      </c>
      <c r="AE5" s="29" t="e">
        <f>IF(#REF!&lt;&gt;"N/A",Priority!$C5,"")</f>
        <v>#REF!</v>
      </c>
      <c r="AF5" s="29" t="e">
        <f>IF(#REF!&lt;&gt;"N/A",Priority!$C5,"")</f>
        <v>#REF!</v>
      </c>
      <c r="AG5" s="29" t="e">
        <f>IF(#REF!&lt;&gt;"N/A",Priority!$C5,"")</f>
        <v>#REF!</v>
      </c>
      <c r="AH5" s="29" t="e">
        <f>IF(#REF!&lt;&gt;"N/A",Priority!$C5,"")</f>
        <v>#REF!</v>
      </c>
      <c r="AI5" s="29" t="e">
        <f>IF(#REF!&lt;&gt;"N/A",Priority!$C5,"")</f>
        <v>#REF!</v>
      </c>
      <c r="AJ5" s="31"/>
      <c r="AK5" s="29" t="e">
        <f>IF(#REF!&lt;&gt;"N/A",Priority!$C5,"")</f>
        <v>#REF!</v>
      </c>
      <c r="AL5" s="29" t="e">
        <f>IF(#REF!&lt;&gt;"N/A",Priority!$C5,"")</f>
        <v>#REF!</v>
      </c>
      <c r="AM5" s="29" t="e">
        <f>IF(#REF!&lt;&gt;"N/A",Priority!$C5,"")</f>
        <v>#REF!</v>
      </c>
      <c r="AN5" s="29" t="e">
        <f>IF(#REF!&lt;&gt;"N/A",Priority!$C5,"")</f>
        <v>#REF!</v>
      </c>
      <c r="AO5" s="29" t="e">
        <f>IF(#REF!&lt;&gt;"N/A",Priority!$C5,"")</f>
        <v>#REF!</v>
      </c>
      <c r="AP5" s="29" t="e">
        <f>IF(#REF!&lt;&gt;"N/A",Priority!$C5,"")</f>
        <v>#REF!</v>
      </c>
      <c r="AQ5" s="29" t="e">
        <f>IF(#REF!&lt;&gt;"N/A",Priority!$C5,"")</f>
        <v>#REF!</v>
      </c>
      <c r="AR5" s="29" t="e">
        <f>IF(#REF!&lt;&gt;"N/A",Priority!$C5,"")</f>
        <v>#REF!</v>
      </c>
      <c r="AS5" s="29" t="e">
        <f>IF(#REF!&lt;&gt;"N/A",Priority!$C5,"")</f>
        <v>#REF!</v>
      </c>
      <c r="AT5" s="29" t="e">
        <f>IF(#REF!&lt;&gt;"N/A",Priority!$C5,"")</f>
        <v>#REF!</v>
      </c>
      <c r="AU5" s="31"/>
      <c r="AV5" s="29" t="e">
        <f>IF(#REF!&lt;&gt;"N/A",Priority!$C5,"")</f>
        <v>#REF!</v>
      </c>
      <c r="AW5" s="29" t="e">
        <f>IF(#REF!&lt;&gt;"N/A",Priority!$C5,"")</f>
        <v>#REF!</v>
      </c>
      <c r="AX5" s="29" t="e">
        <f>IF(#REF!&lt;&gt;"N/A",Priority!$C5,"")</f>
        <v>#REF!</v>
      </c>
      <c r="AY5" s="29" t="e">
        <f>IF(#REF!&lt;&gt;"N/A",Priority!$C5,"")</f>
        <v>#REF!</v>
      </c>
      <c r="AZ5" s="29" t="e">
        <f>IF(#REF!&lt;&gt;"N/A",Priority!$C5,"")</f>
        <v>#REF!</v>
      </c>
      <c r="BA5" s="29" t="e">
        <f>IF(#REF!&lt;&gt;"N/A",Priority!$C5,"")</f>
        <v>#REF!</v>
      </c>
      <c r="BB5" s="29" t="e">
        <f>IF(#REF!&lt;&gt;"N/A",Priority!$C5,"")</f>
        <v>#REF!</v>
      </c>
      <c r="BC5" s="31"/>
      <c r="BD5" s="29" t="e">
        <f>IF(#REF!&lt;&gt;"N/A",Priority!$C5,"")</f>
        <v>#REF!</v>
      </c>
      <c r="BE5" s="29" t="e">
        <f>IF(#REF!&lt;&gt;"N/A",Priority!$C5,"")</f>
        <v>#REF!</v>
      </c>
      <c r="BF5" s="29" t="e">
        <f>IF(#REF!&lt;&gt;"N/A",Priority!$C5,"")</f>
        <v>#REF!</v>
      </c>
      <c r="BG5" s="29" t="e">
        <f>IF(#REF!&lt;&gt;"N/A",Priority!$C5,"")</f>
        <v>#REF!</v>
      </c>
      <c r="BH5" s="29" t="e">
        <f>IF(#REF!&lt;&gt;"N/A",Priority!$C5,"")</f>
        <v>#REF!</v>
      </c>
      <c r="BI5" s="29" t="e">
        <f>IF(#REF!&lt;&gt;"N/A",Priority!$C5,"")</f>
        <v>#REF!</v>
      </c>
      <c r="BJ5" s="29" t="e">
        <f>IF(#REF!&lt;&gt;"N/A",Priority!$C5,"")</f>
        <v>#REF!</v>
      </c>
      <c r="BK5" s="29" t="e">
        <f>IF(#REF!&lt;&gt;"N/A",Priority!$C5,"")</f>
        <v>#REF!</v>
      </c>
      <c r="BL5" s="29" t="e">
        <f>IF(#REF!&lt;&gt;"N/A",Priority!$C5,"")</f>
        <v>#REF!</v>
      </c>
      <c r="BM5" s="31"/>
      <c r="BN5" s="29" t="e">
        <f>IF(#REF!&lt;&gt;"N/A",Priority!$C5,"")</f>
        <v>#REF!</v>
      </c>
      <c r="BO5" s="29" t="e">
        <f>IF(#REF!&lt;&gt;"N/A",Priority!$C5,"")</f>
        <v>#REF!</v>
      </c>
      <c r="BP5" s="29" t="e">
        <f>IF(#REF!&lt;&gt;"N/A",Priority!$C5,"")</f>
        <v>#REF!</v>
      </c>
      <c r="BQ5" s="29" t="e">
        <f>IF(#REF!&lt;&gt;"N/A",Priority!$C5,"")</f>
        <v>#REF!</v>
      </c>
      <c r="BR5" s="29" t="e">
        <f>IF(#REF!&lt;&gt;"N/A",Priority!$C5,"")</f>
        <v>#REF!</v>
      </c>
      <c r="BS5" s="29" t="e">
        <f>IF(#REF!&lt;&gt;"N/A",Priority!$C5,"")</f>
        <v>#REF!</v>
      </c>
      <c r="BT5" s="29" t="e">
        <f>IF(#REF!&lt;&gt;"N/A",Priority!$C5,"")</f>
        <v>#REF!</v>
      </c>
      <c r="BU5" s="31"/>
      <c r="BV5" s="29" t="e">
        <f>IF(#REF!&lt;&gt;"N/A",Priority!$C5,"")</f>
        <v>#REF!</v>
      </c>
      <c r="BW5" s="29" t="e">
        <f>IF(#REF!&lt;&gt;"N/A",Priority!$C5,"")</f>
        <v>#REF!</v>
      </c>
      <c r="BX5" s="29" t="e">
        <f>IF(#REF!&lt;&gt;"N/A",Priority!$C5,"")</f>
        <v>#REF!</v>
      </c>
      <c r="BY5" s="29" t="e">
        <f>IF(#REF!&lt;&gt;"N/A",Priority!$C5,"")</f>
        <v>#REF!</v>
      </c>
      <c r="BZ5" s="29" t="e">
        <f>IF(#REF!&lt;&gt;"N/A",Priority!$C5,"")</f>
        <v>#REF!</v>
      </c>
      <c r="CA5" s="29" t="e">
        <f>IF(#REF!&lt;&gt;"N/A",Priority!$C5,"")</f>
        <v>#REF!</v>
      </c>
      <c r="CB5" s="31"/>
      <c r="CC5" s="29" t="e">
        <f>IF(#REF!&lt;&gt;"N/A",Priority!$C5,"")</f>
        <v>#REF!</v>
      </c>
      <c r="CD5" s="29" t="e">
        <f>IF(#REF!&lt;&gt;"N/A",Priority!$C5,"")</f>
        <v>#REF!</v>
      </c>
      <c r="CE5" s="29" t="e">
        <f>IF(#REF!&lt;&gt;"N/A",Priority!$C5,"")</f>
        <v>#REF!</v>
      </c>
      <c r="CF5" s="29" t="e">
        <f>IF(#REF!&lt;&gt;"N/A",Priority!$C5,"")</f>
        <v>#REF!</v>
      </c>
      <c r="CG5" s="8"/>
    </row>
    <row r="6" spans="1:86" ht="30">
      <c r="A6" s="15" t="e">
        <f>#REF!</f>
        <v>#REF!</v>
      </c>
      <c r="B6" s="15" t="e">
        <f>#REF!</f>
        <v>#REF!</v>
      </c>
      <c r="C6" s="15" t="e">
        <f>#REF!</f>
        <v>#REF!</v>
      </c>
      <c r="D6" s="20" t="s">
        <v>169</v>
      </c>
      <c r="E6" s="30" t="str">
        <f>IF(COUNTIFS(F6:CF6,"F")+COUNTIFS(F6:CF6,"NT")&gt;0,"In Test",IF(COUNTIFS(F6:CF6,"P")+COUNTIFS(F6:CF6,"A")&gt;0,"Pass","Pending"))</f>
        <v>Pending</v>
      </c>
      <c r="F6" s="30" t="str">
        <f xml:space="preserve"> "Pass:  "&amp; COUNTIFS(G6:CG6,"P")&amp;  "     /Accept:  "&amp; COUNTIFS(G6:CG6,"A")&amp;  "/     Fail:  "&amp; COUNTIFS(G6:CG6,"Fail") &amp;  "/     NT:  "&amp; COUNTIFS(G6:CG6,"NT")</f>
        <v>Pass:  0     /Accept:  0/     Fail:  0/     NT:  0</v>
      </c>
      <c r="G6" s="29" t="e">
        <f>IF(#REF!&lt;&gt;"N/A",Priority!$C6,"")</f>
        <v>#REF!</v>
      </c>
      <c r="H6" s="29" t="e">
        <f>IF(#REF!&lt;&gt;"N/A",Priority!$C6,"")</f>
        <v>#REF!</v>
      </c>
      <c r="I6" s="29" t="e">
        <f>IF(#REF!&lt;&gt;"N/A",Priority!$C6,"")</f>
        <v>#REF!</v>
      </c>
      <c r="J6" s="29" t="e">
        <f>IF(#REF!&lt;&gt;"N/A",Priority!$C6,"")</f>
        <v>#REF!</v>
      </c>
      <c r="K6" s="29" t="e">
        <f>IF(#REF!&lt;&gt;"N/A",Priority!$C6,"")</f>
        <v>#REF!</v>
      </c>
      <c r="L6" s="31"/>
      <c r="M6" s="29" t="e">
        <f>IF(#REF!&lt;&gt;"N/A",Priority!$C6,"")</f>
        <v>#REF!</v>
      </c>
      <c r="N6" s="29" t="e">
        <f>IF(#REF!&lt;&gt;"N/A",Priority!$C6,"")</f>
        <v>#REF!</v>
      </c>
      <c r="O6" s="29" t="e">
        <f>IF(#REF!&lt;&gt;"N/A",Priority!$C6,"")</f>
        <v>#REF!</v>
      </c>
      <c r="P6" s="29" t="e">
        <f>IF(#REF!&lt;&gt;"N/A",Priority!$C6,"")</f>
        <v>#REF!</v>
      </c>
      <c r="Q6" s="29" t="e">
        <f>IF(#REF!&lt;&gt;"N/A",Priority!$C6,"")</f>
        <v>#REF!</v>
      </c>
      <c r="R6" s="31"/>
      <c r="S6" s="29" t="e">
        <f>IF(#REF!&lt;&gt;"N/A",Priority!$C6,"")</f>
        <v>#REF!</v>
      </c>
      <c r="T6" s="29" t="e">
        <f>IF(#REF!&lt;&gt;"N/A",Priority!$C6,"")</f>
        <v>#REF!</v>
      </c>
      <c r="U6" s="29" t="e">
        <f>IF(#REF!&lt;&gt;"N/A",Priority!$C6,"")</f>
        <v>#REF!</v>
      </c>
      <c r="V6" s="29" t="e">
        <f>IF(#REF!&lt;&gt;"N/A",Priority!$C6,"")</f>
        <v>#REF!</v>
      </c>
      <c r="W6" s="29" t="e">
        <f>IF(#REF!&lt;&gt;"N/A",Priority!$C6,"")</f>
        <v>#REF!</v>
      </c>
      <c r="X6" s="29" t="e">
        <f>IF(#REF!&lt;&gt;"N/A",Priority!$C6,"")</f>
        <v>#REF!</v>
      </c>
      <c r="Y6" s="31"/>
      <c r="Z6" s="29" t="e">
        <f>IF(#REF!&lt;&gt;"N/A",Priority!$C6,"")</f>
        <v>#REF!</v>
      </c>
      <c r="AA6" s="29" t="e">
        <f>IF(#REF!&lt;&gt;"N/A",Priority!$C6,"")</f>
        <v>#REF!</v>
      </c>
      <c r="AB6" s="29" t="e">
        <f>IF(#REF!&lt;&gt;"N/A",Priority!$C6,"")</f>
        <v>#REF!</v>
      </c>
      <c r="AC6" s="29" t="e">
        <f>IF(#REF!&lt;&gt;"N/A",Priority!$C6,"")</f>
        <v>#REF!</v>
      </c>
      <c r="AD6" s="29" t="e">
        <f>IF(#REF!&lt;&gt;"N/A",Priority!$C6,"")</f>
        <v>#REF!</v>
      </c>
      <c r="AE6" s="29" t="e">
        <f>IF(#REF!&lt;&gt;"N/A",Priority!$C6,"")</f>
        <v>#REF!</v>
      </c>
      <c r="AF6" s="29" t="e">
        <f>IF(#REF!&lt;&gt;"N/A",Priority!$C6,"")</f>
        <v>#REF!</v>
      </c>
      <c r="AG6" s="29" t="e">
        <f>IF(#REF!&lt;&gt;"N/A",Priority!$C6,"")</f>
        <v>#REF!</v>
      </c>
      <c r="AH6" s="29" t="e">
        <f>IF(#REF!&lt;&gt;"N/A",Priority!$C6,"")</f>
        <v>#REF!</v>
      </c>
      <c r="AI6" s="29" t="e">
        <f>IF(#REF!&lt;&gt;"N/A",Priority!$C6,"")</f>
        <v>#REF!</v>
      </c>
      <c r="AJ6" s="31"/>
      <c r="AK6" s="29" t="e">
        <f>IF(#REF!&lt;&gt;"N/A",Priority!$C6,"")</f>
        <v>#REF!</v>
      </c>
      <c r="AL6" s="29" t="e">
        <f>IF(#REF!&lt;&gt;"N/A",Priority!$C6,"")</f>
        <v>#REF!</v>
      </c>
      <c r="AM6" s="29" t="e">
        <f>IF(#REF!&lt;&gt;"N/A",Priority!$C6,"")</f>
        <v>#REF!</v>
      </c>
      <c r="AN6" s="29" t="e">
        <f>IF(#REF!&lt;&gt;"N/A",Priority!$C6,"")</f>
        <v>#REF!</v>
      </c>
      <c r="AO6" s="29" t="e">
        <f>IF(#REF!&lt;&gt;"N/A",Priority!$C6,"")</f>
        <v>#REF!</v>
      </c>
      <c r="AP6" s="29" t="e">
        <f>IF(#REF!&lt;&gt;"N/A",Priority!$C6,"")</f>
        <v>#REF!</v>
      </c>
      <c r="AQ6" s="29" t="e">
        <f>IF(#REF!&lt;&gt;"N/A",Priority!$C6,"")</f>
        <v>#REF!</v>
      </c>
      <c r="AR6" s="29" t="e">
        <f>IF(#REF!&lt;&gt;"N/A",Priority!$C6,"")</f>
        <v>#REF!</v>
      </c>
      <c r="AS6" s="29" t="e">
        <f>IF(#REF!&lt;&gt;"N/A",Priority!$C6,"")</f>
        <v>#REF!</v>
      </c>
      <c r="AT6" s="29" t="e">
        <f>IF(#REF!&lt;&gt;"N/A",Priority!$C6,"")</f>
        <v>#REF!</v>
      </c>
      <c r="AU6" s="31"/>
      <c r="AV6" s="29" t="e">
        <f>IF(#REF!&lt;&gt;"N/A",Priority!$C6,"")</f>
        <v>#REF!</v>
      </c>
      <c r="AW6" s="29" t="e">
        <f>IF(#REF!&lt;&gt;"N/A",Priority!$C6,"")</f>
        <v>#REF!</v>
      </c>
      <c r="AX6" s="29" t="e">
        <f>IF(#REF!&lt;&gt;"N/A",Priority!$C6,"")</f>
        <v>#REF!</v>
      </c>
      <c r="AY6" s="29" t="e">
        <f>IF(#REF!&lt;&gt;"N/A",Priority!$C6,"")</f>
        <v>#REF!</v>
      </c>
      <c r="AZ6" s="29" t="e">
        <f>IF(#REF!&lt;&gt;"N/A",Priority!$C6,"")</f>
        <v>#REF!</v>
      </c>
      <c r="BA6" s="29" t="e">
        <f>IF(#REF!&lt;&gt;"N/A",Priority!$C6,"")</f>
        <v>#REF!</v>
      </c>
      <c r="BB6" s="29" t="e">
        <f>IF(#REF!&lt;&gt;"N/A",Priority!$C6,"")</f>
        <v>#REF!</v>
      </c>
      <c r="BC6" s="31"/>
      <c r="BD6" s="29" t="e">
        <f>IF(#REF!&lt;&gt;"N/A",Priority!$C6,"")</f>
        <v>#REF!</v>
      </c>
      <c r="BE6" s="29" t="e">
        <f>IF(#REF!&lt;&gt;"N/A",Priority!$C6,"")</f>
        <v>#REF!</v>
      </c>
      <c r="BF6" s="29" t="e">
        <f>IF(#REF!&lt;&gt;"N/A",Priority!$C6,"")</f>
        <v>#REF!</v>
      </c>
      <c r="BG6" s="29" t="e">
        <f>IF(#REF!&lt;&gt;"N/A",Priority!$C6,"")</f>
        <v>#REF!</v>
      </c>
      <c r="BH6" s="29" t="e">
        <f>IF(#REF!&lt;&gt;"N/A",Priority!$C6,"")</f>
        <v>#REF!</v>
      </c>
      <c r="BI6" s="29" t="e">
        <f>IF(#REF!&lt;&gt;"N/A",Priority!$C6,"")</f>
        <v>#REF!</v>
      </c>
      <c r="BJ6" s="29" t="e">
        <f>IF(#REF!&lt;&gt;"N/A",Priority!$C6,"")</f>
        <v>#REF!</v>
      </c>
      <c r="BK6" s="29" t="e">
        <f>IF(#REF!&lt;&gt;"N/A",Priority!$C6,"")</f>
        <v>#REF!</v>
      </c>
      <c r="BL6" s="29" t="e">
        <f>IF(#REF!&lt;&gt;"N/A",Priority!$C6,"")</f>
        <v>#REF!</v>
      </c>
      <c r="BM6" s="31"/>
      <c r="BN6" s="29" t="e">
        <f>IF(#REF!&lt;&gt;"N/A",Priority!$C6,"")</f>
        <v>#REF!</v>
      </c>
      <c r="BO6" s="29" t="e">
        <f>IF(#REF!&lt;&gt;"N/A",Priority!$C6,"")</f>
        <v>#REF!</v>
      </c>
      <c r="BP6" s="29" t="e">
        <f>IF(#REF!&lt;&gt;"N/A",Priority!$C6,"")</f>
        <v>#REF!</v>
      </c>
      <c r="BQ6" s="29" t="e">
        <f>IF(#REF!&lt;&gt;"N/A",Priority!$C6,"")</f>
        <v>#REF!</v>
      </c>
      <c r="BR6" s="29" t="e">
        <f>IF(#REF!&lt;&gt;"N/A",Priority!$C6,"")</f>
        <v>#REF!</v>
      </c>
      <c r="BS6" s="29" t="e">
        <f>IF(#REF!&lt;&gt;"N/A",Priority!$C6,"")</f>
        <v>#REF!</v>
      </c>
      <c r="BT6" s="29" t="e">
        <f>IF(#REF!&lt;&gt;"N/A",Priority!$C6,"")</f>
        <v>#REF!</v>
      </c>
      <c r="BU6" s="31"/>
      <c r="BV6" s="29" t="e">
        <f>IF(#REF!&lt;&gt;"N/A",Priority!$C6,"")</f>
        <v>#REF!</v>
      </c>
      <c r="BW6" s="29" t="e">
        <f>IF(#REF!&lt;&gt;"N/A",Priority!$C6,"")</f>
        <v>#REF!</v>
      </c>
      <c r="BX6" s="29" t="e">
        <f>IF(#REF!&lt;&gt;"N/A",Priority!$C6,"")</f>
        <v>#REF!</v>
      </c>
      <c r="BY6" s="29" t="e">
        <f>IF(#REF!&lt;&gt;"N/A",Priority!$C6,"")</f>
        <v>#REF!</v>
      </c>
      <c r="BZ6" s="29" t="e">
        <f>IF(#REF!&lt;&gt;"N/A",Priority!$C6,"")</f>
        <v>#REF!</v>
      </c>
      <c r="CA6" s="29" t="e">
        <f>IF(#REF!&lt;&gt;"N/A",Priority!$C6,"")</f>
        <v>#REF!</v>
      </c>
      <c r="CB6" s="31"/>
      <c r="CC6" s="29" t="e">
        <f>IF(#REF!&lt;&gt;"N/A",Priority!$C6,"")</f>
        <v>#REF!</v>
      </c>
      <c r="CD6" s="29" t="e">
        <f>IF(#REF!&lt;&gt;"N/A",Priority!$C6,"")</f>
        <v>#REF!</v>
      </c>
      <c r="CE6" s="29" t="e">
        <f>IF(#REF!&lt;&gt;"N/A",Priority!$C6,"")</f>
        <v>#REF!</v>
      </c>
      <c r="CF6" s="29" t="e">
        <f>IF(#REF!&lt;&gt;"N/A",Priority!$C6,"")</f>
        <v>#REF!</v>
      </c>
      <c r="CG6" s="8"/>
    </row>
    <row r="7" spans="1:86" ht="30">
      <c r="A7" s="15" t="e">
        <f>#REF!</f>
        <v>#REF!</v>
      </c>
      <c r="B7" s="15" t="e">
        <f>#REF!</f>
        <v>#REF!</v>
      </c>
      <c r="C7" s="15" t="e">
        <f>#REF!</f>
        <v>#REF!</v>
      </c>
      <c r="D7" s="20" t="s">
        <v>169</v>
      </c>
      <c r="E7" s="30" t="str">
        <f>IF(COUNTIFS(F7:CF7,"F")+COUNTIFS(F7:CF7,"NT")&gt;0,"In Test",IF(COUNTIFS(F7:CF7,"P")+COUNTIFS(F7:CF7,"A")&gt;0,"Pass","Pending"))</f>
        <v>Pending</v>
      </c>
      <c r="F7" s="30" t="str">
        <f xml:space="preserve"> "Pass:  "&amp; COUNTIFS(G7:CG7,"P")&amp;  "     /Accept:  "&amp; COUNTIFS(G7:CG7,"A")&amp;  "/     Fail:  "&amp; COUNTIFS(G7:CG7,"Fail") &amp;  "/     NT:  "&amp; COUNTIFS(G7:CG7,"NT")</f>
        <v>Pass:  0     /Accept:  0/     Fail:  0/     NT:  0</v>
      </c>
      <c r="G7" s="29" t="e">
        <f>IF(#REF!&lt;&gt;"N/A",Priority!$C7,"")</f>
        <v>#REF!</v>
      </c>
      <c r="H7" s="29" t="e">
        <f>IF(#REF!&lt;&gt;"N/A",Priority!$C7,"")</f>
        <v>#REF!</v>
      </c>
      <c r="I7" s="29" t="e">
        <f>IF(#REF!&lt;&gt;"N/A",Priority!$C7,"")</f>
        <v>#REF!</v>
      </c>
      <c r="J7" s="29" t="e">
        <f>IF(#REF!&lt;&gt;"N/A",Priority!$C7,"")</f>
        <v>#REF!</v>
      </c>
      <c r="K7" s="29" t="e">
        <f>IF(#REF!&lt;&gt;"N/A",Priority!$C7,"")</f>
        <v>#REF!</v>
      </c>
      <c r="L7" s="31"/>
      <c r="M7" s="29" t="e">
        <f>IF(#REF!&lt;&gt;"N/A",Priority!$C7,"")</f>
        <v>#REF!</v>
      </c>
      <c r="N7" s="29" t="e">
        <f>IF(#REF!&lt;&gt;"N/A",Priority!$C7,"")</f>
        <v>#REF!</v>
      </c>
      <c r="O7" s="29" t="e">
        <f>IF(#REF!&lt;&gt;"N/A",Priority!$C7,"")</f>
        <v>#REF!</v>
      </c>
      <c r="P7" s="29" t="e">
        <f>IF(#REF!&lt;&gt;"N/A",Priority!$C7,"")</f>
        <v>#REF!</v>
      </c>
      <c r="Q7" s="29" t="e">
        <f>IF(#REF!&lt;&gt;"N/A",Priority!$C7,"")</f>
        <v>#REF!</v>
      </c>
      <c r="R7" s="31"/>
      <c r="S7" s="29" t="e">
        <f>IF(#REF!&lt;&gt;"N/A",Priority!$C7,"")</f>
        <v>#REF!</v>
      </c>
      <c r="T7" s="29" t="e">
        <f>IF(#REF!&lt;&gt;"N/A",Priority!$C7,"")</f>
        <v>#REF!</v>
      </c>
      <c r="U7" s="29" t="e">
        <f>IF(#REF!&lt;&gt;"N/A",Priority!$C7,"")</f>
        <v>#REF!</v>
      </c>
      <c r="V7" s="29" t="e">
        <f>IF(#REF!&lt;&gt;"N/A",Priority!$C7,"")</f>
        <v>#REF!</v>
      </c>
      <c r="W7" s="29" t="e">
        <f>IF(#REF!&lt;&gt;"N/A",Priority!$C7,"")</f>
        <v>#REF!</v>
      </c>
      <c r="X7" s="29" t="e">
        <f>IF(#REF!&lt;&gt;"N/A",Priority!$C7,"")</f>
        <v>#REF!</v>
      </c>
      <c r="Y7" s="31"/>
      <c r="Z7" s="29" t="e">
        <f>IF(#REF!&lt;&gt;"N/A",Priority!$C7,"")</f>
        <v>#REF!</v>
      </c>
      <c r="AA7" s="29" t="e">
        <f>IF(#REF!&lt;&gt;"N/A",Priority!$C7,"")</f>
        <v>#REF!</v>
      </c>
      <c r="AB7" s="29" t="e">
        <f>IF(#REF!&lt;&gt;"N/A",Priority!$C7,"")</f>
        <v>#REF!</v>
      </c>
      <c r="AC7" s="29" t="e">
        <f>IF(#REF!&lt;&gt;"N/A",Priority!$C7,"")</f>
        <v>#REF!</v>
      </c>
      <c r="AD7" s="29" t="e">
        <f>IF(#REF!&lt;&gt;"N/A",Priority!$C7,"")</f>
        <v>#REF!</v>
      </c>
      <c r="AE7" s="29" t="e">
        <f>IF(#REF!&lt;&gt;"N/A",Priority!$C7,"")</f>
        <v>#REF!</v>
      </c>
      <c r="AF7" s="29" t="e">
        <f>IF(#REF!&lt;&gt;"N/A",Priority!$C7,"")</f>
        <v>#REF!</v>
      </c>
      <c r="AG7" s="29" t="e">
        <f>IF(#REF!&lt;&gt;"N/A",Priority!$C7,"")</f>
        <v>#REF!</v>
      </c>
      <c r="AH7" s="29" t="e">
        <f>IF(#REF!&lt;&gt;"N/A",Priority!$C7,"")</f>
        <v>#REF!</v>
      </c>
      <c r="AI7" s="29" t="e">
        <f>IF(#REF!&lt;&gt;"N/A",Priority!$C7,"")</f>
        <v>#REF!</v>
      </c>
      <c r="AJ7" s="31"/>
      <c r="AK7" s="29" t="e">
        <f>IF(#REF!&lt;&gt;"N/A",Priority!$C7,"")</f>
        <v>#REF!</v>
      </c>
      <c r="AL7" s="29" t="e">
        <f>IF(#REF!&lt;&gt;"N/A",Priority!$C7,"")</f>
        <v>#REF!</v>
      </c>
      <c r="AM7" s="29" t="e">
        <f>IF(#REF!&lt;&gt;"N/A",Priority!$C7,"")</f>
        <v>#REF!</v>
      </c>
      <c r="AN7" s="29" t="e">
        <f>IF(#REF!&lt;&gt;"N/A",Priority!$C7,"")</f>
        <v>#REF!</v>
      </c>
      <c r="AO7" s="29" t="e">
        <f>IF(#REF!&lt;&gt;"N/A",Priority!$C7,"")</f>
        <v>#REF!</v>
      </c>
      <c r="AP7" s="29" t="e">
        <f>IF(#REF!&lt;&gt;"N/A",Priority!$C7,"")</f>
        <v>#REF!</v>
      </c>
      <c r="AQ7" s="29" t="e">
        <f>IF(#REF!&lt;&gt;"N/A",Priority!$C7,"")</f>
        <v>#REF!</v>
      </c>
      <c r="AR7" s="29" t="e">
        <f>IF(#REF!&lt;&gt;"N/A",Priority!$C7,"")</f>
        <v>#REF!</v>
      </c>
      <c r="AS7" s="29" t="e">
        <f>IF(#REF!&lt;&gt;"N/A",Priority!$C7,"")</f>
        <v>#REF!</v>
      </c>
      <c r="AT7" s="29" t="e">
        <f>IF(#REF!&lt;&gt;"N/A",Priority!$C7,"")</f>
        <v>#REF!</v>
      </c>
      <c r="AU7" s="31"/>
      <c r="AV7" s="29" t="e">
        <f>IF(#REF!&lt;&gt;"N/A",Priority!$C7,"")</f>
        <v>#REF!</v>
      </c>
      <c r="AW7" s="29" t="e">
        <f>IF(#REF!&lt;&gt;"N/A",Priority!$C7,"")</f>
        <v>#REF!</v>
      </c>
      <c r="AX7" s="29" t="e">
        <f>IF(#REF!&lt;&gt;"N/A",Priority!$C7,"")</f>
        <v>#REF!</v>
      </c>
      <c r="AY7" s="29" t="e">
        <f>IF(#REF!&lt;&gt;"N/A",Priority!$C7,"")</f>
        <v>#REF!</v>
      </c>
      <c r="AZ7" s="29" t="e">
        <f>IF(#REF!&lt;&gt;"N/A",Priority!$C7,"")</f>
        <v>#REF!</v>
      </c>
      <c r="BA7" s="29" t="e">
        <f>IF(#REF!&lt;&gt;"N/A",Priority!$C7,"")</f>
        <v>#REF!</v>
      </c>
      <c r="BB7" s="29" t="e">
        <f>IF(#REF!&lt;&gt;"N/A",Priority!$C7,"")</f>
        <v>#REF!</v>
      </c>
      <c r="BC7" s="31"/>
      <c r="BD7" s="29" t="e">
        <f>IF(#REF!&lt;&gt;"N/A",Priority!$C7,"")</f>
        <v>#REF!</v>
      </c>
      <c r="BE7" s="29" t="e">
        <f>IF(#REF!&lt;&gt;"N/A",Priority!$C7,"")</f>
        <v>#REF!</v>
      </c>
      <c r="BF7" s="29" t="e">
        <f>IF(#REF!&lt;&gt;"N/A",Priority!$C7,"")</f>
        <v>#REF!</v>
      </c>
      <c r="BG7" s="29" t="e">
        <f>IF(#REF!&lt;&gt;"N/A",Priority!$C7,"")</f>
        <v>#REF!</v>
      </c>
      <c r="BH7" s="29" t="e">
        <f>IF(#REF!&lt;&gt;"N/A",Priority!$C7,"")</f>
        <v>#REF!</v>
      </c>
      <c r="BI7" s="29" t="e">
        <f>IF(#REF!&lt;&gt;"N/A",Priority!$C7,"")</f>
        <v>#REF!</v>
      </c>
      <c r="BJ7" s="29" t="e">
        <f>IF(#REF!&lt;&gt;"N/A",Priority!$C7,"")</f>
        <v>#REF!</v>
      </c>
      <c r="BK7" s="29" t="e">
        <f>IF(#REF!&lt;&gt;"N/A",Priority!$C7,"")</f>
        <v>#REF!</v>
      </c>
      <c r="BL7" s="29" t="e">
        <f>IF(#REF!&lt;&gt;"N/A",Priority!$C7,"")</f>
        <v>#REF!</v>
      </c>
      <c r="BM7" s="31"/>
      <c r="BN7" s="29" t="e">
        <f>IF(#REF!&lt;&gt;"N/A",Priority!$C7,"")</f>
        <v>#REF!</v>
      </c>
      <c r="BO7" s="29" t="e">
        <f>IF(#REF!&lt;&gt;"N/A",Priority!$C7,"")</f>
        <v>#REF!</v>
      </c>
      <c r="BP7" s="29" t="e">
        <f>IF(#REF!&lt;&gt;"N/A",Priority!$C7,"")</f>
        <v>#REF!</v>
      </c>
      <c r="BQ7" s="29" t="e">
        <f>IF(#REF!&lt;&gt;"N/A",Priority!$C7,"")</f>
        <v>#REF!</v>
      </c>
      <c r="BR7" s="29" t="e">
        <f>IF(#REF!&lt;&gt;"N/A",Priority!$C7,"")</f>
        <v>#REF!</v>
      </c>
      <c r="BS7" s="29" t="e">
        <f>IF(#REF!&lt;&gt;"N/A",Priority!$C7,"")</f>
        <v>#REF!</v>
      </c>
      <c r="BT7" s="29" t="e">
        <f>IF(#REF!&lt;&gt;"N/A",Priority!$C7,"")</f>
        <v>#REF!</v>
      </c>
      <c r="BU7" s="31"/>
      <c r="BV7" s="29" t="e">
        <f>IF(#REF!&lt;&gt;"N/A",Priority!$C7,"")</f>
        <v>#REF!</v>
      </c>
      <c r="BW7" s="29" t="e">
        <f>IF(#REF!&lt;&gt;"N/A",Priority!$C7,"")</f>
        <v>#REF!</v>
      </c>
      <c r="BX7" s="29" t="e">
        <f>IF(#REF!&lt;&gt;"N/A",Priority!$C7,"")</f>
        <v>#REF!</v>
      </c>
      <c r="BY7" s="29" t="e">
        <f>IF(#REF!&lt;&gt;"N/A",Priority!$C7,"")</f>
        <v>#REF!</v>
      </c>
      <c r="BZ7" s="29" t="e">
        <f>IF(#REF!&lt;&gt;"N/A",Priority!$C7,"")</f>
        <v>#REF!</v>
      </c>
      <c r="CA7" s="29" t="e">
        <f>IF(#REF!&lt;&gt;"N/A",Priority!$C7,"")</f>
        <v>#REF!</v>
      </c>
      <c r="CB7" s="31"/>
      <c r="CC7" s="29" t="e">
        <f>IF(#REF!&lt;&gt;"N/A",Priority!$C7,"")</f>
        <v>#REF!</v>
      </c>
      <c r="CD7" s="29" t="e">
        <f>IF(#REF!&lt;&gt;"N/A",Priority!$C7,"")</f>
        <v>#REF!</v>
      </c>
      <c r="CE7" s="29" t="e">
        <f>IF(#REF!&lt;&gt;"N/A",Priority!$C7,"")</f>
        <v>#REF!</v>
      </c>
      <c r="CF7" s="29" t="e">
        <f>IF(#REF!&lt;&gt;"N/A",Priority!$C7,"")</f>
        <v>#REF!</v>
      </c>
      <c r="CG7" s="8"/>
    </row>
    <row r="8" spans="1:86" ht="24.75" customHeight="1">
      <c r="A8" s="4" t="e">
        <f>#REF!</f>
        <v>#REF!</v>
      </c>
      <c r="B8" s="4"/>
      <c r="C8" s="2"/>
      <c r="D8" s="21"/>
      <c r="E8" s="21"/>
      <c r="F8" s="6"/>
      <c r="G8" s="6"/>
      <c r="H8" s="6"/>
      <c r="I8" s="6"/>
      <c r="J8" s="6"/>
      <c r="K8" s="6"/>
      <c r="L8" s="34"/>
      <c r="M8" s="6"/>
      <c r="N8" s="6"/>
      <c r="O8" s="6"/>
      <c r="P8" s="6"/>
      <c r="Q8" s="6"/>
      <c r="R8" s="34"/>
      <c r="S8" s="6"/>
      <c r="T8" s="6"/>
      <c r="U8" s="6"/>
      <c r="V8" s="6"/>
      <c r="W8" s="6"/>
      <c r="X8" s="6"/>
      <c r="Y8" s="34"/>
      <c r="Z8" s="6"/>
      <c r="AA8" s="6"/>
      <c r="AB8" s="6"/>
      <c r="AC8" s="6"/>
      <c r="AD8" s="6"/>
      <c r="AE8" s="6"/>
      <c r="AF8" s="6"/>
      <c r="AG8" s="6"/>
      <c r="AH8" s="6"/>
      <c r="AI8" s="6"/>
      <c r="AJ8" s="34"/>
      <c r="AK8" s="6"/>
      <c r="AL8" s="6"/>
      <c r="AM8" s="6"/>
      <c r="AN8" s="6"/>
      <c r="AO8" s="6"/>
      <c r="AP8" s="6"/>
      <c r="AQ8" s="6"/>
      <c r="AR8" s="6"/>
      <c r="AS8" s="6"/>
      <c r="AT8" s="6"/>
      <c r="AU8" s="34"/>
      <c r="AV8" s="6"/>
      <c r="AW8" s="6"/>
      <c r="AX8" s="6"/>
      <c r="AY8" s="6"/>
      <c r="AZ8" s="6"/>
      <c r="BA8" s="6"/>
      <c r="BB8" s="6"/>
      <c r="BC8" s="34"/>
      <c r="BD8" s="6"/>
      <c r="BE8" s="6"/>
      <c r="BF8" s="6"/>
      <c r="BG8" s="6"/>
      <c r="BH8" s="6"/>
      <c r="BI8" s="6"/>
      <c r="BJ8" s="6"/>
      <c r="BK8" s="6"/>
      <c r="BL8" s="6"/>
      <c r="BM8" s="34"/>
      <c r="BN8" s="6"/>
      <c r="BO8" s="6"/>
      <c r="BP8" s="6"/>
      <c r="BQ8" s="6"/>
      <c r="BR8" s="6"/>
      <c r="BS8" s="6"/>
      <c r="BT8" s="6"/>
      <c r="BU8" s="34"/>
      <c r="BV8" s="6"/>
      <c r="BW8" s="6"/>
      <c r="BX8" s="6"/>
      <c r="BY8" s="6"/>
      <c r="BZ8" s="6"/>
      <c r="CA8" s="6"/>
      <c r="CB8" s="34"/>
      <c r="CC8" s="6"/>
      <c r="CD8" s="6"/>
      <c r="CE8" s="6"/>
      <c r="CF8" s="6"/>
      <c r="CG8" s="8"/>
    </row>
    <row r="9" spans="1:86" ht="30">
      <c r="A9" s="15" t="e">
        <f>#REF!</f>
        <v>#REF!</v>
      </c>
      <c r="B9" s="15" t="e">
        <f>#REF!</f>
        <v>#REF!</v>
      </c>
      <c r="C9" s="15" t="e">
        <f>#REF!</f>
        <v>#REF!</v>
      </c>
      <c r="D9" s="20" t="s">
        <v>59</v>
      </c>
      <c r="E9" s="30" t="str">
        <f>IF(COUNTIFS(F9:CF9,"F")+COUNTIFS(F9:CF9,"NT")&gt;0,"In Test",IF(COUNTIFS(F9:CF9,"P")+COUNTIFS(F9:CF9,"A")&gt;0,"Pass","Pending"))</f>
        <v>Pending</v>
      </c>
      <c r="F9" s="30" t="str">
        <f xml:space="preserve"> "Pass:  "&amp; COUNTIFS(G9:CG9,"P")&amp;  "     /Accept:  "&amp; COUNTIFS(G9:CG9,"A")&amp;  "/     Fail:  "&amp; COUNTIFS(G9:CG9,"Fail") &amp;  "/     NT:  "&amp; COUNTIFS(G9:CG9,"NT")</f>
        <v>Pass:  0     /Accept:  0/     Fail:  0/     NT:  0</v>
      </c>
      <c r="G9" s="29" t="e">
        <f>IF(#REF!&lt;&gt;"N/A",Priority!$C9,"")</f>
        <v>#REF!</v>
      </c>
      <c r="H9" s="29" t="e">
        <f>IF(#REF!&lt;&gt;"N/A",Priority!$C9,"")</f>
        <v>#REF!</v>
      </c>
      <c r="I9" s="29" t="e">
        <f>IF(#REF!&lt;&gt;"N/A",Priority!$C9,"")</f>
        <v>#REF!</v>
      </c>
      <c r="J9" s="29" t="e">
        <f>IF(#REF!&lt;&gt;"N/A",Priority!$C9,"")</f>
        <v>#REF!</v>
      </c>
      <c r="K9" s="29" t="e">
        <f>IF(#REF!&lt;&gt;"N/A",Priority!$C9,"")</f>
        <v>#REF!</v>
      </c>
      <c r="L9" s="31"/>
      <c r="M9" s="29" t="e">
        <f>IF(#REF!&lt;&gt;"N/A",Priority!$C9,"")</f>
        <v>#REF!</v>
      </c>
      <c r="N9" s="29" t="e">
        <f>IF(#REF!&lt;&gt;"N/A",Priority!$C9,"")</f>
        <v>#REF!</v>
      </c>
      <c r="O9" s="29" t="e">
        <f>IF(#REF!&lt;&gt;"N/A",Priority!$C9,"")</f>
        <v>#REF!</v>
      </c>
      <c r="P9" s="29" t="e">
        <f>IF(#REF!&lt;&gt;"N/A",Priority!$C9,"")</f>
        <v>#REF!</v>
      </c>
      <c r="Q9" s="29" t="e">
        <f>IF(#REF!&lt;&gt;"N/A",Priority!$C9,"")</f>
        <v>#REF!</v>
      </c>
      <c r="R9" s="31"/>
      <c r="S9" s="29" t="e">
        <f>IF(#REF!&lt;&gt;"N/A",Priority!$C9,"")</f>
        <v>#REF!</v>
      </c>
      <c r="T9" s="29" t="e">
        <f>IF(#REF!&lt;&gt;"N/A",Priority!$C9,"")</f>
        <v>#REF!</v>
      </c>
      <c r="U9" s="29" t="e">
        <f>IF(#REF!&lt;&gt;"N/A",Priority!$C9,"")</f>
        <v>#REF!</v>
      </c>
      <c r="V9" s="29" t="e">
        <f>IF(#REF!&lt;&gt;"N/A",Priority!$C9,"")</f>
        <v>#REF!</v>
      </c>
      <c r="W9" s="29" t="e">
        <f>IF(#REF!&lt;&gt;"N/A",Priority!$C9,"")</f>
        <v>#REF!</v>
      </c>
      <c r="X9" s="29" t="e">
        <f>IF(#REF!&lt;&gt;"N/A",Priority!$C9,"")</f>
        <v>#REF!</v>
      </c>
      <c r="Y9" s="31"/>
      <c r="Z9" s="29" t="e">
        <f>IF(#REF!&lt;&gt;"N/A",Priority!$C9,"")</f>
        <v>#REF!</v>
      </c>
      <c r="AA9" s="29" t="e">
        <f>IF(#REF!&lt;&gt;"N/A",Priority!$C9,"")</f>
        <v>#REF!</v>
      </c>
      <c r="AB9" s="29" t="e">
        <f>IF(#REF!&lt;&gt;"N/A",Priority!$C9,"")</f>
        <v>#REF!</v>
      </c>
      <c r="AC9" s="29" t="e">
        <f>IF(#REF!&lt;&gt;"N/A",Priority!$C9,"")</f>
        <v>#REF!</v>
      </c>
      <c r="AD9" s="29" t="e">
        <f>IF(#REF!&lt;&gt;"N/A",Priority!$C9,"")</f>
        <v>#REF!</v>
      </c>
      <c r="AE9" s="29" t="e">
        <f>IF(#REF!&lt;&gt;"N/A",Priority!$C9,"")</f>
        <v>#REF!</v>
      </c>
      <c r="AF9" s="29" t="e">
        <f>IF(#REF!&lt;&gt;"N/A",Priority!$C9,"")</f>
        <v>#REF!</v>
      </c>
      <c r="AG9" s="29" t="e">
        <f>IF(#REF!&lt;&gt;"N/A",Priority!$C9,"")</f>
        <v>#REF!</v>
      </c>
      <c r="AH9" s="29" t="e">
        <f>IF(#REF!&lt;&gt;"N/A",Priority!$C9,"")</f>
        <v>#REF!</v>
      </c>
      <c r="AI9" s="29" t="e">
        <f>IF(#REF!&lt;&gt;"N/A",Priority!$C9,"")</f>
        <v>#REF!</v>
      </c>
      <c r="AJ9" s="31"/>
      <c r="AK9" s="29" t="e">
        <f>IF(#REF!&lt;&gt;"N/A",Priority!$C9,"")</f>
        <v>#REF!</v>
      </c>
      <c r="AL9" s="29" t="e">
        <f>IF(#REF!&lt;&gt;"N/A",Priority!$C9,"")</f>
        <v>#REF!</v>
      </c>
      <c r="AM9" s="29" t="e">
        <f>IF(#REF!&lt;&gt;"N/A",Priority!$C9,"")</f>
        <v>#REF!</v>
      </c>
      <c r="AN9" s="29" t="e">
        <f>IF(#REF!&lt;&gt;"N/A",Priority!$C9,"")</f>
        <v>#REF!</v>
      </c>
      <c r="AO9" s="29" t="e">
        <f>IF(#REF!&lt;&gt;"N/A",Priority!$C9,"")</f>
        <v>#REF!</v>
      </c>
      <c r="AP9" s="29" t="e">
        <f>IF(#REF!&lt;&gt;"N/A",Priority!$C9,"")</f>
        <v>#REF!</v>
      </c>
      <c r="AQ9" s="29" t="e">
        <f>IF(#REF!&lt;&gt;"N/A",Priority!$C9,"")</f>
        <v>#REF!</v>
      </c>
      <c r="AR9" s="29" t="e">
        <f>IF(#REF!&lt;&gt;"N/A",Priority!$C9,"")</f>
        <v>#REF!</v>
      </c>
      <c r="AS9" s="29" t="e">
        <f>IF(#REF!&lt;&gt;"N/A",Priority!$C9,"")</f>
        <v>#REF!</v>
      </c>
      <c r="AT9" s="29" t="e">
        <f>IF(#REF!&lt;&gt;"N/A",Priority!$C9,"")</f>
        <v>#REF!</v>
      </c>
      <c r="AU9" s="31"/>
      <c r="AV9" s="29" t="e">
        <f>IF(#REF!&lt;&gt;"N/A",Priority!$C9,"")</f>
        <v>#REF!</v>
      </c>
      <c r="AW9" s="29" t="e">
        <f>IF(#REF!&lt;&gt;"N/A",Priority!$C9,"")</f>
        <v>#REF!</v>
      </c>
      <c r="AX9" s="29" t="e">
        <f>IF(#REF!&lt;&gt;"N/A",Priority!$C9,"")</f>
        <v>#REF!</v>
      </c>
      <c r="AY9" s="29" t="e">
        <f>IF(#REF!&lt;&gt;"N/A",Priority!$C9,"")</f>
        <v>#REF!</v>
      </c>
      <c r="AZ9" s="29" t="e">
        <f>IF(#REF!&lt;&gt;"N/A",Priority!$C9,"")</f>
        <v>#REF!</v>
      </c>
      <c r="BA9" s="29" t="e">
        <f>IF(#REF!&lt;&gt;"N/A",Priority!$C9,"")</f>
        <v>#REF!</v>
      </c>
      <c r="BB9" s="29" t="e">
        <f>IF(#REF!&lt;&gt;"N/A",Priority!$C9,"")</f>
        <v>#REF!</v>
      </c>
      <c r="BC9" s="31"/>
      <c r="BD9" s="29" t="e">
        <f>IF(#REF!&lt;&gt;"N/A",Priority!$C9,"")</f>
        <v>#REF!</v>
      </c>
      <c r="BE9" s="29" t="e">
        <f>IF(#REF!&lt;&gt;"N/A",Priority!$C9,"")</f>
        <v>#REF!</v>
      </c>
      <c r="BF9" s="29" t="e">
        <f>IF(#REF!&lt;&gt;"N/A",Priority!$C9,"")</f>
        <v>#REF!</v>
      </c>
      <c r="BG9" s="29" t="e">
        <f>IF(#REF!&lt;&gt;"N/A",Priority!$C9,"")</f>
        <v>#REF!</v>
      </c>
      <c r="BH9" s="29" t="e">
        <f>IF(#REF!&lt;&gt;"N/A",Priority!$C9,"")</f>
        <v>#REF!</v>
      </c>
      <c r="BI9" s="29" t="e">
        <f>IF(#REF!&lt;&gt;"N/A",Priority!$C9,"")</f>
        <v>#REF!</v>
      </c>
      <c r="BJ9" s="29" t="e">
        <f>IF(#REF!&lt;&gt;"N/A",Priority!$C9,"")</f>
        <v>#REF!</v>
      </c>
      <c r="BK9" s="29" t="e">
        <f>IF(#REF!&lt;&gt;"N/A",Priority!$C9,"")</f>
        <v>#REF!</v>
      </c>
      <c r="BL9" s="29" t="e">
        <f>IF(#REF!&lt;&gt;"N/A",Priority!$C9,"")</f>
        <v>#REF!</v>
      </c>
      <c r="BM9" s="31"/>
      <c r="BN9" s="29" t="e">
        <f>IF(#REF!&lt;&gt;"N/A",Priority!$C9,"")</f>
        <v>#REF!</v>
      </c>
      <c r="BO9" s="29" t="e">
        <f>IF(#REF!&lt;&gt;"N/A",Priority!$C9,"")</f>
        <v>#REF!</v>
      </c>
      <c r="BP9" s="29" t="e">
        <f>IF(#REF!&lt;&gt;"N/A",Priority!$C9,"")</f>
        <v>#REF!</v>
      </c>
      <c r="BQ9" s="29" t="e">
        <f>IF(#REF!&lt;&gt;"N/A",Priority!$C9,"")</f>
        <v>#REF!</v>
      </c>
      <c r="BR9" s="29" t="e">
        <f>IF(#REF!&lt;&gt;"N/A",Priority!$C9,"")</f>
        <v>#REF!</v>
      </c>
      <c r="BS9" s="29" t="e">
        <f>IF(#REF!&lt;&gt;"N/A",Priority!$C9,"")</f>
        <v>#REF!</v>
      </c>
      <c r="BT9" s="29" t="e">
        <f>IF(#REF!&lt;&gt;"N/A",Priority!$C9,"")</f>
        <v>#REF!</v>
      </c>
      <c r="BU9" s="31"/>
      <c r="BV9" s="29" t="e">
        <f>IF(#REF!&lt;&gt;"N/A",Priority!$C9,"")</f>
        <v>#REF!</v>
      </c>
      <c r="BW9" s="29" t="e">
        <f>IF(#REF!&lt;&gt;"N/A",Priority!$C9,"")</f>
        <v>#REF!</v>
      </c>
      <c r="BX9" s="29" t="e">
        <f>IF(#REF!&lt;&gt;"N/A",Priority!$C9,"")</f>
        <v>#REF!</v>
      </c>
      <c r="BY9" s="29" t="e">
        <f>IF(#REF!&lt;&gt;"N/A",Priority!$C9,"")</f>
        <v>#REF!</v>
      </c>
      <c r="BZ9" s="29" t="e">
        <f>IF(#REF!&lt;&gt;"N/A",Priority!$C9,"")</f>
        <v>#REF!</v>
      </c>
      <c r="CA9" s="29" t="e">
        <f>IF(#REF!&lt;&gt;"N/A",Priority!$C9,"")</f>
        <v>#REF!</v>
      </c>
      <c r="CB9" s="31"/>
      <c r="CC9" s="29" t="e">
        <f>IF(#REF!&lt;&gt;"N/A",Priority!$C9,"")</f>
        <v>#REF!</v>
      </c>
      <c r="CD9" s="29" t="e">
        <f>IF(#REF!&lt;&gt;"N/A",Priority!$C9,"")</f>
        <v>#REF!</v>
      </c>
      <c r="CE9" s="29" t="e">
        <f>IF(#REF!&lt;&gt;"N/A",Priority!$C9,"")</f>
        <v>#REF!</v>
      </c>
      <c r="CF9" s="29" t="e">
        <f>IF(#REF!&lt;&gt;"N/A",Priority!$C9,"")</f>
        <v>#REF!</v>
      </c>
      <c r="CG9" s="8"/>
    </row>
    <row r="10" spans="1:86" ht="30">
      <c r="A10" s="15" t="e">
        <f>#REF!</f>
        <v>#REF!</v>
      </c>
      <c r="B10" s="15" t="e">
        <f>#REF!</f>
        <v>#REF!</v>
      </c>
      <c r="C10" s="15" t="e">
        <f>#REF!</f>
        <v>#REF!</v>
      </c>
      <c r="D10" s="20" t="s">
        <v>152</v>
      </c>
      <c r="E10" s="30" t="str">
        <f>IF(COUNTIFS(F10:CF10,"F")+COUNTIFS(F10:CF10,"NT")&gt;0,"In Test",IF(COUNTIFS(F10:CF10,"P")+COUNTIFS(F10:CF10,"A")&gt;0,"Pass","Pending"))</f>
        <v>Pending</v>
      </c>
      <c r="F10" s="30" t="str">
        <f xml:space="preserve"> "Pass:  "&amp; COUNTIFS(G10:CG10,"P")&amp;  "     /Accept:  "&amp; COUNTIFS(G10:CG10,"A")&amp;  "/     Fail:  "&amp; COUNTIFS(G10:CG10,"Fail") &amp;  "/     NT:  "&amp; COUNTIFS(G10:CG10,"NT")</f>
        <v>Pass:  0     /Accept:  0/     Fail:  0/     NT:  0</v>
      </c>
      <c r="G10" s="29" t="e">
        <f>IF(#REF!&lt;&gt;"N/A",Priority!$C10,"")</f>
        <v>#REF!</v>
      </c>
      <c r="H10" s="29" t="e">
        <f>IF(#REF!&lt;&gt;"N/A",Priority!$C10,"")</f>
        <v>#REF!</v>
      </c>
      <c r="I10" s="29" t="e">
        <f>IF(#REF!&lt;&gt;"N/A",Priority!$C10,"")</f>
        <v>#REF!</v>
      </c>
      <c r="J10" s="29" t="e">
        <f>IF(#REF!&lt;&gt;"N/A",Priority!$C10,"")</f>
        <v>#REF!</v>
      </c>
      <c r="K10" s="29" t="e">
        <f>IF(#REF!&lt;&gt;"N/A",Priority!$C10,"")</f>
        <v>#REF!</v>
      </c>
      <c r="L10" s="31"/>
      <c r="M10" s="29" t="e">
        <f>IF(#REF!&lt;&gt;"N/A",Priority!$C10,"")</f>
        <v>#REF!</v>
      </c>
      <c r="N10" s="29" t="e">
        <f>IF(#REF!&lt;&gt;"N/A",Priority!$C10,"")</f>
        <v>#REF!</v>
      </c>
      <c r="O10" s="29" t="e">
        <f>IF(#REF!&lt;&gt;"N/A",Priority!$C10,"")</f>
        <v>#REF!</v>
      </c>
      <c r="P10" s="29" t="e">
        <f>IF(#REF!&lt;&gt;"N/A",Priority!$C10,"")</f>
        <v>#REF!</v>
      </c>
      <c r="Q10" s="29" t="e">
        <f>IF(#REF!&lt;&gt;"N/A",Priority!$C10,"")</f>
        <v>#REF!</v>
      </c>
      <c r="R10" s="31"/>
      <c r="S10" s="29" t="e">
        <f>IF(#REF!&lt;&gt;"N/A",Priority!$C10,"")</f>
        <v>#REF!</v>
      </c>
      <c r="T10" s="29" t="e">
        <f>IF(#REF!&lt;&gt;"N/A",Priority!$C10,"")</f>
        <v>#REF!</v>
      </c>
      <c r="U10" s="29" t="e">
        <f>IF(#REF!&lt;&gt;"N/A",Priority!$C10,"")</f>
        <v>#REF!</v>
      </c>
      <c r="V10" s="29" t="e">
        <f>IF(#REF!&lt;&gt;"N/A",Priority!$C10,"")</f>
        <v>#REF!</v>
      </c>
      <c r="W10" s="29" t="e">
        <f>IF(#REF!&lt;&gt;"N/A",Priority!$C10,"")</f>
        <v>#REF!</v>
      </c>
      <c r="X10" s="29" t="e">
        <f>IF(#REF!&lt;&gt;"N/A",Priority!$C10,"")</f>
        <v>#REF!</v>
      </c>
      <c r="Y10" s="31"/>
      <c r="Z10" s="29" t="e">
        <f>IF(#REF!&lt;&gt;"N/A",Priority!$C10,"")</f>
        <v>#REF!</v>
      </c>
      <c r="AA10" s="29" t="e">
        <f>IF(#REF!&lt;&gt;"N/A",Priority!$C10,"")</f>
        <v>#REF!</v>
      </c>
      <c r="AB10" s="29" t="e">
        <f>IF(#REF!&lt;&gt;"N/A",Priority!$C10,"")</f>
        <v>#REF!</v>
      </c>
      <c r="AC10" s="29" t="e">
        <f>IF(#REF!&lt;&gt;"N/A",Priority!$C10,"")</f>
        <v>#REF!</v>
      </c>
      <c r="AD10" s="29" t="e">
        <f>IF(#REF!&lt;&gt;"N/A",Priority!$C10,"")</f>
        <v>#REF!</v>
      </c>
      <c r="AE10" s="29" t="e">
        <f>IF(#REF!&lt;&gt;"N/A",Priority!$C10,"")</f>
        <v>#REF!</v>
      </c>
      <c r="AF10" s="29" t="e">
        <f>IF(#REF!&lt;&gt;"N/A",Priority!$C10,"")</f>
        <v>#REF!</v>
      </c>
      <c r="AG10" s="29" t="e">
        <f>IF(#REF!&lt;&gt;"N/A",Priority!$C10,"")</f>
        <v>#REF!</v>
      </c>
      <c r="AH10" s="29" t="e">
        <f>IF(#REF!&lt;&gt;"N/A",Priority!$C10,"")</f>
        <v>#REF!</v>
      </c>
      <c r="AI10" s="29" t="e">
        <f>IF(#REF!&lt;&gt;"N/A",Priority!$C10,"")</f>
        <v>#REF!</v>
      </c>
      <c r="AJ10" s="31"/>
      <c r="AK10" s="29" t="e">
        <f>IF(#REF!&lt;&gt;"N/A",Priority!$C10,"")</f>
        <v>#REF!</v>
      </c>
      <c r="AL10" s="29" t="e">
        <f>IF(#REF!&lt;&gt;"N/A",Priority!$C10,"")</f>
        <v>#REF!</v>
      </c>
      <c r="AM10" s="29" t="e">
        <f>IF(#REF!&lt;&gt;"N/A",Priority!$C10,"")</f>
        <v>#REF!</v>
      </c>
      <c r="AN10" s="29" t="e">
        <f>IF(#REF!&lt;&gt;"N/A",Priority!$C10,"")</f>
        <v>#REF!</v>
      </c>
      <c r="AO10" s="29" t="e">
        <f>IF(#REF!&lt;&gt;"N/A",Priority!$C10,"")</f>
        <v>#REF!</v>
      </c>
      <c r="AP10" s="29" t="e">
        <f>IF(#REF!&lt;&gt;"N/A",Priority!$C10,"")</f>
        <v>#REF!</v>
      </c>
      <c r="AQ10" s="29" t="e">
        <f>IF(#REF!&lt;&gt;"N/A",Priority!$C10,"")</f>
        <v>#REF!</v>
      </c>
      <c r="AR10" s="29" t="e">
        <f>IF(#REF!&lt;&gt;"N/A",Priority!$C10,"")</f>
        <v>#REF!</v>
      </c>
      <c r="AS10" s="29" t="e">
        <f>IF(#REF!&lt;&gt;"N/A",Priority!$C10,"")</f>
        <v>#REF!</v>
      </c>
      <c r="AT10" s="29" t="e">
        <f>IF(#REF!&lt;&gt;"N/A",Priority!$C10,"")</f>
        <v>#REF!</v>
      </c>
      <c r="AU10" s="31"/>
      <c r="AV10" s="29" t="e">
        <f>IF(#REF!&lt;&gt;"N/A",Priority!$C10,"")</f>
        <v>#REF!</v>
      </c>
      <c r="AW10" s="29" t="e">
        <f>IF(#REF!&lt;&gt;"N/A",Priority!$C10,"")</f>
        <v>#REF!</v>
      </c>
      <c r="AX10" s="29" t="e">
        <f>IF(#REF!&lt;&gt;"N/A",Priority!$C10,"")</f>
        <v>#REF!</v>
      </c>
      <c r="AY10" s="29" t="e">
        <f>IF(#REF!&lt;&gt;"N/A",Priority!$C10,"")</f>
        <v>#REF!</v>
      </c>
      <c r="AZ10" s="29" t="e">
        <f>IF(#REF!&lt;&gt;"N/A",Priority!$C10,"")</f>
        <v>#REF!</v>
      </c>
      <c r="BA10" s="29" t="e">
        <f>IF(#REF!&lt;&gt;"N/A",Priority!$C10,"")</f>
        <v>#REF!</v>
      </c>
      <c r="BB10" s="29" t="e">
        <f>IF(#REF!&lt;&gt;"N/A",Priority!$C10,"")</f>
        <v>#REF!</v>
      </c>
      <c r="BC10" s="31"/>
      <c r="BD10" s="29" t="e">
        <f>IF(#REF!&lt;&gt;"N/A",Priority!$C10,"")</f>
        <v>#REF!</v>
      </c>
      <c r="BE10" s="29" t="e">
        <f>IF(#REF!&lt;&gt;"N/A",Priority!$C10,"")</f>
        <v>#REF!</v>
      </c>
      <c r="BF10" s="29" t="e">
        <f>IF(#REF!&lt;&gt;"N/A",Priority!$C10,"")</f>
        <v>#REF!</v>
      </c>
      <c r="BG10" s="29" t="e">
        <f>IF(#REF!&lt;&gt;"N/A",Priority!$C10,"")</f>
        <v>#REF!</v>
      </c>
      <c r="BH10" s="29" t="e">
        <f>IF(#REF!&lt;&gt;"N/A",Priority!$C10,"")</f>
        <v>#REF!</v>
      </c>
      <c r="BI10" s="29" t="e">
        <f>IF(#REF!&lt;&gt;"N/A",Priority!$C10,"")</f>
        <v>#REF!</v>
      </c>
      <c r="BJ10" s="29" t="e">
        <f>IF(#REF!&lt;&gt;"N/A",Priority!$C10,"")</f>
        <v>#REF!</v>
      </c>
      <c r="BK10" s="29" t="e">
        <f>IF(#REF!&lt;&gt;"N/A",Priority!$C10,"")</f>
        <v>#REF!</v>
      </c>
      <c r="BL10" s="29" t="e">
        <f>IF(#REF!&lt;&gt;"N/A",Priority!$C10,"")</f>
        <v>#REF!</v>
      </c>
      <c r="BM10" s="31"/>
      <c r="BN10" s="29" t="e">
        <f>IF(#REF!&lt;&gt;"N/A",Priority!$C10,"")</f>
        <v>#REF!</v>
      </c>
      <c r="BO10" s="29" t="e">
        <f>IF(#REF!&lt;&gt;"N/A",Priority!$C10,"")</f>
        <v>#REF!</v>
      </c>
      <c r="BP10" s="29" t="e">
        <f>IF(#REF!&lt;&gt;"N/A",Priority!$C10,"")</f>
        <v>#REF!</v>
      </c>
      <c r="BQ10" s="29" t="e">
        <f>IF(#REF!&lt;&gt;"N/A",Priority!$C10,"")</f>
        <v>#REF!</v>
      </c>
      <c r="BR10" s="29" t="e">
        <f>IF(#REF!&lt;&gt;"N/A",Priority!$C10,"")</f>
        <v>#REF!</v>
      </c>
      <c r="BS10" s="29" t="e">
        <f>IF(#REF!&lt;&gt;"N/A",Priority!$C10,"")</f>
        <v>#REF!</v>
      </c>
      <c r="BT10" s="29" t="e">
        <f>IF(#REF!&lt;&gt;"N/A",Priority!$C10,"")</f>
        <v>#REF!</v>
      </c>
      <c r="BU10" s="31"/>
      <c r="BV10" s="29" t="e">
        <f>IF(#REF!&lt;&gt;"N/A",Priority!$C10,"")</f>
        <v>#REF!</v>
      </c>
      <c r="BW10" s="29" t="e">
        <f>IF(#REF!&lt;&gt;"N/A",Priority!$C10,"")</f>
        <v>#REF!</v>
      </c>
      <c r="BX10" s="29" t="e">
        <f>IF(#REF!&lt;&gt;"N/A",Priority!$C10,"")</f>
        <v>#REF!</v>
      </c>
      <c r="BY10" s="29" t="e">
        <f>IF(#REF!&lt;&gt;"N/A",Priority!$C10,"")</f>
        <v>#REF!</v>
      </c>
      <c r="BZ10" s="29" t="e">
        <f>IF(#REF!&lt;&gt;"N/A",Priority!$C10,"")</f>
        <v>#REF!</v>
      </c>
      <c r="CA10" s="29" t="e">
        <f>IF(#REF!&lt;&gt;"N/A",Priority!$C10,"")</f>
        <v>#REF!</v>
      </c>
      <c r="CB10" s="31"/>
      <c r="CC10" s="29" t="e">
        <f>IF(#REF!&lt;&gt;"N/A",Priority!$C10,"")</f>
        <v>#REF!</v>
      </c>
      <c r="CD10" s="29" t="e">
        <f>IF(#REF!&lt;&gt;"N/A",Priority!$C10,"")</f>
        <v>#REF!</v>
      </c>
      <c r="CE10" s="29" t="e">
        <f>IF(#REF!&lt;&gt;"N/A",Priority!$C10,"")</f>
        <v>#REF!</v>
      </c>
      <c r="CF10" s="29" t="e">
        <f>IF(#REF!&lt;&gt;"N/A",Priority!$C10,"")</f>
        <v>#REF!</v>
      </c>
      <c r="CG10" s="8"/>
    </row>
    <row r="11" spans="1:86" ht="30">
      <c r="A11" s="15" t="e">
        <f>#REF!</f>
        <v>#REF!</v>
      </c>
      <c r="B11" s="15" t="e">
        <f>#REF!</f>
        <v>#REF!</v>
      </c>
      <c r="C11" s="15" t="e">
        <f>#REF!</f>
        <v>#REF!</v>
      </c>
      <c r="D11" s="20" t="s">
        <v>147</v>
      </c>
      <c r="E11" s="30" t="str">
        <f>IF(COUNTIFS(F11:CF11,"F")+COUNTIFS(F11:CF11,"NT")&gt;0,"In Test",IF(COUNTIFS(F11:CF11,"P")+COUNTIFS(F11:CF11,"A")&gt;0,"Pass","Pending"))</f>
        <v>Pending</v>
      </c>
      <c r="F11" s="30" t="str">
        <f xml:space="preserve"> "Pass:  "&amp; COUNTIFS(G11:CG11,"P")&amp;  "     /Accept:  "&amp; COUNTIFS(G11:CG11,"A")&amp;  "/     Fail:  "&amp; COUNTIFS(G11:CG11,"Fail") &amp;  "/     NT:  "&amp; COUNTIFS(G11:CG11,"NT")</f>
        <v>Pass:  0     /Accept:  0/     Fail:  0/     NT:  0</v>
      </c>
      <c r="G11" s="29" t="e">
        <f>IF(#REF!&lt;&gt;"N/A",Priority!$C11,"")</f>
        <v>#REF!</v>
      </c>
      <c r="H11" s="29" t="e">
        <f>IF(#REF!&lt;&gt;"N/A",Priority!$C11,"")</f>
        <v>#REF!</v>
      </c>
      <c r="I11" s="29" t="e">
        <f>IF(#REF!&lt;&gt;"N/A",Priority!$C11,"")</f>
        <v>#REF!</v>
      </c>
      <c r="J11" s="29" t="e">
        <f>IF(#REF!&lt;&gt;"N/A",Priority!$C11,"")</f>
        <v>#REF!</v>
      </c>
      <c r="K11" s="29" t="e">
        <f>IF(#REF!&lt;&gt;"N/A",Priority!$C11,"")</f>
        <v>#REF!</v>
      </c>
      <c r="L11" s="31"/>
      <c r="M11" s="29" t="e">
        <f>IF(#REF!&lt;&gt;"N/A",Priority!$C11,"")</f>
        <v>#REF!</v>
      </c>
      <c r="N11" s="29" t="e">
        <f>IF(#REF!&lt;&gt;"N/A",Priority!$C11,"")</f>
        <v>#REF!</v>
      </c>
      <c r="O11" s="29" t="e">
        <f>IF(#REF!&lt;&gt;"N/A",Priority!$C11,"")</f>
        <v>#REF!</v>
      </c>
      <c r="P11" s="29" t="e">
        <f>IF(#REF!&lt;&gt;"N/A",Priority!$C11,"")</f>
        <v>#REF!</v>
      </c>
      <c r="Q11" s="29" t="e">
        <f>IF(#REF!&lt;&gt;"N/A",Priority!$C11,"")</f>
        <v>#REF!</v>
      </c>
      <c r="R11" s="31"/>
      <c r="S11" s="29" t="e">
        <f>IF(#REF!&lt;&gt;"N/A",Priority!$C11,"")</f>
        <v>#REF!</v>
      </c>
      <c r="T11" s="29" t="e">
        <f>IF(#REF!&lt;&gt;"N/A",Priority!$C11,"")</f>
        <v>#REF!</v>
      </c>
      <c r="U11" s="29" t="e">
        <f>IF(#REF!&lt;&gt;"N/A",Priority!$C11,"")</f>
        <v>#REF!</v>
      </c>
      <c r="V11" s="29" t="e">
        <f>IF(#REF!&lt;&gt;"N/A",Priority!$C11,"")</f>
        <v>#REF!</v>
      </c>
      <c r="W11" s="29" t="e">
        <f>IF(#REF!&lt;&gt;"N/A",Priority!$C11,"")</f>
        <v>#REF!</v>
      </c>
      <c r="X11" s="29" t="e">
        <f>IF(#REF!&lt;&gt;"N/A",Priority!$C11,"")</f>
        <v>#REF!</v>
      </c>
      <c r="Y11" s="31"/>
      <c r="Z11" s="29" t="e">
        <f>IF(#REF!&lt;&gt;"N/A",Priority!$C11,"")</f>
        <v>#REF!</v>
      </c>
      <c r="AA11" s="29" t="e">
        <f>IF(#REF!&lt;&gt;"N/A",Priority!$C11,"")</f>
        <v>#REF!</v>
      </c>
      <c r="AB11" s="29" t="e">
        <f>IF(#REF!&lt;&gt;"N/A",Priority!$C11,"")</f>
        <v>#REF!</v>
      </c>
      <c r="AC11" s="29" t="e">
        <f>IF(#REF!&lt;&gt;"N/A",Priority!$C11,"")</f>
        <v>#REF!</v>
      </c>
      <c r="AD11" s="29" t="e">
        <f>IF(#REF!&lt;&gt;"N/A",Priority!$C11,"")</f>
        <v>#REF!</v>
      </c>
      <c r="AE11" s="29" t="e">
        <f>IF(#REF!&lt;&gt;"N/A",Priority!$C11,"")</f>
        <v>#REF!</v>
      </c>
      <c r="AF11" s="29" t="e">
        <f>IF(#REF!&lt;&gt;"N/A",Priority!$C11,"")</f>
        <v>#REF!</v>
      </c>
      <c r="AG11" s="29" t="e">
        <f>IF(#REF!&lt;&gt;"N/A",Priority!$C11,"")</f>
        <v>#REF!</v>
      </c>
      <c r="AH11" s="29" t="e">
        <f>IF(#REF!&lt;&gt;"N/A",Priority!$C11,"")</f>
        <v>#REF!</v>
      </c>
      <c r="AI11" s="29" t="e">
        <f>IF(#REF!&lt;&gt;"N/A",Priority!$C11,"")</f>
        <v>#REF!</v>
      </c>
      <c r="AJ11" s="31"/>
      <c r="AK11" s="29" t="e">
        <f>IF(#REF!&lt;&gt;"N/A",Priority!$C11,"")</f>
        <v>#REF!</v>
      </c>
      <c r="AL11" s="29" t="e">
        <f>IF(#REF!&lt;&gt;"N/A",Priority!$C11,"")</f>
        <v>#REF!</v>
      </c>
      <c r="AM11" s="29" t="e">
        <f>IF(#REF!&lt;&gt;"N/A",Priority!$C11,"")</f>
        <v>#REF!</v>
      </c>
      <c r="AN11" s="29" t="e">
        <f>IF(#REF!&lt;&gt;"N/A",Priority!$C11,"")</f>
        <v>#REF!</v>
      </c>
      <c r="AO11" s="29" t="e">
        <f>IF(#REF!&lt;&gt;"N/A",Priority!$C11,"")</f>
        <v>#REF!</v>
      </c>
      <c r="AP11" s="29" t="e">
        <f>IF(#REF!&lt;&gt;"N/A",Priority!$C11,"")</f>
        <v>#REF!</v>
      </c>
      <c r="AQ11" s="29" t="e">
        <f>IF(#REF!&lt;&gt;"N/A",Priority!$C11,"")</f>
        <v>#REF!</v>
      </c>
      <c r="AR11" s="29" t="e">
        <f>IF(#REF!&lt;&gt;"N/A",Priority!$C11,"")</f>
        <v>#REF!</v>
      </c>
      <c r="AS11" s="29" t="e">
        <f>IF(#REF!&lt;&gt;"N/A",Priority!$C11,"")</f>
        <v>#REF!</v>
      </c>
      <c r="AT11" s="29" t="e">
        <f>IF(#REF!&lt;&gt;"N/A",Priority!$C11,"")</f>
        <v>#REF!</v>
      </c>
      <c r="AU11" s="31"/>
      <c r="AV11" s="29" t="e">
        <f>IF(#REF!&lt;&gt;"N/A",Priority!$C11,"")</f>
        <v>#REF!</v>
      </c>
      <c r="AW11" s="29" t="e">
        <f>IF(#REF!&lt;&gt;"N/A",Priority!$C11,"")</f>
        <v>#REF!</v>
      </c>
      <c r="AX11" s="29" t="e">
        <f>IF(#REF!&lt;&gt;"N/A",Priority!$C11,"")</f>
        <v>#REF!</v>
      </c>
      <c r="AY11" s="29" t="e">
        <f>IF(#REF!&lt;&gt;"N/A",Priority!$C11,"")</f>
        <v>#REF!</v>
      </c>
      <c r="AZ11" s="29" t="e">
        <f>IF(#REF!&lt;&gt;"N/A",Priority!$C11,"")</f>
        <v>#REF!</v>
      </c>
      <c r="BA11" s="29" t="e">
        <f>IF(#REF!&lt;&gt;"N/A",Priority!$C11,"")</f>
        <v>#REF!</v>
      </c>
      <c r="BB11" s="29" t="e">
        <f>IF(#REF!&lt;&gt;"N/A",Priority!$C11,"")</f>
        <v>#REF!</v>
      </c>
      <c r="BC11" s="31"/>
      <c r="BD11" s="29" t="e">
        <f>IF(#REF!&lt;&gt;"N/A",Priority!$C11,"")</f>
        <v>#REF!</v>
      </c>
      <c r="BE11" s="29" t="e">
        <f>IF(#REF!&lt;&gt;"N/A",Priority!$C11,"")</f>
        <v>#REF!</v>
      </c>
      <c r="BF11" s="29" t="e">
        <f>IF(#REF!&lt;&gt;"N/A",Priority!$C11,"")</f>
        <v>#REF!</v>
      </c>
      <c r="BG11" s="29" t="e">
        <f>IF(#REF!&lt;&gt;"N/A",Priority!$C11,"")</f>
        <v>#REF!</v>
      </c>
      <c r="BH11" s="29" t="e">
        <f>IF(#REF!&lt;&gt;"N/A",Priority!$C11,"")</f>
        <v>#REF!</v>
      </c>
      <c r="BI11" s="29" t="e">
        <f>IF(#REF!&lt;&gt;"N/A",Priority!$C11,"")</f>
        <v>#REF!</v>
      </c>
      <c r="BJ11" s="29" t="e">
        <f>IF(#REF!&lt;&gt;"N/A",Priority!$C11,"")</f>
        <v>#REF!</v>
      </c>
      <c r="BK11" s="29" t="e">
        <f>IF(#REF!&lt;&gt;"N/A",Priority!$C11,"")</f>
        <v>#REF!</v>
      </c>
      <c r="BL11" s="29" t="e">
        <f>IF(#REF!&lt;&gt;"N/A",Priority!$C11,"")</f>
        <v>#REF!</v>
      </c>
      <c r="BM11" s="31"/>
      <c r="BN11" s="29" t="e">
        <f>IF(#REF!&lt;&gt;"N/A",Priority!$C11,"")</f>
        <v>#REF!</v>
      </c>
      <c r="BO11" s="29" t="e">
        <f>IF(#REF!&lt;&gt;"N/A",Priority!$C11,"")</f>
        <v>#REF!</v>
      </c>
      <c r="BP11" s="29" t="e">
        <f>IF(#REF!&lt;&gt;"N/A",Priority!$C11,"")</f>
        <v>#REF!</v>
      </c>
      <c r="BQ11" s="29" t="e">
        <f>IF(#REF!&lt;&gt;"N/A",Priority!$C11,"")</f>
        <v>#REF!</v>
      </c>
      <c r="BR11" s="29" t="e">
        <f>IF(#REF!&lt;&gt;"N/A",Priority!$C11,"")</f>
        <v>#REF!</v>
      </c>
      <c r="BS11" s="29" t="e">
        <f>IF(#REF!&lt;&gt;"N/A",Priority!$C11,"")</f>
        <v>#REF!</v>
      </c>
      <c r="BT11" s="29" t="e">
        <f>IF(#REF!&lt;&gt;"N/A",Priority!$C11,"")</f>
        <v>#REF!</v>
      </c>
      <c r="BU11" s="31"/>
      <c r="BV11" s="29" t="e">
        <f>IF(#REF!&lt;&gt;"N/A",Priority!$C11,"")</f>
        <v>#REF!</v>
      </c>
      <c r="BW11" s="29" t="e">
        <f>IF(#REF!&lt;&gt;"N/A",Priority!$C11,"")</f>
        <v>#REF!</v>
      </c>
      <c r="BX11" s="29" t="e">
        <f>IF(#REF!&lt;&gt;"N/A",Priority!$C11,"")</f>
        <v>#REF!</v>
      </c>
      <c r="BY11" s="29" t="e">
        <f>IF(#REF!&lt;&gt;"N/A",Priority!$C11,"")</f>
        <v>#REF!</v>
      </c>
      <c r="BZ11" s="29" t="e">
        <f>IF(#REF!&lt;&gt;"N/A",Priority!$C11,"")</f>
        <v>#REF!</v>
      </c>
      <c r="CA11" s="29" t="e">
        <f>IF(#REF!&lt;&gt;"N/A",Priority!$C11,"")</f>
        <v>#REF!</v>
      </c>
      <c r="CB11" s="31"/>
      <c r="CC11" s="29" t="e">
        <f>IF(#REF!&lt;&gt;"N/A",Priority!$C11,"")</f>
        <v>#REF!</v>
      </c>
      <c r="CD11" s="29" t="e">
        <f>IF(#REF!&lt;&gt;"N/A",Priority!$C11,"")</f>
        <v>#REF!</v>
      </c>
      <c r="CE11" s="29" t="e">
        <f>IF(#REF!&lt;&gt;"N/A",Priority!$C11,"")</f>
        <v>#REF!</v>
      </c>
      <c r="CF11" s="29" t="e">
        <f>IF(#REF!&lt;&gt;"N/A",Priority!$C11,"")</f>
        <v>#REF!</v>
      </c>
      <c r="CG11" s="8"/>
    </row>
    <row r="12" spans="1:86" ht="30">
      <c r="A12" s="15" t="e">
        <f>#REF!</f>
        <v>#REF!</v>
      </c>
      <c r="B12" s="15" t="e">
        <f>#REF!</f>
        <v>#REF!</v>
      </c>
      <c r="C12" s="15" t="e">
        <f>#REF!</f>
        <v>#REF!</v>
      </c>
      <c r="D12" s="22" t="s">
        <v>170</v>
      </c>
      <c r="E12" s="30" t="str">
        <f>IF(COUNTIFS(F12:CF12,"F")+COUNTIFS(F12:CF12,"NT")&gt;0,"In Test",IF(COUNTIFS(F12:CF12,"P")+COUNTIFS(F12:CF12,"A")&gt;0,"Pass","Pending"))</f>
        <v>Pending</v>
      </c>
      <c r="F12" s="30" t="str">
        <f xml:space="preserve"> "Pass:  "&amp; COUNTIFS(G12:CG12,"P")&amp;  "     /Accept:  "&amp; COUNTIFS(G12:CG12,"A")&amp;  "/     Fail:  "&amp; COUNTIFS(G12:CG12,"Fail") &amp;  "/     NT:  "&amp; COUNTIFS(G12:CG12,"NT")</f>
        <v>Pass:  0     /Accept:  0/     Fail:  0/     NT:  0</v>
      </c>
      <c r="G12" s="29" t="e">
        <f>IF(#REF!&lt;&gt;"N/A",Priority!$C12,"")</f>
        <v>#REF!</v>
      </c>
      <c r="H12" s="29" t="e">
        <f>IF(#REF!&lt;&gt;"N/A",Priority!$C12,"")</f>
        <v>#REF!</v>
      </c>
      <c r="I12" s="29" t="e">
        <f>IF(#REF!&lt;&gt;"N/A",Priority!$C12,"")</f>
        <v>#REF!</v>
      </c>
      <c r="J12" s="29" t="e">
        <f>IF(#REF!&lt;&gt;"N/A",Priority!$C12,"")</f>
        <v>#REF!</v>
      </c>
      <c r="K12" s="29" t="e">
        <f>IF(#REF!&lt;&gt;"N/A",Priority!$C12,"")</f>
        <v>#REF!</v>
      </c>
      <c r="L12" s="31"/>
      <c r="M12" s="29" t="e">
        <f>IF(#REF!&lt;&gt;"N/A",Priority!$C12,"")</f>
        <v>#REF!</v>
      </c>
      <c r="N12" s="29" t="e">
        <f>IF(#REF!&lt;&gt;"N/A",Priority!$C12,"")</f>
        <v>#REF!</v>
      </c>
      <c r="O12" s="29" t="e">
        <f>IF(#REF!&lt;&gt;"N/A",Priority!$C12,"")</f>
        <v>#REF!</v>
      </c>
      <c r="P12" s="29" t="e">
        <f>IF(#REF!&lt;&gt;"N/A",Priority!$C12,"")</f>
        <v>#REF!</v>
      </c>
      <c r="Q12" s="29" t="e">
        <f>IF(#REF!&lt;&gt;"N/A",Priority!$C12,"")</f>
        <v>#REF!</v>
      </c>
      <c r="R12" s="31"/>
      <c r="S12" s="29" t="e">
        <f>IF(#REF!&lt;&gt;"N/A",Priority!$C12,"")</f>
        <v>#REF!</v>
      </c>
      <c r="T12" s="29" t="e">
        <f>IF(#REF!&lt;&gt;"N/A",Priority!$C12,"")</f>
        <v>#REF!</v>
      </c>
      <c r="U12" s="29" t="e">
        <f>IF(#REF!&lt;&gt;"N/A",Priority!$C12,"")</f>
        <v>#REF!</v>
      </c>
      <c r="V12" s="29" t="e">
        <f>IF(#REF!&lt;&gt;"N/A",Priority!$C12,"")</f>
        <v>#REF!</v>
      </c>
      <c r="W12" s="29" t="e">
        <f>IF(#REF!&lt;&gt;"N/A",Priority!$C12,"")</f>
        <v>#REF!</v>
      </c>
      <c r="X12" s="29" t="e">
        <f>IF(#REF!&lt;&gt;"N/A",Priority!$C12,"")</f>
        <v>#REF!</v>
      </c>
      <c r="Y12" s="31"/>
      <c r="Z12" s="29" t="e">
        <f>IF(#REF!&lt;&gt;"N/A",Priority!$C12,"")</f>
        <v>#REF!</v>
      </c>
      <c r="AA12" s="29" t="e">
        <f>IF(#REF!&lt;&gt;"N/A",Priority!$C12,"")</f>
        <v>#REF!</v>
      </c>
      <c r="AB12" s="29" t="e">
        <f>IF(#REF!&lt;&gt;"N/A",Priority!$C12,"")</f>
        <v>#REF!</v>
      </c>
      <c r="AC12" s="29" t="e">
        <f>IF(#REF!&lt;&gt;"N/A",Priority!$C12,"")</f>
        <v>#REF!</v>
      </c>
      <c r="AD12" s="29" t="e">
        <f>IF(#REF!&lt;&gt;"N/A",Priority!$C12,"")</f>
        <v>#REF!</v>
      </c>
      <c r="AE12" s="29" t="e">
        <f>IF(#REF!&lt;&gt;"N/A",Priority!$C12,"")</f>
        <v>#REF!</v>
      </c>
      <c r="AF12" s="29" t="e">
        <f>IF(#REF!&lt;&gt;"N/A",Priority!$C12,"")</f>
        <v>#REF!</v>
      </c>
      <c r="AG12" s="29" t="e">
        <f>IF(#REF!&lt;&gt;"N/A",Priority!$C12,"")</f>
        <v>#REF!</v>
      </c>
      <c r="AH12" s="29" t="e">
        <f>IF(#REF!&lt;&gt;"N/A",Priority!$C12,"")</f>
        <v>#REF!</v>
      </c>
      <c r="AI12" s="29" t="e">
        <f>IF(#REF!&lt;&gt;"N/A",Priority!$C12,"")</f>
        <v>#REF!</v>
      </c>
      <c r="AJ12" s="31"/>
      <c r="AK12" s="29" t="s">
        <v>41</v>
      </c>
      <c r="AL12" s="29" t="s">
        <v>41</v>
      </c>
      <c r="AM12" s="29" t="s">
        <v>41</v>
      </c>
      <c r="AN12" s="29" t="s">
        <v>41</v>
      </c>
      <c r="AO12" s="29" t="s">
        <v>41</v>
      </c>
      <c r="AP12" s="29" t="s">
        <v>41</v>
      </c>
      <c r="AQ12" s="29" t="s">
        <v>41</v>
      </c>
      <c r="AR12" s="29" t="s">
        <v>41</v>
      </c>
      <c r="AS12" s="29" t="s">
        <v>41</v>
      </c>
      <c r="AT12" s="29" t="s">
        <v>41</v>
      </c>
      <c r="AU12" s="31"/>
      <c r="AV12" s="29" t="s">
        <v>41</v>
      </c>
      <c r="AW12" s="29" t="s">
        <v>41</v>
      </c>
      <c r="AX12" s="29" t="s">
        <v>41</v>
      </c>
      <c r="AY12" s="29" t="s">
        <v>41</v>
      </c>
      <c r="AZ12" s="29" t="s">
        <v>41</v>
      </c>
      <c r="BA12" s="29" t="s">
        <v>41</v>
      </c>
      <c r="BB12" s="29" t="s">
        <v>41</v>
      </c>
      <c r="BC12" s="31"/>
      <c r="BD12" s="29" t="s">
        <v>41</v>
      </c>
      <c r="BE12" s="29" t="s">
        <v>41</v>
      </c>
      <c r="BF12" s="29" t="s">
        <v>41</v>
      </c>
      <c r="BG12" s="29" t="s">
        <v>41</v>
      </c>
      <c r="BH12" s="29" t="s">
        <v>41</v>
      </c>
      <c r="BI12" s="29" t="s">
        <v>41</v>
      </c>
      <c r="BJ12" s="29" t="s">
        <v>41</v>
      </c>
      <c r="BK12" s="29" t="s">
        <v>41</v>
      </c>
      <c r="BL12" s="29" t="s">
        <v>41</v>
      </c>
      <c r="BM12" s="31"/>
      <c r="BN12" s="29" t="s">
        <v>41</v>
      </c>
      <c r="BO12" s="29" t="s">
        <v>41</v>
      </c>
      <c r="BP12" s="29" t="s">
        <v>41</v>
      </c>
      <c r="BQ12" s="29" t="s">
        <v>41</v>
      </c>
      <c r="BR12" s="29" t="s">
        <v>41</v>
      </c>
      <c r="BS12" s="29" t="s">
        <v>41</v>
      </c>
      <c r="BT12" s="29" t="s">
        <v>41</v>
      </c>
      <c r="BU12" s="31"/>
      <c r="BV12" s="29" t="s">
        <v>41</v>
      </c>
      <c r="BW12" s="29" t="s">
        <v>41</v>
      </c>
      <c r="BX12" s="29" t="s">
        <v>41</v>
      </c>
      <c r="BY12" s="29" t="s">
        <v>41</v>
      </c>
      <c r="BZ12" s="29" t="s">
        <v>41</v>
      </c>
      <c r="CA12" s="29" t="s">
        <v>41</v>
      </c>
      <c r="CB12" s="31"/>
      <c r="CC12" s="29" t="s">
        <v>41</v>
      </c>
      <c r="CD12" s="29" t="s">
        <v>41</v>
      </c>
      <c r="CE12" s="29" t="s">
        <v>41</v>
      </c>
      <c r="CF12" s="29" t="s">
        <v>41</v>
      </c>
      <c r="CG12" s="8"/>
    </row>
    <row r="13" spans="1:86" ht="15.75">
      <c r="A13" s="4" t="e">
        <f>#REF!</f>
        <v>#REF!</v>
      </c>
      <c r="B13" s="4"/>
      <c r="C13" s="2"/>
      <c r="D13" s="23"/>
      <c r="E13" s="23"/>
      <c r="F13" s="6"/>
      <c r="G13" s="6"/>
      <c r="H13" s="6"/>
      <c r="I13" s="6"/>
      <c r="J13" s="6"/>
      <c r="K13" s="6"/>
      <c r="L13" s="34"/>
      <c r="M13" s="6"/>
      <c r="N13" s="6"/>
      <c r="O13" s="6"/>
      <c r="P13" s="6"/>
      <c r="Q13" s="6"/>
      <c r="R13" s="34"/>
      <c r="S13" s="6"/>
      <c r="T13" s="6"/>
      <c r="U13" s="6"/>
      <c r="V13" s="6"/>
      <c r="W13" s="6"/>
      <c r="X13" s="6"/>
      <c r="Y13" s="34"/>
      <c r="Z13" s="6"/>
      <c r="AA13" s="6"/>
      <c r="AB13" s="6"/>
      <c r="AC13" s="6"/>
      <c r="AD13" s="6"/>
      <c r="AE13" s="6"/>
      <c r="AF13" s="6"/>
      <c r="AG13" s="6"/>
      <c r="AH13" s="6"/>
      <c r="AI13" s="6"/>
      <c r="AJ13" s="34"/>
      <c r="AK13" s="6"/>
      <c r="AL13" s="6"/>
      <c r="AM13" s="6"/>
      <c r="AN13" s="6"/>
      <c r="AO13" s="6"/>
      <c r="AP13" s="6"/>
      <c r="AQ13" s="6"/>
      <c r="AR13" s="6"/>
      <c r="AS13" s="6"/>
      <c r="AT13" s="6"/>
      <c r="AU13" s="34"/>
      <c r="AV13" s="6"/>
      <c r="AW13" s="6"/>
      <c r="AX13" s="6"/>
      <c r="AY13" s="6"/>
      <c r="AZ13" s="6"/>
      <c r="BA13" s="6"/>
      <c r="BB13" s="6"/>
      <c r="BC13" s="34"/>
      <c r="BD13" s="6"/>
      <c r="BE13" s="6"/>
      <c r="BF13" s="6"/>
      <c r="BG13" s="6"/>
      <c r="BH13" s="6"/>
      <c r="BI13" s="6"/>
      <c r="BJ13" s="6"/>
      <c r="BK13" s="6"/>
      <c r="BL13" s="6"/>
      <c r="BM13" s="34"/>
      <c r="BN13" s="6"/>
      <c r="BO13" s="6"/>
      <c r="BP13" s="6"/>
      <c r="BQ13" s="6"/>
      <c r="BR13" s="6"/>
      <c r="BS13" s="6"/>
      <c r="BT13" s="6"/>
      <c r="BU13" s="34"/>
      <c r="BV13" s="6"/>
      <c r="BW13" s="6"/>
      <c r="BX13" s="6"/>
      <c r="BY13" s="6"/>
      <c r="BZ13" s="6"/>
      <c r="CA13" s="6"/>
      <c r="CB13" s="34"/>
      <c r="CC13" s="6"/>
      <c r="CD13" s="6"/>
      <c r="CE13" s="6"/>
      <c r="CF13" s="6"/>
      <c r="CG13" s="8"/>
    </row>
    <row r="14" spans="1:86" ht="30">
      <c r="A14" s="15" t="e">
        <f>#REF!</f>
        <v>#REF!</v>
      </c>
      <c r="B14" s="15" t="e">
        <f>#REF!</f>
        <v>#REF!</v>
      </c>
      <c r="C14" s="15" t="e">
        <f>#REF!</f>
        <v>#REF!</v>
      </c>
      <c r="D14" s="20" t="s">
        <v>143</v>
      </c>
      <c r="E14" s="30" t="str">
        <f t="shared" ref="E14:E19" si="7">IF(COUNTIFS(F14:CF14,"F")+COUNTIFS(F14:CF14,"NT")&gt;0,"In Test",IF(COUNTIFS(F14:CF14,"P")+COUNTIFS(F14:CF14,"A")&gt;0,"Pass","Pending"))</f>
        <v>Pending</v>
      </c>
      <c r="F14" s="30" t="str">
        <f t="shared" ref="F14:F19" si="8" xml:space="preserve"> "Pass:  "&amp; COUNTIFS(G14:CG14,"P")&amp;  "     /Accept:  "&amp; COUNTIFS(G14:CG14,"A")&amp;  "/     Fail:  "&amp; COUNTIFS(G14:CG14,"Fail") &amp;  "/     NT:  "&amp; COUNTIFS(G14:CG14,"NT")</f>
        <v>Pass:  0     /Accept:  0/     Fail:  0/     NT:  0</v>
      </c>
      <c r="G14" s="29" t="e">
        <f>IF(#REF!&lt;&gt;"N/A",Priority!$C14,"")</f>
        <v>#REF!</v>
      </c>
      <c r="H14" s="29" t="e">
        <f>IF(#REF!&lt;&gt;"N/A",Priority!$C14,"")</f>
        <v>#REF!</v>
      </c>
      <c r="I14" s="29" t="e">
        <f>IF(#REF!&lt;&gt;"N/A",Priority!$C14,"")</f>
        <v>#REF!</v>
      </c>
      <c r="J14" s="29" t="e">
        <f>IF(#REF!&lt;&gt;"N/A",Priority!$C14,"")</f>
        <v>#REF!</v>
      </c>
      <c r="K14" s="29" t="e">
        <f>IF(#REF!&lt;&gt;"N/A",Priority!$C14,"")</f>
        <v>#REF!</v>
      </c>
      <c r="L14" s="31"/>
      <c r="M14" s="29" t="e">
        <f>IF(#REF!&lt;&gt;"N/A",Priority!$C14,"")</f>
        <v>#REF!</v>
      </c>
      <c r="N14" s="29" t="e">
        <f>IF(#REF!&lt;&gt;"N/A",Priority!$C14,"")</f>
        <v>#REF!</v>
      </c>
      <c r="O14" s="29" t="e">
        <f>IF(#REF!&lt;&gt;"N/A",Priority!$C14,"")</f>
        <v>#REF!</v>
      </c>
      <c r="P14" s="29" t="e">
        <f>IF(#REF!&lt;&gt;"N/A",Priority!$C14,"")</f>
        <v>#REF!</v>
      </c>
      <c r="Q14" s="29" t="e">
        <f>IF(#REF!&lt;&gt;"N/A",Priority!$C14,"")</f>
        <v>#REF!</v>
      </c>
      <c r="R14" s="31"/>
      <c r="S14" s="29" t="e">
        <f>IF(#REF!&lt;&gt;"N/A",Priority!$C14,"")</f>
        <v>#REF!</v>
      </c>
      <c r="T14" s="29" t="e">
        <f>IF(#REF!&lt;&gt;"N/A",Priority!$C14,"")</f>
        <v>#REF!</v>
      </c>
      <c r="U14" s="29" t="e">
        <f>IF(#REF!&lt;&gt;"N/A",Priority!$C14,"")</f>
        <v>#REF!</v>
      </c>
      <c r="V14" s="29" t="e">
        <f>IF(#REF!&lt;&gt;"N/A",Priority!$C14,"")</f>
        <v>#REF!</v>
      </c>
      <c r="W14" s="29" t="e">
        <f>IF(#REF!&lt;&gt;"N/A",Priority!$C14,"")</f>
        <v>#REF!</v>
      </c>
      <c r="X14" s="29" t="e">
        <f>IF(#REF!&lt;&gt;"N/A",Priority!$C14,"")</f>
        <v>#REF!</v>
      </c>
      <c r="Y14" s="31"/>
      <c r="Z14" s="29" t="e">
        <f>IF(#REF!&lt;&gt;"N/A",Priority!$C14,"")</f>
        <v>#REF!</v>
      </c>
      <c r="AA14" s="29" t="e">
        <f>IF(#REF!&lt;&gt;"N/A",Priority!$C14,"")</f>
        <v>#REF!</v>
      </c>
      <c r="AB14" s="29" t="e">
        <f>IF(#REF!&lt;&gt;"N/A",Priority!$C14,"")</f>
        <v>#REF!</v>
      </c>
      <c r="AC14" s="29" t="e">
        <f>IF(#REF!&lt;&gt;"N/A",Priority!$C14,"")</f>
        <v>#REF!</v>
      </c>
      <c r="AD14" s="29" t="e">
        <f>IF(#REF!&lt;&gt;"N/A",Priority!$C14,"")</f>
        <v>#REF!</v>
      </c>
      <c r="AE14" s="29" t="e">
        <f>IF(#REF!&lt;&gt;"N/A",Priority!$C14,"")</f>
        <v>#REF!</v>
      </c>
      <c r="AF14" s="29" t="e">
        <f>IF(#REF!&lt;&gt;"N/A",Priority!$C14,"")</f>
        <v>#REF!</v>
      </c>
      <c r="AG14" s="29" t="e">
        <f>IF(#REF!&lt;&gt;"N/A",Priority!$C14,"")</f>
        <v>#REF!</v>
      </c>
      <c r="AH14" s="29" t="e">
        <f>IF(#REF!&lt;&gt;"N/A",Priority!$C14,"")</f>
        <v>#REF!</v>
      </c>
      <c r="AI14" s="29" t="e">
        <f>IF(#REF!&lt;&gt;"N/A",Priority!$C14,"")</f>
        <v>#REF!</v>
      </c>
      <c r="AJ14" s="31"/>
      <c r="AK14" s="29" t="e">
        <f>IF(#REF!&lt;&gt;"N/A",Priority!$C14,"")</f>
        <v>#REF!</v>
      </c>
      <c r="AL14" s="29" t="e">
        <f>IF(#REF!&lt;&gt;"N/A",Priority!$C14,"")</f>
        <v>#REF!</v>
      </c>
      <c r="AM14" s="29" t="e">
        <f>IF(#REF!&lt;&gt;"N/A",Priority!$C14,"")</f>
        <v>#REF!</v>
      </c>
      <c r="AN14" s="29" t="e">
        <f>IF(#REF!&lt;&gt;"N/A",Priority!$C14,"")</f>
        <v>#REF!</v>
      </c>
      <c r="AO14" s="29" t="e">
        <f>IF(#REF!&lt;&gt;"N/A",Priority!$C14,"")</f>
        <v>#REF!</v>
      </c>
      <c r="AP14" s="29" t="e">
        <f>IF(#REF!&lt;&gt;"N/A",Priority!$C14,"")</f>
        <v>#REF!</v>
      </c>
      <c r="AQ14" s="29" t="e">
        <f>IF(#REF!&lt;&gt;"N/A",Priority!$C14,"")</f>
        <v>#REF!</v>
      </c>
      <c r="AR14" s="29" t="e">
        <f>IF(#REF!&lt;&gt;"N/A",Priority!$C14,"")</f>
        <v>#REF!</v>
      </c>
      <c r="AS14" s="29" t="e">
        <f>IF(#REF!&lt;&gt;"N/A",Priority!$C14,"")</f>
        <v>#REF!</v>
      </c>
      <c r="AT14" s="29" t="e">
        <f>IF(#REF!&lt;&gt;"N/A",Priority!$C14,"")</f>
        <v>#REF!</v>
      </c>
      <c r="AU14" s="31"/>
      <c r="AV14" s="29" t="e">
        <f>IF(#REF!&lt;&gt;"N/A",Priority!$C14,"")</f>
        <v>#REF!</v>
      </c>
      <c r="AW14" s="29" t="e">
        <f>IF(#REF!&lt;&gt;"N/A",Priority!$C14,"")</f>
        <v>#REF!</v>
      </c>
      <c r="AX14" s="29" t="e">
        <f>IF(#REF!&lt;&gt;"N/A",Priority!$C14,"")</f>
        <v>#REF!</v>
      </c>
      <c r="AY14" s="29" t="e">
        <f>IF(#REF!&lt;&gt;"N/A",Priority!$C14,"")</f>
        <v>#REF!</v>
      </c>
      <c r="AZ14" s="29" t="e">
        <f>IF(#REF!&lt;&gt;"N/A",Priority!$C14,"")</f>
        <v>#REF!</v>
      </c>
      <c r="BA14" s="29" t="e">
        <f>IF(#REF!&lt;&gt;"N/A",Priority!$C14,"")</f>
        <v>#REF!</v>
      </c>
      <c r="BB14" s="29" t="e">
        <f>IF(#REF!&lt;&gt;"N/A",Priority!$C14,"")</f>
        <v>#REF!</v>
      </c>
      <c r="BC14" s="31"/>
      <c r="BD14" s="29" t="e">
        <f>IF(#REF!&lt;&gt;"N/A",Priority!$C14,"")</f>
        <v>#REF!</v>
      </c>
      <c r="BE14" s="29" t="e">
        <f>IF(#REF!&lt;&gt;"N/A",Priority!$C14,"")</f>
        <v>#REF!</v>
      </c>
      <c r="BF14" s="29" t="e">
        <f>IF(#REF!&lt;&gt;"N/A",Priority!$C14,"")</f>
        <v>#REF!</v>
      </c>
      <c r="BG14" s="29" t="e">
        <f>IF(#REF!&lt;&gt;"N/A",Priority!$C14,"")</f>
        <v>#REF!</v>
      </c>
      <c r="BH14" s="29" t="e">
        <f>IF(#REF!&lt;&gt;"N/A",Priority!$C14,"")</f>
        <v>#REF!</v>
      </c>
      <c r="BI14" s="29" t="e">
        <f>IF(#REF!&lt;&gt;"N/A",Priority!$C14,"")</f>
        <v>#REF!</v>
      </c>
      <c r="BJ14" s="29" t="e">
        <f>IF(#REF!&lt;&gt;"N/A",Priority!$C14,"")</f>
        <v>#REF!</v>
      </c>
      <c r="BK14" s="29" t="e">
        <f>IF(#REF!&lt;&gt;"N/A",Priority!$C14,"")</f>
        <v>#REF!</v>
      </c>
      <c r="BL14" s="29" t="e">
        <f>IF(#REF!&lt;&gt;"N/A",Priority!$C14,"")</f>
        <v>#REF!</v>
      </c>
      <c r="BM14" s="31"/>
      <c r="BN14" s="29" t="e">
        <f>IF(#REF!&lt;&gt;"N/A",Priority!$C14,"")</f>
        <v>#REF!</v>
      </c>
      <c r="BO14" s="29" t="e">
        <f>IF(#REF!&lt;&gt;"N/A",Priority!$C14,"")</f>
        <v>#REF!</v>
      </c>
      <c r="BP14" s="29" t="e">
        <f>IF(#REF!&lt;&gt;"N/A",Priority!$C14,"")</f>
        <v>#REF!</v>
      </c>
      <c r="BQ14" s="29" t="e">
        <f>IF(#REF!&lt;&gt;"N/A",Priority!$C14,"")</f>
        <v>#REF!</v>
      </c>
      <c r="BR14" s="29" t="e">
        <f>IF(#REF!&lt;&gt;"N/A",Priority!$C14,"")</f>
        <v>#REF!</v>
      </c>
      <c r="BS14" s="29" t="e">
        <f>IF(#REF!&lt;&gt;"N/A",Priority!$C14,"")</f>
        <v>#REF!</v>
      </c>
      <c r="BT14" s="29" t="e">
        <f>IF(#REF!&lt;&gt;"N/A",Priority!$C14,"")</f>
        <v>#REF!</v>
      </c>
      <c r="BU14" s="31"/>
      <c r="BV14" s="29" t="e">
        <f>IF(#REF!&lt;&gt;"N/A",Priority!$C14,"")</f>
        <v>#REF!</v>
      </c>
      <c r="BW14" s="29" t="e">
        <f>IF(#REF!&lt;&gt;"N/A",Priority!$C14,"")</f>
        <v>#REF!</v>
      </c>
      <c r="BX14" s="29" t="e">
        <f>IF(#REF!&lt;&gt;"N/A",Priority!$C14,"")</f>
        <v>#REF!</v>
      </c>
      <c r="BY14" s="29" t="e">
        <f>IF(#REF!&lt;&gt;"N/A",Priority!$C14,"")</f>
        <v>#REF!</v>
      </c>
      <c r="BZ14" s="29" t="e">
        <f>IF(#REF!&lt;&gt;"N/A",Priority!$C14,"")</f>
        <v>#REF!</v>
      </c>
      <c r="CA14" s="29" t="e">
        <f>IF(#REF!&lt;&gt;"N/A",Priority!$C14,"")</f>
        <v>#REF!</v>
      </c>
      <c r="CB14" s="31"/>
      <c r="CC14" s="29" t="e">
        <f>IF(#REF!&lt;&gt;"N/A",Priority!$C14,"")</f>
        <v>#REF!</v>
      </c>
      <c r="CD14" s="29" t="e">
        <f>IF(#REF!&lt;&gt;"N/A",Priority!$C14,"")</f>
        <v>#REF!</v>
      </c>
      <c r="CE14" s="29" t="e">
        <f>IF(#REF!&lt;&gt;"N/A",Priority!$C14,"")</f>
        <v>#REF!</v>
      </c>
      <c r="CF14" s="29" t="e">
        <f>IF(#REF!&lt;&gt;"N/A",Priority!$C14,"")</f>
        <v>#REF!</v>
      </c>
    </row>
    <row r="15" spans="1:86" ht="30">
      <c r="A15" s="15" t="e">
        <f>#REF!</f>
        <v>#REF!</v>
      </c>
      <c r="B15" s="15" t="e">
        <f>#REF!</f>
        <v>#REF!</v>
      </c>
      <c r="C15" s="15" t="e">
        <f>#REF!</f>
        <v>#REF!</v>
      </c>
      <c r="D15" s="20" t="s">
        <v>143</v>
      </c>
      <c r="E15" s="30" t="str">
        <f t="shared" si="7"/>
        <v>Pending</v>
      </c>
      <c r="F15" s="30" t="str">
        <f t="shared" si="8"/>
        <v>Pass:  0     /Accept:  0/     Fail:  0/     NT:  0</v>
      </c>
      <c r="G15" s="29" t="e">
        <f>IF(#REF!&lt;&gt;"N/A",Priority!$C15,"")</f>
        <v>#REF!</v>
      </c>
      <c r="H15" s="29" t="e">
        <f>IF(#REF!&lt;&gt;"N/A",Priority!$C15,"")</f>
        <v>#REF!</v>
      </c>
      <c r="I15" s="29" t="e">
        <f>IF(#REF!&lt;&gt;"N/A",Priority!$C15,"")</f>
        <v>#REF!</v>
      </c>
      <c r="J15" s="29" t="e">
        <f>IF(#REF!&lt;&gt;"N/A",Priority!$C15,"")</f>
        <v>#REF!</v>
      </c>
      <c r="K15" s="29" t="e">
        <f>IF(#REF!&lt;&gt;"N/A",Priority!$C15,"")</f>
        <v>#REF!</v>
      </c>
      <c r="L15" s="31"/>
      <c r="M15" s="29" t="e">
        <f>IF(#REF!&lt;&gt;"N/A",Priority!$C15,"")</f>
        <v>#REF!</v>
      </c>
      <c r="N15" s="29" t="e">
        <f>IF(#REF!&lt;&gt;"N/A",Priority!$C15,"")</f>
        <v>#REF!</v>
      </c>
      <c r="O15" s="29" t="e">
        <f>IF(#REF!&lt;&gt;"N/A",Priority!$C15,"")</f>
        <v>#REF!</v>
      </c>
      <c r="P15" s="29" t="e">
        <f>IF(#REF!&lt;&gt;"N/A",Priority!$C15,"")</f>
        <v>#REF!</v>
      </c>
      <c r="Q15" s="29" t="e">
        <f>IF(#REF!&lt;&gt;"N/A",Priority!$C15,"")</f>
        <v>#REF!</v>
      </c>
      <c r="R15" s="31"/>
      <c r="S15" s="29" t="e">
        <f>IF(#REF!&lt;&gt;"N/A",Priority!$C15,"")</f>
        <v>#REF!</v>
      </c>
      <c r="T15" s="29" t="e">
        <f>IF(#REF!&lt;&gt;"N/A",Priority!$C15,"")</f>
        <v>#REF!</v>
      </c>
      <c r="U15" s="29" t="e">
        <f>IF(#REF!&lt;&gt;"N/A",Priority!$C15,"")</f>
        <v>#REF!</v>
      </c>
      <c r="V15" s="29" t="e">
        <f>IF(#REF!&lt;&gt;"N/A",Priority!$C15,"")</f>
        <v>#REF!</v>
      </c>
      <c r="W15" s="29" t="e">
        <f>IF(#REF!&lt;&gt;"N/A",Priority!$C15,"")</f>
        <v>#REF!</v>
      </c>
      <c r="X15" s="29" t="e">
        <f>IF(#REF!&lt;&gt;"N/A",Priority!$C15,"")</f>
        <v>#REF!</v>
      </c>
      <c r="Y15" s="31"/>
      <c r="Z15" s="29" t="e">
        <f>IF(#REF!&lt;&gt;"N/A",Priority!$C15,"")</f>
        <v>#REF!</v>
      </c>
      <c r="AA15" s="29" t="e">
        <f>IF(#REF!&lt;&gt;"N/A",Priority!$C15,"")</f>
        <v>#REF!</v>
      </c>
      <c r="AB15" s="29" t="e">
        <f>IF(#REF!&lt;&gt;"N/A",Priority!$C15,"")</f>
        <v>#REF!</v>
      </c>
      <c r="AC15" s="29" t="e">
        <f>IF(#REF!&lt;&gt;"N/A",Priority!$C15,"")</f>
        <v>#REF!</v>
      </c>
      <c r="AD15" s="29" t="e">
        <f>IF(#REF!&lt;&gt;"N/A",Priority!$C15,"")</f>
        <v>#REF!</v>
      </c>
      <c r="AE15" s="29" t="e">
        <f>IF(#REF!&lt;&gt;"N/A",Priority!$C15,"")</f>
        <v>#REF!</v>
      </c>
      <c r="AF15" s="29" t="e">
        <f>IF(#REF!&lt;&gt;"N/A",Priority!$C15,"")</f>
        <v>#REF!</v>
      </c>
      <c r="AG15" s="29" t="e">
        <f>IF(#REF!&lt;&gt;"N/A",Priority!$C15,"")</f>
        <v>#REF!</v>
      </c>
      <c r="AH15" s="29" t="e">
        <f>IF(#REF!&lt;&gt;"N/A",Priority!$C15,"")</f>
        <v>#REF!</v>
      </c>
      <c r="AI15" s="29" t="e">
        <f>IF(#REF!&lt;&gt;"N/A",Priority!$C15,"")</f>
        <v>#REF!</v>
      </c>
      <c r="AJ15" s="31"/>
      <c r="AK15" s="29" t="e">
        <f>IF(#REF!&lt;&gt;"N/A",Priority!$C15,"")</f>
        <v>#REF!</v>
      </c>
      <c r="AL15" s="29" t="e">
        <f>IF(#REF!&lt;&gt;"N/A",Priority!$C15,"")</f>
        <v>#REF!</v>
      </c>
      <c r="AM15" s="29" t="e">
        <f>IF(#REF!&lt;&gt;"N/A",Priority!$C15,"")</f>
        <v>#REF!</v>
      </c>
      <c r="AN15" s="29" t="e">
        <f>IF(#REF!&lt;&gt;"N/A",Priority!$C15,"")</f>
        <v>#REF!</v>
      </c>
      <c r="AO15" s="29" t="e">
        <f>IF(#REF!&lt;&gt;"N/A",Priority!$C15,"")</f>
        <v>#REF!</v>
      </c>
      <c r="AP15" s="29" t="e">
        <f>IF(#REF!&lt;&gt;"N/A",Priority!$C15,"")</f>
        <v>#REF!</v>
      </c>
      <c r="AQ15" s="29" t="e">
        <f>IF(#REF!&lt;&gt;"N/A",Priority!$C15,"")</f>
        <v>#REF!</v>
      </c>
      <c r="AR15" s="29" t="e">
        <f>IF(#REF!&lt;&gt;"N/A",Priority!$C15,"")</f>
        <v>#REF!</v>
      </c>
      <c r="AS15" s="29" t="e">
        <f>IF(#REF!&lt;&gt;"N/A",Priority!$C15,"")</f>
        <v>#REF!</v>
      </c>
      <c r="AT15" s="29" t="e">
        <f>IF(#REF!&lt;&gt;"N/A",Priority!$C15,"")</f>
        <v>#REF!</v>
      </c>
      <c r="AU15" s="31"/>
      <c r="AV15" s="29" t="e">
        <f>IF(#REF!&lt;&gt;"N/A",Priority!$C15,"")</f>
        <v>#REF!</v>
      </c>
      <c r="AW15" s="29" t="e">
        <f>IF(#REF!&lt;&gt;"N/A",Priority!$C15,"")</f>
        <v>#REF!</v>
      </c>
      <c r="AX15" s="29" t="e">
        <f>IF(#REF!&lt;&gt;"N/A",Priority!$C15,"")</f>
        <v>#REF!</v>
      </c>
      <c r="AY15" s="29" t="e">
        <f>IF(#REF!&lt;&gt;"N/A",Priority!$C15,"")</f>
        <v>#REF!</v>
      </c>
      <c r="AZ15" s="29" t="e">
        <f>IF(#REF!&lt;&gt;"N/A",Priority!$C15,"")</f>
        <v>#REF!</v>
      </c>
      <c r="BA15" s="29" t="e">
        <f>IF(#REF!&lt;&gt;"N/A",Priority!$C15,"")</f>
        <v>#REF!</v>
      </c>
      <c r="BB15" s="29" t="e">
        <f>IF(#REF!&lt;&gt;"N/A",Priority!$C15,"")</f>
        <v>#REF!</v>
      </c>
      <c r="BC15" s="31"/>
      <c r="BD15" s="29" t="e">
        <f>IF(#REF!&lt;&gt;"N/A",Priority!$C15,"")</f>
        <v>#REF!</v>
      </c>
      <c r="BE15" s="29" t="e">
        <f>IF(#REF!&lt;&gt;"N/A",Priority!$C15,"")</f>
        <v>#REF!</v>
      </c>
      <c r="BF15" s="29" t="e">
        <f>IF(#REF!&lt;&gt;"N/A",Priority!$C15,"")</f>
        <v>#REF!</v>
      </c>
      <c r="BG15" s="29" t="e">
        <f>IF(#REF!&lt;&gt;"N/A",Priority!$C15,"")</f>
        <v>#REF!</v>
      </c>
      <c r="BH15" s="29" t="e">
        <f>IF(#REF!&lt;&gt;"N/A",Priority!$C15,"")</f>
        <v>#REF!</v>
      </c>
      <c r="BI15" s="29" t="e">
        <f>IF(#REF!&lt;&gt;"N/A",Priority!$C15,"")</f>
        <v>#REF!</v>
      </c>
      <c r="BJ15" s="29" t="e">
        <f>IF(#REF!&lt;&gt;"N/A",Priority!$C15,"")</f>
        <v>#REF!</v>
      </c>
      <c r="BK15" s="29" t="e">
        <f>IF(#REF!&lt;&gt;"N/A",Priority!$C15,"")</f>
        <v>#REF!</v>
      </c>
      <c r="BL15" s="29" t="e">
        <f>IF(#REF!&lt;&gt;"N/A",Priority!$C15,"")</f>
        <v>#REF!</v>
      </c>
      <c r="BM15" s="31"/>
      <c r="BN15" s="29" t="e">
        <f>IF(#REF!&lt;&gt;"N/A",Priority!$C15,"")</f>
        <v>#REF!</v>
      </c>
      <c r="BO15" s="29" t="e">
        <f>IF(#REF!&lt;&gt;"N/A",Priority!$C15,"")</f>
        <v>#REF!</v>
      </c>
      <c r="BP15" s="29" t="e">
        <f>IF(#REF!&lt;&gt;"N/A",Priority!$C15,"")</f>
        <v>#REF!</v>
      </c>
      <c r="BQ15" s="29" t="e">
        <f>IF(#REF!&lt;&gt;"N/A",Priority!$C15,"")</f>
        <v>#REF!</v>
      </c>
      <c r="BR15" s="29" t="e">
        <f>IF(#REF!&lt;&gt;"N/A",Priority!$C15,"")</f>
        <v>#REF!</v>
      </c>
      <c r="BS15" s="29" t="e">
        <f>IF(#REF!&lt;&gt;"N/A",Priority!$C15,"")</f>
        <v>#REF!</v>
      </c>
      <c r="BT15" s="29" t="e">
        <f>IF(#REF!&lt;&gt;"N/A",Priority!$C15,"")</f>
        <v>#REF!</v>
      </c>
      <c r="BU15" s="31"/>
      <c r="BV15" s="29" t="e">
        <f>IF(#REF!&lt;&gt;"N/A",Priority!$C15,"")</f>
        <v>#REF!</v>
      </c>
      <c r="BW15" s="29" t="e">
        <f>IF(#REF!&lt;&gt;"N/A",Priority!$C15,"")</f>
        <v>#REF!</v>
      </c>
      <c r="BX15" s="29" t="e">
        <f>IF(#REF!&lt;&gt;"N/A",Priority!$C15,"")</f>
        <v>#REF!</v>
      </c>
      <c r="BY15" s="29" t="e">
        <f>IF(#REF!&lt;&gt;"N/A",Priority!$C15,"")</f>
        <v>#REF!</v>
      </c>
      <c r="BZ15" s="29" t="e">
        <f>IF(#REF!&lt;&gt;"N/A",Priority!$C15,"")</f>
        <v>#REF!</v>
      </c>
      <c r="CA15" s="29" t="e">
        <f>IF(#REF!&lt;&gt;"N/A",Priority!$C15,"")</f>
        <v>#REF!</v>
      </c>
      <c r="CB15" s="31"/>
      <c r="CC15" s="29" t="e">
        <f>IF(#REF!&lt;&gt;"N/A",Priority!$C15,"")</f>
        <v>#REF!</v>
      </c>
      <c r="CD15" s="29" t="e">
        <f>IF(#REF!&lt;&gt;"N/A",Priority!$C15,"")</f>
        <v>#REF!</v>
      </c>
      <c r="CE15" s="29" t="e">
        <f>IF(#REF!&lt;&gt;"N/A",Priority!$C15,"")</f>
        <v>#REF!</v>
      </c>
      <c r="CF15" s="29" t="e">
        <f>IF(#REF!&lt;&gt;"N/A",Priority!$C15,"")</f>
        <v>#REF!</v>
      </c>
    </row>
    <row r="16" spans="1:86" ht="30">
      <c r="A16" s="15" t="e">
        <f>#REF!</f>
        <v>#REF!</v>
      </c>
      <c r="B16" s="15" t="e">
        <f>#REF!</f>
        <v>#REF!</v>
      </c>
      <c r="C16" s="15" t="e">
        <f>#REF!</f>
        <v>#REF!</v>
      </c>
      <c r="D16" s="20" t="s">
        <v>143</v>
      </c>
      <c r="E16" s="30" t="str">
        <f t="shared" si="7"/>
        <v>Pending</v>
      </c>
      <c r="F16" s="30" t="str">
        <f t="shared" si="8"/>
        <v>Pass:  0     /Accept:  0/     Fail:  0/     NT:  0</v>
      </c>
      <c r="G16" s="29" t="e">
        <f>IF(#REF!&lt;&gt;"N/A",Priority!$C16,"")</f>
        <v>#REF!</v>
      </c>
      <c r="H16" s="29" t="e">
        <f>IF(#REF!&lt;&gt;"N/A",Priority!$C16,"")</f>
        <v>#REF!</v>
      </c>
      <c r="I16" s="29" t="e">
        <f>IF(#REF!&lt;&gt;"N/A",Priority!$C16,"")</f>
        <v>#REF!</v>
      </c>
      <c r="J16" s="29" t="e">
        <f>IF(#REF!&lt;&gt;"N/A",Priority!$C16,"")</f>
        <v>#REF!</v>
      </c>
      <c r="K16" s="29" t="e">
        <f>IF(#REF!&lt;&gt;"N/A",Priority!$C16,"")</f>
        <v>#REF!</v>
      </c>
      <c r="L16" s="31"/>
      <c r="M16" s="29" t="e">
        <f>IF(#REF!&lt;&gt;"N/A",Priority!$C16,"")</f>
        <v>#REF!</v>
      </c>
      <c r="N16" s="29" t="e">
        <f>IF(#REF!&lt;&gt;"N/A",Priority!$C16,"")</f>
        <v>#REF!</v>
      </c>
      <c r="O16" s="29" t="e">
        <f>IF(#REF!&lt;&gt;"N/A",Priority!$C16,"")</f>
        <v>#REF!</v>
      </c>
      <c r="P16" s="29" t="e">
        <f>IF(#REF!&lt;&gt;"N/A",Priority!$C16,"")</f>
        <v>#REF!</v>
      </c>
      <c r="Q16" s="29" t="e">
        <f>IF(#REF!&lt;&gt;"N/A",Priority!$C16,"")</f>
        <v>#REF!</v>
      </c>
      <c r="R16" s="31"/>
      <c r="S16" s="29" t="e">
        <f>IF(#REF!&lt;&gt;"N/A",Priority!$C16,"")</f>
        <v>#REF!</v>
      </c>
      <c r="T16" s="29" t="e">
        <f>IF(#REF!&lt;&gt;"N/A",Priority!$C16,"")</f>
        <v>#REF!</v>
      </c>
      <c r="U16" s="29" t="e">
        <f>IF(#REF!&lt;&gt;"N/A",Priority!$C16,"")</f>
        <v>#REF!</v>
      </c>
      <c r="V16" s="29" t="e">
        <f>IF(#REF!&lt;&gt;"N/A",Priority!$C16,"")</f>
        <v>#REF!</v>
      </c>
      <c r="W16" s="29" t="e">
        <f>IF(#REF!&lt;&gt;"N/A",Priority!$C16,"")</f>
        <v>#REF!</v>
      </c>
      <c r="X16" s="29" t="e">
        <f>IF(#REF!&lt;&gt;"N/A",Priority!$C16,"")</f>
        <v>#REF!</v>
      </c>
      <c r="Y16" s="31"/>
      <c r="Z16" s="29" t="e">
        <f>IF(#REF!&lt;&gt;"N/A",Priority!$C16,"")</f>
        <v>#REF!</v>
      </c>
      <c r="AA16" s="29" t="e">
        <f>IF(#REF!&lt;&gt;"N/A",Priority!$C16,"")</f>
        <v>#REF!</v>
      </c>
      <c r="AB16" s="29" t="e">
        <f>IF(#REF!&lt;&gt;"N/A",Priority!$C16,"")</f>
        <v>#REF!</v>
      </c>
      <c r="AC16" s="29" t="e">
        <f>IF(#REF!&lt;&gt;"N/A",Priority!$C16,"")</f>
        <v>#REF!</v>
      </c>
      <c r="AD16" s="29" t="e">
        <f>IF(#REF!&lt;&gt;"N/A",Priority!$C16,"")</f>
        <v>#REF!</v>
      </c>
      <c r="AE16" s="29" t="e">
        <f>IF(#REF!&lt;&gt;"N/A",Priority!$C16,"")</f>
        <v>#REF!</v>
      </c>
      <c r="AF16" s="29" t="e">
        <f>IF(#REF!&lt;&gt;"N/A",Priority!$C16,"")</f>
        <v>#REF!</v>
      </c>
      <c r="AG16" s="29" t="e">
        <f>IF(#REF!&lt;&gt;"N/A",Priority!$C16,"")</f>
        <v>#REF!</v>
      </c>
      <c r="AH16" s="29" t="e">
        <f>IF(#REF!&lt;&gt;"N/A",Priority!$C16,"")</f>
        <v>#REF!</v>
      </c>
      <c r="AI16" s="29" t="e">
        <f>IF(#REF!&lt;&gt;"N/A",Priority!$C16,"")</f>
        <v>#REF!</v>
      </c>
      <c r="AJ16" s="31"/>
      <c r="AK16" s="29" t="e">
        <f>IF(#REF!&lt;&gt;"N/A",Priority!$C16,"")</f>
        <v>#REF!</v>
      </c>
      <c r="AL16" s="29" t="e">
        <f>IF(#REF!&lt;&gt;"N/A",Priority!$C16,"")</f>
        <v>#REF!</v>
      </c>
      <c r="AM16" s="29" t="e">
        <f>IF(#REF!&lt;&gt;"N/A",Priority!$C16,"")</f>
        <v>#REF!</v>
      </c>
      <c r="AN16" s="29" t="e">
        <f>IF(#REF!&lt;&gt;"N/A",Priority!$C16,"")</f>
        <v>#REF!</v>
      </c>
      <c r="AO16" s="29" t="e">
        <f>IF(#REF!&lt;&gt;"N/A",Priority!$C16,"")</f>
        <v>#REF!</v>
      </c>
      <c r="AP16" s="29" t="e">
        <f>IF(#REF!&lt;&gt;"N/A",Priority!$C16,"")</f>
        <v>#REF!</v>
      </c>
      <c r="AQ16" s="29" t="e">
        <f>IF(#REF!&lt;&gt;"N/A",Priority!$C16,"")</f>
        <v>#REF!</v>
      </c>
      <c r="AR16" s="29" t="e">
        <f>IF(#REF!&lt;&gt;"N/A",Priority!$C16,"")</f>
        <v>#REF!</v>
      </c>
      <c r="AS16" s="29" t="e">
        <f>IF(#REF!&lt;&gt;"N/A",Priority!$C16,"")</f>
        <v>#REF!</v>
      </c>
      <c r="AT16" s="29" t="e">
        <f>IF(#REF!&lt;&gt;"N/A",Priority!$C16,"")</f>
        <v>#REF!</v>
      </c>
      <c r="AU16" s="31"/>
      <c r="AV16" s="29" t="e">
        <f>IF(#REF!&lt;&gt;"N/A",Priority!$C16,"")</f>
        <v>#REF!</v>
      </c>
      <c r="AW16" s="29" t="e">
        <f>IF(#REF!&lt;&gt;"N/A",Priority!$C16,"")</f>
        <v>#REF!</v>
      </c>
      <c r="AX16" s="29" t="e">
        <f>IF(#REF!&lt;&gt;"N/A",Priority!$C16,"")</f>
        <v>#REF!</v>
      </c>
      <c r="AY16" s="29" t="e">
        <f>IF(#REF!&lt;&gt;"N/A",Priority!$C16,"")</f>
        <v>#REF!</v>
      </c>
      <c r="AZ16" s="29" t="e">
        <f>IF(#REF!&lt;&gt;"N/A",Priority!$C16,"")</f>
        <v>#REF!</v>
      </c>
      <c r="BA16" s="29" t="e">
        <f>IF(#REF!&lt;&gt;"N/A",Priority!$C16,"")</f>
        <v>#REF!</v>
      </c>
      <c r="BB16" s="29" t="e">
        <f>IF(#REF!&lt;&gt;"N/A",Priority!$C16,"")</f>
        <v>#REF!</v>
      </c>
      <c r="BC16" s="31"/>
      <c r="BD16" s="29" t="e">
        <f>IF(#REF!&lt;&gt;"N/A",Priority!$C16,"")</f>
        <v>#REF!</v>
      </c>
      <c r="BE16" s="29" t="e">
        <f>IF(#REF!&lt;&gt;"N/A",Priority!$C16,"")</f>
        <v>#REF!</v>
      </c>
      <c r="BF16" s="29" t="e">
        <f>IF(#REF!&lt;&gt;"N/A",Priority!$C16,"")</f>
        <v>#REF!</v>
      </c>
      <c r="BG16" s="29" t="e">
        <f>IF(#REF!&lt;&gt;"N/A",Priority!$C16,"")</f>
        <v>#REF!</v>
      </c>
      <c r="BH16" s="29" t="e">
        <f>IF(#REF!&lt;&gt;"N/A",Priority!$C16,"")</f>
        <v>#REF!</v>
      </c>
      <c r="BI16" s="29" t="e">
        <f>IF(#REF!&lt;&gt;"N/A",Priority!$C16,"")</f>
        <v>#REF!</v>
      </c>
      <c r="BJ16" s="29" t="e">
        <f>IF(#REF!&lt;&gt;"N/A",Priority!$C16,"")</f>
        <v>#REF!</v>
      </c>
      <c r="BK16" s="29" t="e">
        <f>IF(#REF!&lt;&gt;"N/A",Priority!$C16,"")</f>
        <v>#REF!</v>
      </c>
      <c r="BL16" s="29" t="e">
        <f>IF(#REF!&lt;&gt;"N/A",Priority!$C16,"")</f>
        <v>#REF!</v>
      </c>
      <c r="BM16" s="31"/>
      <c r="BN16" s="29" t="e">
        <f>IF(#REF!&lt;&gt;"N/A",Priority!$C16,"")</f>
        <v>#REF!</v>
      </c>
      <c r="BO16" s="29" t="e">
        <f>IF(#REF!&lt;&gt;"N/A",Priority!$C16,"")</f>
        <v>#REF!</v>
      </c>
      <c r="BP16" s="29" t="e">
        <f>IF(#REF!&lt;&gt;"N/A",Priority!$C16,"")</f>
        <v>#REF!</v>
      </c>
      <c r="BQ16" s="29" t="e">
        <f>IF(#REF!&lt;&gt;"N/A",Priority!$C16,"")</f>
        <v>#REF!</v>
      </c>
      <c r="BR16" s="29" t="e">
        <f>IF(#REF!&lt;&gt;"N/A",Priority!$C16,"")</f>
        <v>#REF!</v>
      </c>
      <c r="BS16" s="29" t="e">
        <f>IF(#REF!&lt;&gt;"N/A",Priority!$C16,"")</f>
        <v>#REF!</v>
      </c>
      <c r="BT16" s="29" t="e">
        <f>IF(#REF!&lt;&gt;"N/A",Priority!$C16,"")</f>
        <v>#REF!</v>
      </c>
      <c r="BU16" s="31"/>
      <c r="BV16" s="29" t="e">
        <f>IF(#REF!&lt;&gt;"N/A",Priority!$C16,"")</f>
        <v>#REF!</v>
      </c>
      <c r="BW16" s="29" t="e">
        <f>IF(#REF!&lt;&gt;"N/A",Priority!$C16,"")</f>
        <v>#REF!</v>
      </c>
      <c r="BX16" s="29" t="e">
        <f>IF(#REF!&lt;&gt;"N/A",Priority!$C16,"")</f>
        <v>#REF!</v>
      </c>
      <c r="BY16" s="29" t="e">
        <f>IF(#REF!&lt;&gt;"N/A",Priority!$C16,"")</f>
        <v>#REF!</v>
      </c>
      <c r="BZ16" s="29" t="e">
        <f>IF(#REF!&lt;&gt;"N/A",Priority!$C16,"")</f>
        <v>#REF!</v>
      </c>
      <c r="CA16" s="29" t="e">
        <f>IF(#REF!&lt;&gt;"N/A",Priority!$C16,"")</f>
        <v>#REF!</v>
      </c>
      <c r="CB16" s="31"/>
      <c r="CC16" s="29" t="e">
        <f>IF(#REF!&lt;&gt;"N/A",Priority!$C16,"")</f>
        <v>#REF!</v>
      </c>
      <c r="CD16" s="29" t="e">
        <f>IF(#REF!&lt;&gt;"N/A",Priority!$C16,"")</f>
        <v>#REF!</v>
      </c>
      <c r="CE16" s="29" t="e">
        <f>IF(#REF!&lt;&gt;"N/A",Priority!$C16,"")</f>
        <v>#REF!</v>
      </c>
      <c r="CF16" s="29" t="e">
        <f>IF(#REF!&lt;&gt;"N/A",Priority!$C16,"")</f>
        <v>#REF!</v>
      </c>
    </row>
    <row r="17" spans="1:84" ht="30">
      <c r="A17" s="15" t="e">
        <f>#REF!</f>
        <v>#REF!</v>
      </c>
      <c r="B17" s="15" t="e">
        <f>#REF!</f>
        <v>#REF!</v>
      </c>
      <c r="C17" s="15" t="e">
        <f>#REF!</f>
        <v>#REF!</v>
      </c>
      <c r="D17" s="20" t="s">
        <v>143</v>
      </c>
      <c r="E17" s="30" t="str">
        <f t="shared" si="7"/>
        <v>Pending</v>
      </c>
      <c r="F17" s="30" t="str">
        <f t="shared" si="8"/>
        <v>Pass:  0     /Accept:  0/     Fail:  0/     NT:  0</v>
      </c>
      <c r="G17" s="29" t="e">
        <f>IF(#REF!&lt;&gt;"N/A",Priority!$C17,"")</f>
        <v>#REF!</v>
      </c>
      <c r="H17" s="29" t="e">
        <f>IF(#REF!&lt;&gt;"N/A",Priority!$C17,"")</f>
        <v>#REF!</v>
      </c>
      <c r="I17" s="29" t="e">
        <f>IF(#REF!&lt;&gt;"N/A",Priority!$C17,"")</f>
        <v>#REF!</v>
      </c>
      <c r="J17" s="29" t="e">
        <f>IF(#REF!&lt;&gt;"N/A",Priority!$C17,"")</f>
        <v>#REF!</v>
      </c>
      <c r="K17" s="29" t="e">
        <f>IF(#REF!&lt;&gt;"N/A",Priority!$C17,"")</f>
        <v>#REF!</v>
      </c>
      <c r="L17" s="31"/>
      <c r="M17" s="29" t="e">
        <f>IF(#REF!&lt;&gt;"N/A",Priority!$C17,"")</f>
        <v>#REF!</v>
      </c>
      <c r="N17" s="29" t="e">
        <f>IF(#REF!&lt;&gt;"N/A",Priority!$C17,"")</f>
        <v>#REF!</v>
      </c>
      <c r="O17" s="29" t="e">
        <f>IF(#REF!&lt;&gt;"N/A",Priority!$C17,"")</f>
        <v>#REF!</v>
      </c>
      <c r="P17" s="29" t="e">
        <f>IF(#REF!&lt;&gt;"N/A",Priority!$C17,"")</f>
        <v>#REF!</v>
      </c>
      <c r="Q17" s="29" t="e">
        <f>IF(#REF!&lt;&gt;"N/A",Priority!$C17,"")</f>
        <v>#REF!</v>
      </c>
      <c r="R17" s="31"/>
      <c r="S17" s="29" t="e">
        <f>IF(#REF!&lt;&gt;"N/A",Priority!$C17,"")</f>
        <v>#REF!</v>
      </c>
      <c r="T17" s="29" t="e">
        <f>IF(#REF!&lt;&gt;"N/A",Priority!$C17,"")</f>
        <v>#REF!</v>
      </c>
      <c r="U17" s="29" t="e">
        <f>IF(#REF!&lt;&gt;"N/A",Priority!$C17,"")</f>
        <v>#REF!</v>
      </c>
      <c r="V17" s="29" t="e">
        <f>IF(#REF!&lt;&gt;"N/A",Priority!$C17,"")</f>
        <v>#REF!</v>
      </c>
      <c r="W17" s="29" t="e">
        <f>IF(#REF!&lt;&gt;"N/A",Priority!$C17,"")</f>
        <v>#REF!</v>
      </c>
      <c r="X17" s="29" t="e">
        <f>IF(#REF!&lt;&gt;"N/A",Priority!$C17,"")</f>
        <v>#REF!</v>
      </c>
      <c r="Y17" s="31"/>
      <c r="Z17" s="29" t="e">
        <f>IF(#REF!&lt;&gt;"N/A",Priority!$C17,"")</f>
        <v>#REF!</v>
      </c>
      <c r="AA17" s="29" t="e">
        <f>IF(#REF!&lt;&gt;"N/A",Priority!$C17,"")</f>
        <v>#REF!</v>
      </c>
      <c r="AB17" s="29" t="e">
        <f>IF(#REF!&lt;&gt;"N/A",Priority!$C17,"")</f>
        <v>#REF!</v>
      </c>
      <c r="AC17" s="29" t="e">
        <f>IF(#REF!&lt;&gt;"N/A",Priority!$C17,"")</f>
        <v>#REF!</v>
      </c>
      <c r="AD17" s="29" t="e">
        <f>IF(#REF!&lt;&gt;"N/A",Priority!$C17,"")</f>
        <v>#REF!</v>
      </c>
      <c r="AE17" s="29" t="e">
        <f>IF(#REF!&lt;&gt;"N/A",Priority!$C17,"")</f>
        <v>#REF!</v>
      </c>
      <c r="AF17" s="29" t="e">
        <f>IF(#REF!&lt;&gt;"N/A",Priority!$C17,"")</f>
        <v>#REF!</v>
      </c>
      <c r="AG17" s="29" t="e">
        <f>IF(#REF!&lt;&gt;"N/A",Priority!$C17,"")</f>
        <v>#REF!</v>
      </c>
      <c r="AH17" s="29" t="e">
        <f>IF(#REF!&lt;&gt;"N/A",Priority!$C17,"")</f>
        <v>#REF!</v>
      </c>
      <c r="AI17" s="29" t="e">
        <f>IF(#REF!&lt;&gt;"N/A",Priority!$C17,"")</f>
        <v>#REF!</v>
      </c>
      <c r="AJ17" s="31"/>
      <c r="AK17" s="29" t="e">
        <f>IF(#REF!&lt;&gt;"N/A",Priority!$C17,"")</f>
        <v>#REF!</v>
      </c>
      <c r="AL17" s="29" t="e">
        <f>IF(#REF!&lt;&gt;"N/A",Priority!$C17,"")</f>
        <v>#REF!</v>
      </c>
      <c r="AM17" s="29" t="e">
        <f>IF(#REF!&lt;&gt;"N/A",Priority!$C17,"")</f>
        <v>#REF!</v>
      </c>
      <c r="AN17" s="29" t="e">
        <f>IF(#REF!&lt;&gt;"N/A",Priority!$C17,"")</f>
        <v>#REF!</v>
      </c>
      <c r="AO17" s="29" t="e">
        <f>IF(#REF!&lt;&gt;"N/A",Priority!$C17,"")</f>
        <v>#REF!</v>
      </c>
      <c r="AP17" s="29" t="e">
        <f>IF(#REF!&lt;&gt;"N/A",Priority!$C17,"")</f>
        <v>#REF!</v>
      </c>
      <c r="AQ17" s="29" t="e">
        <f>IF(#REF!&lt;&gt;"N/A",Priority!$C17,"")</f>
        <v>#REF!</v>
      </c>
      <c r="AR17" s="29" t="e">
        <f>IF(#REF!&lt;&gt;"N/A",Priority!$C17,"")</f>
        <v>#REF!</v>
      </c>
      <c r="AS17" s="29" t="e">
        <f>IF(#REF!&lt;&gt;"N/A",Priority!$C17,"")</f>
        <v>#REF!</v>
      </c>
      <c r="AT17" s="29" t="e">
        <f>IF(#REF!&lt;&gt;"N/A",Priority!$C17,"")</f>
        <v>#REF!</v>
      </c>
      <c r="AU17" s="31"/>
      <c r="AV17" s="29" t="e">
        <f>IF(#REF!&lt;&gt;"N/A",Priority!$C17,"")</f>
        <v>#REF!</v>
      </c>
      <c r="AW17" s="29" t="e">
        <f>IF(#REF!&lt;&gt;"N/A",Priority!$C17,"")</f>
        <v>#REF!</v>
      </c>
      <c r="AX17" s="29" t="e">
        <f>IF(#REF!&lt;&gt;"N/A",Priority!$C17,"")</f>
        <v>#REF!</v>
      </c>
      <c r="AY17" s="29" t="e">
        <f>IF(#REF!&lt;&gt;"N/A",Priority!$C17,"")</f>
        <v>#REF!</v>
      </c>
      <c r="AZ17" s="29" t="e">
        <f>IF(#REF!&lt;&gt;"N/A",Priority!$C17,"")</f>
        <v>#REF!</v>
      </c>
      <c r="BA17" s="29" t="e">
        <f>IF(#REF!&lt;&gt;"N/A",Priority!$C17,"")</f>
        <v>#REF!</v>
      </c>
      <c r="BB17" s="29" t="e">
        <f>IF(#REF!&lt;&gt;"N/A",Priority!$C17,"")</f>
        <v>#REF!</v>
      </c>
      <c r="BC17" s="31"/>
      <c r="BD17" s="29" t="e">
        <f>IF(#REF!&lt;&gt;"N/A",Priority!$C17,"")</f>
        <v>#REF!</v>
      </c>
      <c r="BE17" s="29" t="e">
        <f>IF(#REF!&lt;&gt;"N/A",Priority!$C17,"")</f>
        <v>#REF!</v>
      </c>
      <c r="BF17" s="29" t="e">
        <f>IF(#REF!&lt;&gt;"N/A",Priority!$C17,"")</f>
        <v>#REF!</v>
      </c>
      <c r="BG17" s="29" t="e">
        <f>IF(#REF!&lt;&gt;"N/A",Priority!$C17,"")</f>
        <v>#REF!</v>
      </c>
      <c r="BH17" s="29" t="e">
        <f>IF(#REF!&lt;&gt;"N/A",Priority!$C17,"")</f>
        <v>#REF!</v>
      </c>
      <c r="BI17" s="29" t="e">
        <f>IF(#REF!&lt;&gt;"N/A",Priority!$C17,"")</f>
        <v>#REF!</v>
      </c>
      <c r="BJ17" s="29" t="e">
        <f>IF(#REF!&lt;&gt;"N/A",Priority!$C17,"")</f>
        <v>#REF!</v>
      </c>
      <c r="BK17" s="29" t="e">
        <f>IF(#REF!&lt;&gt;"N/A",Priority!$C17,"")</f>
        <v>#REF!</v>
      </c>
      <c r="BL17" s="29" t="e">
        <f>IF(#REF!&lt;&gt;"N/A",Priority!$C17,"")</f>
        <v>#REF!</v>
      </c>
      <c r="BM17" s="31"/>
      <c r="BN17" s="29" t="e">
        <f>IF(#REF!&lt;&gt;"N/A",Priority!$C17,"")</f>
        <v>#REF!</v>
      </c>
      <c r="BO17" s="29" t="e">
        <f>IF(#REF!&lt;&gt;"N/A",Priority!$C17,"")</f>
        <v>#REF!</v>
      </c>
      <c r="BP17" s="29" t="e">
        <f>IF(#REF!&lt;&gt;"N/A",Priority!$C17,"")</f>
        <v>#REF!</v>
      </c>
      <c r="BQ17" s="29" t="e">
        <f>IF(#REF!&lt;&gt;"N/A",Priority!$C17,"")</f>
        <v>#REF!</v>
      </c>
      <c r="BR17" s="29" t="e">
        <f>IF(#REF!&lt;&gt;"N/A",Priority!$C17,"")</f>
        <v>#REF!</v>
      </c>
      <c r="BS17" s="29" t="e">
        <f>IF(#REF!&lt;&gt;"N/A",Priority!$C17,"")</f>
        <v>#REF!</v>
      </c>
      <c r="BT17" s="29" t="e">
        <f>IF(#REF!&lt;&gt;"N/A",Priority!$C17,"")</f>
        <v>#REF!</v>
      </c>
      <c r="BU17" s="31"/>
      <c r="BV17" s="29" t="e">
        <f>IF(#REF!&lt;&gt;"N/A",Priority!$C17,"")</f>
        <v>#REF!</v>
      </c>
      <c r="BW17" s="29" t="e">
        <f>IF(#REF!&lt;&gt;"N/A",Priority!$C17,"")</f>
        <v>#REF!</v>
      </c>
      <c r="BX17" s="29" t="e">
        <f>IF(#REF!&lt;&gt;"N/A",Priority!$C17,"")</f>
        <v>#REF!</v>
      </c>
      <c r="BY17" s="29" t="e">
        <f>IF(#REF!&lt;&gt;"N/A",Priority!$C17,"")</f>
        <v>#REF!</v>
      </c>
      <c r="BZ17" s="29" t="e">
        <f>IF(#REF!&lt;&gt;"N/A",Priority!$C17,"")</f>
        <v>#REF!</v>
      </c>
      <c r="CA17" s="29" t="e">
        <f>IF(#REF!&lt;&gt;"N/A",Priority!$C17,"")</f>
        <v>#REF!</v>
      </c>
      <c r="CB17" s="31"/>
      <c r="CC17" s="29" t="e">
        <f>IF(#REF!&lt;&gt;"N/A",Priority!$C17,"")</f>
        <v>#REF!</v>
      </c>
      <c r="CD17" s="29" t="e">
        <f>IF(#REF!&lt;&gt;"N/A",Priority!$C17,"")</f>
        <v>#REF!</v>
      </c>
      <c r="CE17" s="29" t="e">
        <f>IF(#REF!&lt;&gt;"N/A",Priority!$C17,"")</f>
        <v>#REF!</v>
      </c>
      <c r="CF17" s="29" t="e">
        <f>IF(#REF!&lt;&gt;"N/A",Priority!$C17,"")</f>
        <v>#REF!</v>
      </c>
    </row>
    <row r="18" spans="1:84" ht="30">
      <c r="A18" s="15" t="e">
        <f>#REF!</f>
        <v>#REF!</v>
      </c>
      <c r="B18" s="15" t="e">
        <f>#REF!</f>
        <v>#REF!</v>
      </c>
      <c r="C18" s="15" t="e">
        <f>#REF!</f>
        <v>#REF!</v>
      </c>
      <c r="D18" s="20" t="s">
        <v>137</v>
      </c>
      <c r="E18" s="30" t="str">
        <f t="shared" si="7"/>
        <v>Pending</v>
      </c>
      <c r="F18" s="30" t="str">
        <f t="shared" si="8"/>
        <v>Pass:  0     /Accept:  0/     Fail:  0/     NT:  0</v>
      </c>
      <c r="G18" s="29" t="e">
        <f>IF(#REF!&lt;&gt;"N/A",Priority!$C18,"")</f>
        <v>#REF!</v>
      </c>
      <c r="H18" s="29" t="e">
        <f>IF(#REF!&lt;&gt;"N/A",Priority!$C18,"")</f>
        <v>#REF!</v>
      </c>
      <c r="I18" s="29" t="e">
        <f>IF(#REF!&lt;&gt;"N/A",Priority!$C18,"")</f>
        <v>#REF!</v>
      </c>
      <c r="J18" s="29" t="e">
        <f>IF(#REF!&lt;&gt;"N/A",Priority!$C18,"")</f>
        <v>#REF!</v>
      </c>
      <c r="K18" s="29" t="e">
        <f>IF(#REF!&lt;&gt;"N/A",Priority!$C18,"")</f>
        <v>#REF!</v>
      </c>
      <c r="L18" s="31"/>
      <c r="M18" s="29" t="e">
        <f>IF(#REF!&lt;&gt;"N/A",Priority!$C18,"")</f>
        <v>#REF!</v>
      </c>
      <c r="N18" s="29" t="e">
        <f>IF(#REF!&lt;&gt;"N/A",Priority!$C18,"")</f>
        <v>#REF!</v>
      </c>
      <c r="O18" s="29" t="e">
        <f>IF(#REF!&lt;&gt;"N/A",Priority!$C18,"")</f>
        <v>#REF!</v>
      </c>
      <c r="P18" s="29" t="e">
        <f>IF(#REF!&lt;&gt;"N/A",Priority!$C18,"")</f>
        <v>#REF!</v>
      </c>
      <c r="Q18" s="29" t="e">
        <f>IF(#REF!&lt;&gt;"N/A",Priority!$C18,"")</f>
        <v>#REF!</v>
      </c>
      <c r="R18" s="31"/>
      <c r="S18" s="29" t="e">
        <f>IF(#REF!&lt;&gt;"N/A",Priority!$C18,"")</f>
        <v>#REF!</v>
      </c>
      <c r="T18" s="29" t="e">
        <f>IF(#REF!&lt;&gt;"N/A",Priority!$C18,"")</f>
        <v>#REF!</v>
      </c>
      <c r="U18" s="29" t="e">
        <f>IF(#REF!&lt;&gt;"N/A",Priority!$C18,"")</f>
        <v>#REF!</v>
      </c>
      <c r="V18" s="29" t="e">
        <f>IF(#REF!&lt;&gt;"N/A",Priority!$C18,"")</f>
        <v>#REF!</v>
      </c>
      <c r="W18" s="29" t="e">
        <f>IF(#REF!&lt;&gt;"N/A",Priority!$C18,"")</f>
        <v>#REF!</v>
      </c>
      <c r="X18" s="29" t="e">
        <f>IF(#REF!&lt;&gt;"N/A",Priority!$C18,"")</f>
        <v>#REF!</v>
      </c>
      <c r="Y18" s="31"/>
      <c r="Z18" s="29" t="e">
        <f>IF(#REF!&lt;&gt;"N/A",Priority!$C18,"")</f>
        <v>#REF!</v>
      </c>
      <c r="AA18" s="29" t="e">
        <f>IF(#REF!&lt;&gt;"N/A",Priority!$C18,"")</f>
        <v>#REF!</v>
      </c>
      <c r="AB18" s="29" t="e">
        <f>IF(#REF!&lt;&gt;"N/A",Priority!$C18,"")</f>
        <v>#REF!</v>
      </c>
      <c r="AC18" s="29" t="e">
        <f>IF(#REF!&lt;&gt;"N/A",Priority!$C18,"")</f>
        <v>#REF!</v>
      </c>
      <c r="AD18" s="29" t="e">
        <f>IF(#REF!&lt;&gt;"N/A",Priority!$C18,"")</f>
        <v>#REF!</v>
      </c>
      <c r="AE18" s="29" t="e">
        <f>IF(#REF!&lt;&gt;"N/A",Priority!$C18,"")</f>
        <v>#REF!</v>
      </c>
      <c r="AF18" s="29" t="e">
        <f>IF(#REF!&lt;&gt;"N/A",Priority!$C18,"")</f>
        <v>#REF!</v>
      </c>
      <c r="AG18" s="29" t="e">
        <f>IF(#REF!&lt;&gt;"N/A",Priority!$C18,"")</f>
        <v>#REF!</v>
      </c>
      <c r="AH18" s="29" t="e">
        <f>IF(#REF!&lt;&gt;"N/A",Priority!$C18,"")</f>
        <v>#REF!</v>
      </c>
      <c r="AI18" s="29" t="e">
        <f>IF(#REF!&lt;&gt;"N/A",Priority!$C18,"")</f>
        <v>#REF!</v>
      </c>
      <c r="AJ18" s="31"/>
      <c r="AK18" s="29" t="e">
        <f>IF(#REF!&lt;&gt;"N/A",Priority!$C18,"")</f>
        <v>#REF!</v>
      </c>
      <c r="AL18" s="29" t="e">
        <f>IF(#REF!&lt;&gt;"N/A",Priority!$C18,"")</f>
        <v>#REF!</v>
      </c>
      <c r="AM18" s="29" t="e">
        <f>IF(#REF!&lt;&gt;"N/A",Priority!$C18,"")</f>
        <v>#REF!</v>
      </c>
      <c r="AN18" s="29" t="e">
        <f>IF(#REF!&lt;&gt;"N/A",Priority!$C18,"")</f>
        <v>#REF!</v>
      </c>
      <c r="AO18" s="29" t="e">
        <f>IF(#REF!&lt;&gt;"N/A",Priority!$C18,"")</f>
        <v>#REF!</v>
      </c>
      <c r="AP18" s="29" t="e">
        <f>IF(#REF!&lt;&gt;"N/A",Priority!$C18,"")</f>
        <v>#REF!</v>
      </c>
      <c r="AQ18" s="29" t="e">
        <f>IF(#REF!&lt;&gt;"N/A",Priority!$C18,"")</f>
        <v>#REF!</v>
      </c>
      <c r="AR18" s="29" t="e">
        <f>IF(#REF!&lt;&gt;"N/A",Priority!$C18,"")</f>
        <v>#REF!</v>
      </c>
      <c r="AS18" s="29" t="e">
        <f>IF(#REF!&lt;&gt;"N/A",Priority!$C18,"")</f>
        <v>#REF!</v>
      </c>
      <c r="AT18" s="29" t="e">
        <f>IF(#REF!&lt;&gt;"N/A",Priority!$C18,"")</f>
        <v>#REF!</v>
      </c>
      <c r="AU18" s="31"/>
      <c r="AV18" s="29" t="e">
        <f>IF(#REF!&lt;&gt;"N/A",Priority!$C18,"")</f>
        <v>#REF!</v>
      </c>
      <c r="AW18" s="29" t="e">
        <f>IF(#REF!&lt;&gt;"N/A",Priority!$C18,"")</f>
        <v>#REF!</v>
      </c>
      <c r="AX18" s="29" t="e">
        <f>IF(#REF!&lt;&gt;"N/A",Priority!$C18,"")</f>
        <v>#REF!</v>
      </c>
      <c r="AY18" s="29" t="e">
        <f>IF(#REF!&lt;&gt;"N/A",Priority!$C18,"")</f>
        <v>#REF!</v>
      </c>
      <c r="AZ18" s="29" t="e">
        <f>IF(#REF!&lt;&gt;"N/A",Priority!$C18,"")</f>
        <v>#REF!</v>
      </c>
      <c r="BA18" s="29" t="e">
        <f>IF(#REF!&lt;&gt;"N/A",Priority!$C18,"")</f>
        <v>#REF!</v>
      </c>
      <c r="BB18" s="29" t="e">
        <f>IF(#REF!&lt;&gt;"N/A",Priority!$C18,"")</f>
        <v>#REF!</v>
      </c>
      <c r="BC18" s="31"/>
      <c r="BD18" s="29" t="e">
        <f>IF(#REF!&lt;&gt;"N/A",Priority!$C18,"")</f>
        <v>#REF!</v>
      </c>
      <c r="BE18" s="29" t="e">
        <f>IF(#REF!&lt;&gt;"N/A",Priority!$C18,"")</f>
        <v>#REF!</v>
      </c>
      <c r="BF18" s="29" t="e">
        <f>IF(#REF!&lt;&gt;"N/A",Priority!$C18,"")</f>
        <v>#REF!</v>
      </c>
      <c r="BG18" s="29" t="e">
        <f>IF(#REF!&lt;&gt;"N/A",Priority!$C18,"")</f>
        <v>#REF!</v>
      </c>
      <c r="BH18" s="29" t="e">
        <f>IF(#REF!&lt;&gt;"N/A",Priority!$C18,"")</f>
        <v>#REF!</v>
      </c>
      <c r="BI18" s="29" t="e">
        <f>IF(#REF!&lt;&gt;"N/A",Priority!$C18,"")</f>
        <v>#REF!</v>
      </c>
      <c r="BJ18" s="29" t="e">
        <f>IF(#REF!&lt;&gt;"N/A",Priority!$C18,"")</f>
        <v>#REF!</v>
      </c>
      <c r="BK18" s="29" t="e">
        <f>IF(#REF!&lt;&gt;"N/A",Priority!$C18,"")</f>
        <v>#REF!</v>
      </c>
      <c r="BL18" s="29" t="e">
        <f>IF(#REF!&lt;&gt;"N/A",Priority!$C18,"")</f>
        <v>#REF!</v>
      </c>
      <c r="BM18" s="31"/>
      <c r="BN18" s="29" t="e">
        <f>IF(#REF!&lt;&gt;"N/A",Priority!$C18,"")</f>
        <v>#REF!</v>
      </c>
      <c r="BO18" s="29" t="e">
        <f>IF(#REF!&lt;&gt;"N/A",Priority!$C18,"")</f>
        <v>#REF!</v>
      </c>
      <c r="BP18" s="29" t="e">
        <f>IF(#REF!&lt;&gt;"N/A",Priority!$C18,"")</f>
        <v>#REF!</v>
      </c>
      <c r="BQ18" s="29" t="e">
        <f>IF(#REF!&lt;&gt;"N/A",Priority!$C18,"")</f>
        <v>#REF!</v>
      </c>
      <c r="BR18" s="29" t="e">
        <f>IF(#REF!&lt;&gt;"N/A",Priority!$C18,"")</f>
        <v>#REF!</v>
      </c>
      <c r="BS18" s="29" t="e">
        <f>IF(#REF!&lt;&gt;"N/A",Priority!$C18,"")</f>
        <v>#REF!</v>
      </c>
      <c r="BT18" s="29" t="e">
        <f>IF(#REF!&lt;&gt;"N/A",Priority!$C18,"")</f>
        <v>#REF!</v>
      </c>
      <c r="BU18" s="31"/>
      <c r="BV18" s="29" t="e">
        <f>IF(#REF!&lt;&gt;"N/A",Priority!$C18,"")</f>
        <v>#REF!</v>
      </c>
      <c r="BW18" s="29" t="e">
        <f>IF(#REF!&lt;&gt;"N/A",Priority!$C18,"")</f>
        <v>#REF!</v>
      </c>
      <c r="BX18" s="29" t="e">
        <f>IF(#REF!&lt;&gt;"N/A",Priority!$C18,"")</f>
        <v>#REF!</v>
      </c>
      <c r="BY18" s="29" t="e">
        <f>IF(#REF!&lt;&gt;"N/A",Priority!$C18,"")</f>
        <v>#REF!</v>
      </c>
      <c r="BZ18" s="29" t="e">
        <f>IF(#REF!&lt;&gt;"N/A",Priority!$C18,"")</f>
        <v>#REF!</v>
      </c>
      <c r="CA18" s="29" t="e">
        <f>IF(#REF!&lt;&gt;"N/A",Priority!$C18,"")</f>
        <v>#REF!</v>
      </c>
      <c r="CB18" s="31"/>
      <c r="CC18" s="29" t="e">
        <f>IF(#REF!&lt;&gt;"N/A",Priority!$C18,"")</f>
        <v>#REF!</v>
      </c>
      <c r="CD18" s="29" t="e">
        <f>IF(#REF!&lt;&gt;"N/A",Priority!$C18,"")</f>
        <v>#REF!</v>
      </c>
      <c r="CE18" s="29" t="e">
        <f>IF(#REF!&lt;&gt;"N/A",Priority!$C18,"")</f>
        <v>#REF!</v>
      </c>
      <c r="CF18" s="29" t="e">
        <f>IF(#REF!&lt;&gt;"N/A",Priority!$C18,"")</f>
        <v>#REF!</v>
      </c>
    </row>
    <row r="19" spans="1:84" ht="30">
      <c r="A19" s="15" t="e">
        <f>#REF!</f>
        <v>#REF!</v>
      </c>
      <c r="B19" s="15" t="e">
        <f>#REF!</f>
        <v>#REF!</v>
      </c>
      <c r="C19" s="15" t="e">
        <f>#REF!</f>
        <v>#REF!</v>
      </c>
      <c r="D19" s="20" t="s">
        <v>139</v>
      </c>
      <c r="E19" s="30" t="str">
        <f t="shared" si="7"/>
        <v>Pending</v>
      </c>
      <c r="F19" s="30" t="str">
        <f t="shared" si="8"/>
        <v>Pass:  0     /Accept:  0/     Fail:  0/     NT:  0</v>
      </c>
      <c r="G19" s="29" t="e">
        <f>IF(#REF!&lt;&gt;"N/A",Priority!$C19,"")</f>
        <v>#REF!</v>
      </c>
      <c r="H19" s="29" t="e">
        <f>IF(#REF!&lt;&gt;"N/A",Priority!$C19,"")</f>
        <v>#REF!</v>
      </c>
      <c r="I19" s="29" t="e">
        <f>IF(#REF!&lt;&gt;"N/A",Priority!$C19,"")</f>
        <v>#REF!</v>
      </c>
      <c r="J19" s="29" t="e">
        <f>IF(#REF!&lt;&gt;"N/A",Priority!$C19,"")</f>
        <v>#REF!</v>
      </c>
      <c r="K19" s="29" t="e">
        <f>IF(#REF!&lt;&gt;"N/A",Priority!$C19,"")</f>
        <v>#REF!</v>
      </c>
      <c r="L19" s="31"/>
      <c r="M19" s="29" t="e">
        <f>IF(#REF!&lt;&gt;"N/A",Priority!$C19,"")</f>
        <v>#REF!</v>
      </c>
      <c r="N19" s="29" t="e">
        <f>IF(#REF!&lt;&gt;"N/A",Priority!$C19,"")</f>
        <v>#REF!</v>
      </c>
      <c r="O19" s="29" t="e">
        <f>IF(#REF!&lt;&gt;"N/A",Priority!$C19,"")</f>
        <v>#REF!</v>
      </c>
      <c r="P19" s="29" t="e">
        <f>IF(#REF!&lt;&gt;"N/A",Priority!$C19,"")</f>
        <v>#REF!</v>
      </c>
      <c r="Q19" s="29" t="e">
        <f>IF(#REF!&lt;&gt;"N/A",Priority!$C19,"")</f>
        <v>#REF!</v>
      </c>
      <c r="R19" s="31"/>
      <c r="S19" s="29" t="e">
        <f>IF(#REF!&lt;&gt;"N/A",Priority!$C19,"")</f>
        <v>#REF!</v>
      </c>
      <c r="T19" s="29" t="e">
        <f>IF(#REF!&lt;&gt;"N/A",Priority!$C19,"")</f>
        <v>#REF!</v>
      </c>
      <c r="U19" s="29" t="e">
        <f>IF(#REF!&lt;&gt;"N/A",Priority!$C19,"")</f>
        <v>#REF!</v>
      </c>
      <c r="V19" s="29" t="e">
        <f>IF(#REF!&lt;&gt;"N/A",Priority!$C19,"")</f>
        <v>#REF!</v>
      </c>
      <c r="W19" s="29" t="e">
        <f>IF(#REF!&lt;&gt;"N/A",Priority!$C19,"")</f>
        <v>#REF!</v>
      </c>
      <c r="X19" s="29" t="e">
        <f>IF(#REF!&lt;&gt;"N/A",Priority!$C19,"")</f>
        <v>#REF!</v>
      </c>
      <c r="Y19" s="31"/>
      <c r="Z19" s="29" t="e">
        <f>IF(#REF!&lt;&gt;"N/A",Priority!$C19,"")</f>
        <v>#REF!</v>
      </c>
      <c r="AA19" s="29" t="e">
        <f>IF(#REF!&lt;&gt;"N/A",Priority!$C19,"")</f>
        <v>#REF!</v>
      </c>
      <c r="AB19" s="29" t="e">
        <f>IF(#REF!&lt;&gt;"N/A",Priority!$C19,"")</f>
        <v>#REF!</v>
      </c>
      <c r="AC19" s="29" t="e">
        <f>IF(#REF!&lt;&gt;"N/A",Priority!$C19,"")</f>
        <v>#REF!</v>
      </c>
      <c r="AD19" s="29" t="e">
        <f>IF(#REF!&lt;&gt;"N/A",Priority!$C19,"")</f>
        <v>#REF!</v>
      </c>
      <c r="AE19" s="29" t="e">
        <f>IF(#REF!&lt;&gt;"N/A",Priority!$C19,"")</f>
        <v>#REF!</v>
      </c>
      <c r="AF19" s="29" t="e">
        <f>IF(#REF!&lt;&gt;"N/A",Priority!$C19,"")</f>
        <v>#REF!</v>
      </c>
      <c r="AG19" s="29" t="e">
        <f>IF(#REF!&lt;&gt;"N/A",Priority!$C19,"")</f>
        <v>#REF!</v>
      </c>
      <c r="AH19" s="29" t="e">
        <f>IF(#REF!&lt;&gt;"N/A",Priority!$C19,"")</f>
        <v>#REF!</v>
      </c>
      <c r="AI19" s="29" t="e">
        <f>IF(#REF!&lt;&gt;"N/A",Priority!$C19,"")</f>
        <v>#REF!</v>
      </c>
      <c r="AJ19" s="31"/>
      <c r="AK19" s="29" t="e">
        <f>IF(#REF!&lt;&gt;"N/A",Priority!$C19,"")</f>
        <v>#REF!</v>
      </c>
      <c r="AL19" s="29" t="e">
        <f>IF(#REF!&lt;&gt;"N/A",Priority!$C19,"")</f>
        <v>#REF!</v>
      </c>
      <c r="AM19" s="29" t="e">
        <f>IF(#REF!&lt;&gt;"N/A",Priority!$C19,"")</f>
        <v>#REF!</v>
      </c>
      <c r="AN19" s="29" t="e">
        <f>IF(#REF!&lt;&gt;"N/A",Priority!$C19,"")</f>
        <v>#REF!</v>
      </c>
      <c r="AO19" s="29" t="e">
        <f>IF(#REF!&lt;&gt;"N/A",Priority!$C19,"")</f>
        <v>#REF!</v>
      </c>
      <c r="AP19" s="29" t="e">
        <f>IF(#REF!&lt;&gt;"N/A",Priority!$C19,"")</f>
        <v>#REF!</v>
      </c>
      <c r="AQ19" s="29" t="e">
        <f>IF(#REF!&lt;&gt;"N/A",Priority!$C19,"")</f>
        <v>#REF!</v>
      </c>
      <c r="AR19" s="29" t="e">
        <f>IF(#REF!&lt;&gt;"N/A",Priority!$C19,"")</f>
        <v>#REF!</v>
      </c>
      <c r="AS19" s="29" t="e">
        <f>IF(#REF!&lt;&gt;"N/A",Priority!$C19,"")</f>
        <v>#REF!</v>
      </c>
      <c r="AT19" s="29" t="e">
        <f>IF(#REF!&lt;&gt;"N/A",Priority!$C19,"")</f>
        <v>#REF!</v>
      </c>
      <c r="AU19" s="31"/>
      <c r="AV19" s="29" t="e">
        <f>IF(#REF!&lt;&gt;"N/A",Priority!$C19,"")</f>
        <v>#REF!</v>
      </c>
      <c r="AW19" s="29" t="e">
        <f>IF(#REF!&lt;&gt;"N/A",Priority!$C19,"")</f>
        <v>#REF!</v>
      </c>
      <c r="AX19" s="29" t="e">
        <f>IF(#REF!&lt;&gt;"N/A",Priority!$C19,"")</f>
        <v>#REF!</v>
      </c>
      <c r="AY19" s="29" t="e">
        <f>IF(#REF!&lt;&gt;"N/A",Priority!$C19,"")</f>
        <v>#REF!</v>
      </c>
      <c r="AZ19" s="29" t="e">
        <f>IF(#REF!&lt;&gt;"N/A",Priority!$C19,"")</f>
        <v>#REF!</v>
      </c>
      <c r="BA19" s="29" t="e">
        <f>IF(#REF!&lt;&gt;"N/A",Priority!$C19,"")</f>
        <v>#REF!</v>
      </c>
      <c r="BB19" s="29" t="e">
        <f>IF(#REF!&lt;&gt;"N/A",Priority!$C19,"")</f>
        <v>#REF!</v>
      </c>
      <c r="BC19" s="31"/>
      <c r="BD19" s="29" t="e">
        <f>IF(#REF!&lt;&gt;"N/A",Priority!$C19,"")</f>
        <v>#REF!</v>
      </c>
      <c r="BE19" s="29" t="e">
        <f>IF(#REF!&lt;&gt;"N/A",Priority!$C19,"")</f>
        <v>#REF!</v>
      </c>
      <c r="BF19" s="29" t="e">
        <f>IF(#REF!&lt;&gt;"N/A",Priority!$C19,"")</f>
        <v>#REF!</v>
      </c>
      <c r="BG19" s="29" t="e">
        <f>IF(#REF!&lt;&gt;"N/A",Priority!$C19,"")</f>
        <v>#REF!</v>
      </c>
      <c r="BH19" s="29" t="e">
        <f>IF(#REF!&lt;&gt;"N/A",Priority!$C19,"")</f>
        <v>#REF!</v>
      </c>
      <c r="BI19" s="29" t="e">
        <f>IF(#REF!&lt;&gt;"N/A",Priority!$C19,"")</f>
        <v>#REF!</v>
      </c>
      <c r="BJ19" s="29" t="e">
        <f>IF(#REF!&lt;&gt;"N/A",Priority!$C19,"")</f>
        <v>#REF!</v>
      </c>
      <c r="BK19" s="29" t="e">
        <f>IF(#REF!&lt;&gt;"N/A",Priority!$C19,"")</f>
        <v>#REF!</v>
      </c>
      <c r="BL19" s="29" t="e">
        <f>IF(#REF!&lt;&gt;"N/A",Priority!$C19,"")</f>
        <v>#REF!</v>
      </c>
      <c r="BM19" s="31"/>
      <c r="BN19" s="29" t="e">
        <f>IF(#REF!&lt;&gt;"N/A",Priority!$C19,"")</f>
        <v>#REF!</v>
      </c>
      <c r="BO19" s="29" t="e">
        <f>IF(#REF!&lt;&gt;"N/A",Priority!$C19,"")</f>
        <v>#REF!</v>
      </c>
      <c r="BP19" s="29" t="e">
        <f>IF(#REF!&lt;&gt;"N/A",Priority!$C19,"")</f>
        <v>#REF!</v>
      </c>
      <c r="BQ19" s="29" t="e">
        <f>IF(#REF!&lt;&gt;"N/A",Priority!$C19,"")</f>
        <v>#REF!</v>
      </c>
      <c r="BR19" s="29" t="e">
        <f>IF(#REF!&lt;&gt;"N/A",Priority!$C19,"")</f>
        <v>#REF!</v>
      </c>
      <c r="BS19" s="29" t="e">
        <f>IF(#REF!&lt;&gt;"N/A",Priority!$C19,"")</f>
        <v>#REF!</v>
      </c>
      <c r="BT19" s="29" t="e">
        <f>IF(#REF!&lt;&gt;"N/A",Priority!$C19,"")</f>
        <v>#REF!</v>
      </c>
      <c r="BU19" s="31"/>
      <c r="BV19" s="29" t="e">
        <f>IF(#REF!&lt;&gt;"N/A",Priority!$C19,"")</f>
        <v>#REF!</v>
      </c>
      <c r="BW19" s="29" t="e">
        <f>IF(#REF!&lt;&gt;"N/A",Priority!$C19,"")</f>
        <v>#REF!</v>
      </c>
      <c r="BX19" s="29" t="e">
        <f>IF(#REF!&lt;&gt;"N/A",Priority!$C19,"")</f>
        <v>#REF!</v>
      </c>
      <c r="BY19" s="29" t="e">
        <f>IF(#REF!&lt;&gt;"N/A",Priority!$C19,"")</f>
        <v>#REF!</v>
      </c>
      <c r="BZ19" s="29" t="e">
        <f>IF(#REF!&lt;&gt;"N/A",Priority!$C19,"")</f>
        <v>#REF!</v>
      </c>
      <c r="CA19" s="29" t="e">
        <f>IF(#REF!&lt;&gt;"N/A",Priority!$C19,"")</f>
        <v>#REF!</v>
      </c>
      <c r="CB19" s="31"/>
      <c r="CC19" s="29" t="e">
        <f>IF(#REF!&lt;&gt;"N/A",Priority!$C19,"")</f>
        <v>#REF!</v>
      </c>
      <c r="CD19" s="29" t="e">
        <f>IF(#REF!&lt;&gt;"N/A",Priority!$C19,"")</f>
        <v>#REF!</v>
      </c>
      <c r="CE19" s="29" t="e">
        <f>IF(#REF!&lt;&gt;"N/A",Priority!$C19,"")</f>
        <v>#REF!</v>
      </c>
      <c r="CF19" s="29" t="e">
        <f>IF(#REF!&lt;&gt;"N/A",Priority!$C19,"")</f>
        <v>#REF!</v>
      </c>
    </row>
    <row r="20" spans="1:84" ht="15.75">
      <c r="A20" s="4" t="e">
        <f>#REF!</f>
        <v>#REF!</v>
      </c>
      <c r="B20" s="4"/>
      <c r="C20" s="2"/>
      <c r="D20" s="23"/>
      <c r="E20" s="23"/>
      <c r="F20" s="6"/>
      <c r="G20" s="6"/>
      <c r="H20" s="6"/>
      <c r="I20" s="6"/>
      <c r="J20" s="6"/>
      <c r="K20" s="6"/>
      <c r="L20" s="34"/>
      <c r="M20" s="6"/>
      <c r="N20" s="6"/>
      <c r="O20" s="6"/>
      <c r="P20" s="6"/>
      <c r="Q20" s="6"/>
      <c r="R20" s="34"/>
      <c r="S20" s="6"/>
      <c r="T20" s="6"/>
      <c r="U20" s="6"/>
      <c r="V20" s="6"/>
      <c r="W20" s="6"/>
      <c r="X20" s="6"/>
      <c r="Y20" s="34"/>
      <c r="Z20" s="6"/>
      <c r="AA20" s="6"/>
      <c r="AB20" s="6"/>
      <c r="AC20" s="6"/>
      <c r="AD20" s="6"/>
      <c r="AE20" s="6"/>
      <c r="AF20" s="6"/>
      <c r="AG20" s="6"/>
      <c r="AH20" s="6"/>
      <c r="AI20" s="6"/>
      <c r="AJ20" s="34"/>
      <c r="AK20" s="6"/>
      <c r="AL20" s="6"/>
      <c r="AM20" s="6"/>
      <c r="AN20" s="6"/>
      <c r="AO20" s="6"/>
      <c r="AP20" s="6"/>
      <c r="AQ20" s="6"/>
      <c r="AR20" s="6"/>
      <c r="AS20" s="6"/>
      <c r="AT20" s="6"/>
      <c r="AU20" s="34"/>
      <c r="AV20" s="6"/>
      <c r="AW20" s="6"/>
      <c r="AX20" s="6"/>
      <c r="AY20" s="6"/>
      <c r="AZ20" s="6"/>
      <c r="BA20" s="6"/>
      <c r="BB20" s="6"/>
      <c r="BC20" s="34"/>
      <c r="BD20" s="6"/>
      <c r="BE20" s="6"/>
      <c r="BF20" s="6"/>
      <c r="BG20" s="6"/>
      <c r="BH20" s="6"/>
      <c r="BI20" s="6"/>
      <c r="BJ20" s="6"/>
      <c r="BK20" s="6"/>
      <c r="BL20" s="6"/>
      <c r="BM20" s="34"/>
      <c r="BN20" s="6"/>
      <c r="BO20" s="6"/>
      <c r="BP20" s="6"/>
      <c r="BQ20" s="6"/>
      <c r="BR20" s="6"/>
      <c r="BS20" s="6"/>
      <c r="BT20" s="6"/>
      <c r="BU20" s="34"/>
      <c r="BV20" s="6"/>
      <c r="BW20" s="6"/>
      <c r="BX20" s="6"/>
      <c r="BY20" s="6"/>
      <c r="BZ20" s="6"/>
      <c r="CA20" s="6"/>
      <c r="CB20" s="34"/>
      <c r="CC20" s="6"/>
      <c r="CD20" s="6"/>
      <c r="CE20" s="6"/>
      <c r="CF20" s="6"/>
    </row>
    <row r="21" spans="1:84" ht="30">
      <c r="A21" s="15" t="e">
        <f>#REF!</f>
        <v>#REF!</v>
      </c>
      <c r="B21" s="15" t="e">
        <f>#REF!</f>
        <v>#REF!</v>
      </c>
      <c r="C21" s="15" t="e">
        <f>#REF!</f>
        <v>#REF!</v>
      </c>
      <c r="D21" s="20" t="s">
        <v>171</v>
      </c>
      <c r="E21" s="30" t="str">
        <f t="shared" ref="E21:E44" si="9">IF(COUNTIFS(F21:CF21,"F")+COUNTIFS(F21:CF21,"NT")&gt;0,"In Test",IF(COUNTIFS(F21:CF21,"P")+COUNTIFS(F21:CF21,"A")&gt;0,"Pass","Pending"))</f>
        <v>Pending</v>
      </c>
      <c r="F21" s="30" t="str">
        <f t="shared" ref="F21:F44" si="10" xml:space="preserve"> "Pass:  "&amp; COUNTIFS(G21:CG21,"P")&amp;  "     /Accept:  "&amp; COUNTIFS(G21:CG21,"A")&amp;  "/     Fail:  "&amp; COUNTIFS(G21:CG21,"Fail") &amp;  "/     NT:  "&amp; COUNTIFS(G21:CG21,"NT")</f>
        <v>Pass:  0     /Accept:  0/     Fail:  0/     NT:  0</v>
      </c>
      <c r="G21" s="29" t="e">
        <f>IF(#REF!&lt;&gt;"N/A",Priority!$C21,"")</f>
        <v>#REF!</v>
      </c>
      <c r="H21" s="29" t="e">
        <f>IF(#REF!&lt;&gt;"N/A",Priority!$C21,"")</f>
        <v>#REF!</v>
      </c>
      <c r="I21" s="29" t="e">
        <f>IF(#REF!&lt;&gt;"N/A",Priority!$C21,"")</f>
        <v>#REF!</v>
      </c>
      <c r="J21" s="29" t="e">
        <f>IF(#REF!&lt;&gt;"N/A",Priority!$C21,"")</f>
        <v>#REF!</v>
      </c>
      <c r="K21" s="29" t="e">
        <f>IF(#REF!&lt;&gt;"N/A",Priority!$C21,"")</f>
        <v>#REF!</v>
      </c>
      <c r="L21" s="31"/>
      <c r="M21" s="29" t="e">
        <f>IF(#REF!&lt;&gt;"N/A",Priority!$C21,"")</f>
        <v>#REF!</v>
      </c>
      <c r="N21" s="29" t="e">
        <f>IF(#REF!&lt;&gt;"N/A",Priority!$C21,"")</f>
        <v>#REF!</v>
      </c>
      <c r="O21" s="29" t="e">
        <f>IF(#REF!&lt;&gt;"N/A",Priority!$C21,"")</f>
        <v>#REF!</v>
      </c>
      <c r="P21" s="29" t="e">
        <f>IF(#REF!&lt;&gt;"N/A",Priority!$C21,"")</f>
        <v>#REF!</v>
      </c>
      <c r="Q21" s="29" t="e">
        <f>IF(#REF!&lt;&gt;"N/A",Priority!$C21,"")</f>
        <v>#REF!</v>
      </c>
      <c r="R21" s="31"/>
      <c r="S21" s="29" t="e">
        <f>IF(#REF!&lt;&gt;"N/A",Priority!$C21,"")</f>
        <v>#REF!</v>
      </c>
      <c r="T21" s="29" t="e">
        <f>IF(#REF!&lt;&gt;"N/A",Priority!$C21,"")</f>
        <v>#REF!</v>
      </c>
      <c r="U21" s="29" t="e">
        <f>IF(#REF!&lt;&gt;"N/A",Priority!$C21,"")</f>
        <v>#REF!</v>
      </c>
      <c r="V21" s="29" t="e">
        <f>IF(#REF!&lt;&gt;"N/A",Priority!$C21,"")</f>
        <v>#REF!</v>
      </c>
      <c r="W21" s="29" t="e">
        <f>IF(#REF!&lt;&gt;"N/A",Priority!$C21,"")</f>
        <v>#REF!</v>
      </c>
      <c r="X21" s="29" t="e">
        <f>IF(#REF!&lt;&gt;"N/A",Priority!$C21,"")</f>
        <v>#REF!</v>
      </c>
      <c r="Y21" s="31"/>
      <c r="Z21" s="29" t="e">
        <f>IF(#REF!&lt;&gt;"N/A",Priority!$C21,"")</f>
        <v>#REF!</v>
      </c>
      <c r="AA21" s="29" t="e">
        <f>IF(#REF!&lt;&gt;"N/A",Priority!$C21,"")</f>
        <v>#REF!</v>
      </c>
      <c r="AB21" s="29" t="e">
        <f>IF(#REF!&lt;&gt;"N/A",Priority!$C21,"")</f>
        <v>#REF!</v>
      </c>
      <c r="AC21" s="29" t="e">
        <f>IF(#REF!&lt;&gt;"N/A",Priority!$C21,"")</f>
        <v>#REF!</v>
      </c>
      <c r="AD21" s="29" t="e">
        <f>IF(#REF!&lt;&gt;"N/A",Priority!$C21,"")</f>
        <v>#REF!</v>
      </c>
      <c r="AE21" s="29" t="e">
        <f>IF(#REF!&lt;&gt;"N/A",Priority!$C21,"")</f>
        <v>#REF!</v>
      </c>
      <c r="AF21" s="29" t="e">
        <f>IF(#REF!&lt;&gt;"N/A",Priority!$C21,"")</f>
        <v>#REF!</v>
      </c>
      <c r="AG21" s="29" t="e">
        <f>IF(#REF!&lt;&gt;"N/A",Priority!$C21,"")</f>
        <v>#REF!</v>
      </c>
      <c r="AH21" s="29" t="e">
        <f>IF(#REF!&lt;&gt;"N/A",Priority!$C21,"")</f>
        <v>#REF!</v>
      </c>
      <c r="AI21" s="29" t="e">
        <f>IF(#REF!&lt;&gt;"N/A",Priority!$C21,"")</f>
        <v>#REF!</v>
      </c>
      <c r="AJ21" s="31"/>
      <c r="AK21" s="29" t="e">
        <f>IF(#REF!&lt;&gt;"N/A",Priority!$C21,"")</f>
        <v>#REF!</v>
      </c>
      <c r="AL21" s="29" t="e">
        <f>IF(#REF!&lt;&gt;"N/A",Priority!$C21,"")</f>
        <v>#REF!</v>
      </c>
      <c r="AM21" s="29" t="e">
        <f>IF(#REF!&lt;&gt;"N/A",Priority!$C21,"")</f>
        <v>#REF!</v>
      </c>
      <c r="AN21" s="29" t="e">
        <f>IF(#REF!&lt;&gt;"N/A",Priority!$C21,"")</f>
        <v>#REF!</v>
      </c>
      <c r="AO21" s="29" t="e">
        <f>IF(#REF!&lt;&gt;"N/A",Priority!$C21,"")</f>
        <v>#REF!</v>
      </c>
      <c r="AP21" s="29" t="e">
        <f>IF(#REF!&lt;&gt;"N/A",Priority!$C21,"")</f>
        <v>#REF!</v>
      </c>
      <c r="AQ21" s="29" t="e">
        <f>IF(#REF!&lt;&gt;"N/A",Priority!$C21,"")</f>
        <v>#REF!</v>
      </c>
      <c r="AR21" s="29" t="e">
        <f>IF(#REF!&lt;&gt;"N/A",Priority!$C21,"")</f>
        <v>#REF!</v>
      </c>
      <c r="AS21" s="29" t="e">
        <f>IF(#REF!&lt;&gt;"N/A",Priority!$C21,"")</f>
        <v>#REF!</v>
      </c>
      <c r="AT21" s="29" t="e">
        <f>IF(#REF!&lt;&gt;"N/A",Priority!$C21,"")</f>
        <v>#REF!</v>
      </c>
      <c r="AU21" s="31"/>
      <c r="AV21" s="29" t="e">
        <f>IF(#REF!&lt;&gt;"N/A",Priority!$C21,"")</f>
        <v>#REF!</v>
      </c>
      <c r="AW21" s="29" t="e">
        <f>IF(#REF!&lt;&gt;"N/A",Priority!$C21,"")</f>
        <v>#REF!</v>
      </c>
      <c r="AX21" s="29" t="e">
        <f>IF(#REF!&lt;&gt;"N/A",Priority!$C21,"")</f>
        <v>#REF!</v>
      </c>
      <c r="AY21" s="29" t="e">
        <f>IF(#REF!&lt;&gt;"N/A",Priority!$C21,"")</f>
        <v>#REF!</v>
      </c>
      <c r="AZ21" s="29" t="e">
        <f>IF(#REF!&lt;&gt;"N/A",Priority!$C21,"")</f>
        <v>#REF!</v>
      </c>
      <c r="BA21" s="29" t="e">
        <f>IF(#REF!&lt;&gt;"N/A",Priority!$C21,"")</f>
        <v>#REF!</v>
      </c>
      <c r="BB21" s="29" t="e">
        <f>IF(#REF!&lt;&gt;"N/A",Priority!$C21,"")</f>
        <v>#REF!</v>
      </c>
      <c r="BC21" s="31"/>
      <c r="BD21" s="29" t="e">
        <f>IF(#REF!&lt;&gt;"N/A",Priority!$C21,"")</f>
        <v>#REF!</v>
      </c>
      <c r="BE21" s="29" t="e">
        <f>IF(#REF!&lt;&gt;"N/A",Priority!$C21,"")</f>
        <v>#REF!</v>
      </c>
      <c r="BF21" s="29" t="e">
        <f>IF(#REF!&lt;&gt;"N/A",Priority!$C21,"")</f>
        <v>#REF!</v>
      </c>
      <c r="BG21" s="29" t="e">
        <f>IF(#REF!&lt;&gt;"N/A",Priority!$C21,"")</f>
        <v>#REF!</v>
      </c>
      <c r="BH21" s="29" t="e">
        <f>IF(#REF!&lt;&gt;"N/A",Priority!$C21,"")</f>
        <v>#REF!</v>
      </c>
      <c r="BI21" s="29" t="e">
        <f>IF(#REF!&lt;&gt;"N/A",Priority!$C21,"")</f>
        <v>#REF!</v>
      </c>
      <c r="BJ21" s="29" t="e">
        <f>IF(#REF!&lt;&gt;"N/A",Priority!$C21,"")</f>
        <v>#REF!</v>
      </c>
      <c r="BK21" s="29" t="e">
        <f>IF(#REF!&lt;&gt;"N/A",Priority!$C21,"")</f>
        <v>#REF!</v>
      </c>
      <c r="BL21" s="29" t="e">
        <f>IF(#REF!&lt;&gt;"N/A",Priority!$C21,"")</f>
        <v>#REF!</v>
      </c>
      <c r="BM21" s="31"/>
      <c r="BN21" s="29" t="e">
        <f>IF(#REF!&lt;&gt;"N/A",Priority!$C21,"")</f>
        <v>#REF!</v>
      </c>
      <c r="BO21" s="29" t="e">
        <f>IF(#REF!&lt;&gt;"N/A",Priority!$C21,"")</f>
        <v>#REF!</v>
      </c>
      <c r="BP21" s="29" t="e">
        <f>IF(#REF!&lt;&gt;"N/A",Priority!$C21,"")</f>
        <v>#REF!</v>
      </c>
      <c r="BQ21" s="29" t="e">
        <f>IF(#REF!&lt;&gt;"N/A",Priority!$C21,"")</f>
        <v>#REF!</v>
      </c>
      <c r="BR21" s="29" t="e">
        <f>IF(#REF!&lt;&gt;"N/A",Priority!$C21,"")</f>
        <v>#REF!</v>
      </c>
      <c r="BS21" s="29" t="e">
        <f>IF(#REF!&lt;&gt;"N/A",Priority!$C21,"")</f>
        <v>#REF!</v>
      </c>
      <c r="BT21" s="29" t="e">
        <f>IF(#REF!&lt;&gt;"N/A",Priority!$C21,"")</f>
        <v>#REF!</v>
      </c>
      <c r="BU21" s="31"/>
      <c r="BV21" s="29" t="e">
        <f>IF(#REF!&lt;&gt;"N/A",Priority!$C21,"")</f>
        <v>#REF!</v>
      </c>
      <c r="BW21" s="29" t="e">
        <f>IF(#REF!&lt;&gt;"N/A",Priority!$C21,"")</f>
        <v>#REF!</v>
      </c>
      <c r="BX21" s="29" t="e">
        <f>IF(#REF!&lt;&gt;"N/A",Priority!$C21,"")</f>
        <v>#REF!</v>
      </c>
      <c r="BY21" s="29" t="e">
        <f>IF(#REF!&lt;&gt;"N/A",Priority!$C21,"")</f>
        <v>#REF!</v>
      </c>
      <c r="BZ21" s="29" t="e">
        <f>IF(#REF!&lt;&gt;"N/A",Priority!$C21,"")</f>
        <v>#REF!</v>
      </c>
      <c r="CA21" s="29" t="e">
        <f>IF(#REF!&lt;&gt;"N/A",Priority!$C21,"")</f>
        <v>#REF!</v>
      </c>
      <c r="CB21" s="31"/>
      <c r="CC21" s="29" t="e">
        <f>IF(#REF!&lt;&gt;"N/A",Priority!$C21,"")</f>
        <v>#REF!</v>
      </c>
      <c r="CD21" s="29" t="e">
        <f>IF(#REF!&lt;&gt;"N/A",Priority!$C21,"")</f>
        <v>#REF!</v>
      </c>
      <c r="CE21" s="29" t="e">
        <f>IF(#REF!&lt;&gt;"N/A",Priority!$C21,"")</f>
        <v>#REF!</v>
      </c>
      <c r="CF21" s="29" t="e">
        <f>IF(#REF!&lt;&gt;"N/A",Priority!$C21,"")</f>
        <v>#REF!</v>
      </c>
    </row>
    <row r="22" spans="1:84" ht="30">
      <c r="A22" s="15" t="e">
        <f>#REF!</f>
        <v>#REF!</v>
      </c>
      <c r="B22" s="15" t="e">
        <f>#REF!</f>
        <v>#REF!</v>
      </c>
      <c r="C22" s="15" t="e">
        <f>#REF!</f>
        <v>#REF!</v>
      </c>
      <c r="D22" s="20" t="s">
        <v>160</v>
      </c>
      <c r="E22" s="30" t="str">
        <f t="shared" si="9"/>
        <v>Pending</v>
      </c>
      <c r="F22" s="30" t="str">
        <f t="shared" si="10"/>
        <v>Pass:  0     /Accept:  0/     Fail:  0/     NT:  0</v>
      </c>
      <c r="G22" s="29" t="e">
        <f>IF(#REF!&lt;&gt;"N/A",Priority!$C22,"")</f>
        <v>#REF!</v>
      </c>
      <c r="H22" s="29" t="e">
        <f>IF(#REF!&lt;&gt;"N/A",Priority!$C22,"")</f>
        <v>#REF!</v>
      </c>
      <c r="I22" s="29" t="e">
        <f>IF(#REF!&lt;&gt;"N/A",Priority!$C22,"")</f>
        <v>#REF!</v>
      </c>
      <c r="J22" s="29" t="e">
        <f>IF(#REF!&lt;&gt;"N/A",Priority!$C22,"")</f>
        <v>#REF!</v>
      </c>
      <c r="K22" s="29" t="e">
        <f>IF(#REF!&lt;&gt;"N/A",Priority!$C22,"")</f>
        <v>#REF!</v>
      </c>
      <c r="L22" s="31"/>
      <c r="M22" s="29" t="e">
        <f>IF(#REF!&lt;&gt;"N/A",Priority!$C22,"")</f>
        <v>#REF!</v>
      </c>
      <c r="N22" s="29" t="e">
        <f>IF(#REF!&lt;&gt;"N/A",Priority!$C22,"")</f>
        <v>#REF!</v>
      </c>
      <c r="O22" s="29" t="e">
        <f>IF(#REF!&lt;&gt;"N/A",Priority!$C22,"")</f>
        <v>#REF!</v>
      </c>
      <c r="P22" s="29" t="e">
        <f>IF(#REF!&lt;&gt;"N/A",Priority!$C22,"")</f>
        <v>#REF!</v>
      </c>
      <c r="Q22" s="29" t="e">
        <f>IF(#REF!&lt;&gt;"N/A",Priority!$C22,"")</f>
        <v>#REF!</v>
      </c>
      <c r="R22" s="31"/>
      <c r="S22" s="29" t="e">
        <f>IF(#REF!&lt;&gt;"N/A",Priority!$C22,"")</f>
        <v>#REF!</v>
      </c>
      <c r="T22" s="29" t="e">
        <f>IF(#REF!&lt;&gt;"N/A",Priority!$C22,"")</f>
        <v>#REF!</v>
      </c>
      <c r="U22" s="29" t="e">
        <f>IF(#REF!&lt;&gt;"N/A",Priority!$C22,"")</f>
        <v>#REF!</v>
      </c>
      <c r="V22" s="29" t="e">
        <f>IF(#REF!&lt;&gt;"N/A",Priority!$C22,"")</f>
        <v>#REF!</v>
      </c>
      <c r="W22" s="29" t="e">
        <f>IF(#REF!&lt;&gt;"N/A",Priority!$C22,"")</f>
        <v>#REF!</v>
      </c>
      <c r="X22" s="29" t="e">
        <f>IF(#REF!&lt;&gt;"N/A",Priority!$C22,"")</f>
        <v>#REF!</v>
      </c>
      <c r="Y22" s="31"/>
      <c r="Z22" s="29" t="e">
        <f>IF(#REF!&lt;&gt;"N/A",Priority!$C22,"")</f>
        <v>#REF!</v>
      </c>
      <c r="AA22" s="29" t="e">
        <f>IF(#REF!&lt;&gt;"N/A",Priority!$C22,"")</f>
        <v>#REF!</v>
      </c>
      <c r="AB22" s="29" t="e">
        <f>IF(#REF!&lt;&gt;"N/A",Priority!$C22,"")</f>
        <v>#REF!</v>
      </c>
      <c r="AC22" s="29" t="e">
        <f>IF(#REF!&lt;&gt;"N/A",Priority!$C22,"")</f>
        <v>#REF!</v>
      </c>
      <c r="AD22" s="29" t="e">
        <f>IF(#REF!&lt;&gt;"N/A",Priority!$C22,"")</f>
        <v>#REF!</v>
      </c>
      <c r="AE22" s="29" t="e">
        <f>IF(#REF!&lt;&gt;"N/A",Priority!$C22,"")</f>
        <v>#REF!</v>
      </c>
      <c r="AF22" s="29" t="e">
        <f>IF(#REF!&lt;&gt;"N/A",Priority!$C22,"")</f>
        <v>#REF!</v>
      </c>
      <c r="AG22" s="29" t="e">
        <f>IF(#REF!&lt;&gt;"N/A",Priority!$C22,"")</f>
        <v>#REF!</v>
      </c>
      <c r="AH22" s="29" t="e">
        <f>IF(#REF!&lt;&gt;"N/A",Priority!$C22,"")</f>
        <v>#REF!</v>
      </c>
      <c r="AI22" s="29" t="e">
        <f>IF(#REF!&lt;&gt;"N/A",Priority!$C22,"")</f>
        <v>#REF!</v>
      </c>
      <c r="AJ22" s="31"/>
      <c r="AK22" s="29" t="e">
        <f>IF(#REF!&lt;&gt;"N/A",Priority!$C22,"")</f>
        <v>#REF!</v>
      </c>
      <c r="AL22" s="29" t="e">
        <f>IF(#REF!&lt;&gt;"N/A",Priority!$C22,"")</f>
        <v>#REF!</v>
      </c>
      <c r="AM22" s="29" t="e">
        <f>IF(#REF!&lt;&gt;"N/A",Priority!$C22,"")</f>
        <v>#REF!</v>
      </c>
      <c r="AN22" s="29" t="e">
        <f>IF(#REF!&lt;&gt;"N/A",Priority!$C22,"")</f>
        <v>#REF!</v>
      </c>
      <c r="AO22" s="29" t="e">
        <f>IF(#REF!&lt;&gt;"N/A",Priority!$C22,"")</f>
        <v>#REF!</v>
      </c>
      <c r="AP22" s="29" t="e">
        <f>IF(#REF!&lt;&gt;"N/A",Priority!$C22,"")</f>
        <v>#REF!</v>
      </c>
      <c r="AQ22" s="29" t="e">
        <f>IF(#REF!&lt;&gt;"N/A",Priority!$C22,"")</f>
        <v>#REF!</v>
      </c>
      <c r="AR22" s="29" t="e">
        <f>IF(#REF!&lt;&gt;"N/A",Priority!$C22,"")</f>
        <v>#REF!</v>
      </c>
      <c r="AS22" s="29" t="e">
        <f>IF(#REF!&lt;&gt;"N/A",Priority!$C22,"")</f>
        <v>#REF!</v>
      </c>
      <c r="AT22" s="29" t="e">
        <f>IF(#REF!&lt;&gt;"N/A",Priority!$C22,"")</f>
        <v>#REF!</v>
      </c>
      <c r="AU22" s="31"/>
      <c r="AV22" s="29" t="e">
        <f>IF(#REF!&lt;&gt;"N/A",Priority!$C22,"")</f>
        <v>#REF!</v>
      </c>
      <c r="AW22" s="29" t="e">
        <f>IF(#REF!&lt;&gt;"N/A",Priority!$C22,"")</f>
        <v>#REF!</v>
      </c>
      <c r="AX22" s="29" t="e">
        <f>IF(#REF!&lt;&gt;"N/A",Priority!$C22,"")</f>
        <v>#REF!</v>
      </c>
      <c r="AY22" s="29" t="e">
        <f>IF(#REF!&lt;&gt;"N/A",Priority!$C22,"")</f>
        <v>#REF!</v>
      </c>
      <c r="AZ22" s="29" t="e">
        <f>IF(#REF!&lt;&gt;"N/A",Priority!$C22,"")</f>
        <v>#REF!</v>
      </c>
      <c r="BA22" s="29" t="e">
        <f>IF(#REF!&lt;&gt;"N/A",Priority!$C22,"")</f>
        <v>#REF!</v>
      </c>
      <c r="BB22" s="29" t="e">
        <f>IF(#REF!&lt;&gt;"N/A",Priority!$C22,"")</f>
        <v>#REF!</v>
      </c>
      <c r="BC22" s="31"/>
      <c r="BD22" s="29" t="e">
        <f>IF(#REF!&lt;&gt;"N/A",Priority!$C22,"")</f>
        <v>#REF!</v>
      </c>
      <c r="BE22" s="29" t="e">
        <f>IF(#REF!&lt;&gt;"N/A",Priority!$C22,"")</f>
        <v>#REF!</v>
      </c>
      <c r="BF22" s="29" t="e">
        <f>IF(#REF!&lt;&gt;"N/A",Priority!$C22,"")</f>
        <v>#REF!</v>
      </c>
      <c r="BG22" s="29" t="e">
        <f>IF(#REF!&lt;&gt;"N/A",Priority!$C22,"")</f>
        <v>#REF!</v>
      </c>
      <c r="BH22" s="29" t="e">
        <f>IF(#REF!&lt;&gt;"N/A",Priority!$C22,"")</f>
        <v>#REF!</v>
      </c>
      <c r="BI22" s="29" t="e">
        <f>IF(#REF!&lt;&gt;"N/A",Priority!$C22,"")</f>
        <v>#REF!</v>
      </c>
      <c r="BJ22" s="29" t="e">
        <f>IF(#REF!&lt;&gt;"N/A",Priority!$C22,"")</f>
        <v>#REF!</v>
      </c>
      <c r="BK22" s="29" t="e">
        <f>IF(#REF!&lt;&gt;"N/A",Priority!$C22,"")</f>
        <v>#REF!</v>
      </c>
      <c r="BL22" s="29" t="e">
        <f>IF(#REF!&lt;&gt;"N/A",Priority!$C22,"")</f>
        <v>#REF!</v>
      </c>
      <c r="BM22" s="31"/>
      <c r="BN22" s="29" t="e">
        <f>IF(#REF!&lt;&gt;"N/A",Priority!$C22,"")</f>
        <v>#REF!</v>
      </c>
      <c r="BO22" s="29" t="e">
        <f>IF(#REF!&lt;&gt;"N/A",Priority!$C22,"")</f>
        <v>#REF!</v>
      </c>
      <c r="BP22" s="29" t="e">
        <f>IF(#REF!&lt;&gt;"N/A",Priority!$C22,"")</f>
        <v>#REF!</v>
      </c>
      <c r="BQ22" s="29" t="e">
        <f>IF(#REF!&lt;&gt;"N/A",Priority!$C22,"")</f>
        <v>#REF!</v>
      </c>
      <c r="BR22" s="29" t="e">
        <f>IF(#REF!&lt;&gt;"N/A",Priority!$C22,"")</f>
        <v>#REF!</v>
      </c>
      <c r="BS22" s="29" t="e">
        <f>IF(#REF!&lt;&gt;"N/A",Priority!$C22,"")</f>
        <v>#REF!</v>
      </c>
      <c r="BT22" s="29" t="e">
        <f>IF(#REF!&lt;&gt;"N/A",Priority!$C22,"")</f>
        <v>#REF!</v>
      </c>
      <c r="BU22" s="31"/>
      <c r="BV22" s="29" t="e">
        <f>IF(#REF!&lt;&gt;"N/A",Priority!$C22,"")</f>
        <v>#REF!</v>
      </c>
      <c r="BW22" s="29" t="e">
        <f>IF(#REF!&lt;&gt;"N/A",Priority!$C22,"")</f>
        <v>#REF!</v>
      </c>
      <c r="BX22" s="29" t="e">
        <f>IF(#REF!&lt;&gt;"N/A",Priority!$C22,"")</f>
        <v>#REF!</v>
      </c>
      <c r="BY22" s="29" t="e">
        <f>IF(#REF!&lt;&gt;"N/A",Priority!$C22,"")</f>
        <v>#REF!</v>
      </c>
      <c r="BZ22" s="29" t="e">
        <f>IF(#REF!&lt;&gt;"N/A",Priority!$C22,"")</f>
        <v>#REF!</v>
      </c>
      <c r="CA22" s="29" t="e">
        <f>IF(#REF!&lt;&gt;"N/A",Priority!$C22,"")</f>
        <v>#REF!</v>
      </c>
      <c r="CB22" s="31"/>
      <c r="CC22" s="29" t="e">
        <f>IF(#REF!&lt;&gt;"N/A",Priority!$C22,"")</f>
        <v>#REF!</v>
      </c>
      <c r="CD22" s="29" t="e">
        <f>IF(#REF!&lt;&gt;"N/A",Priority!$C22,"")</f>
        <v>#REF!</v>
      </c>
      <c r="CE22" s="29" t="e">
        <f>IF(#REF!&lt;&gt;"N/A",Priority!$C22,"")</f>
        <v>#REF!</v>
      </c>
      <c r="CF22" s="29" t="e">
        <f>IF(#REF!&lt;&gt;"N/A",Priority!$C22,"")</f>
        <v>#REF!</v>
      </c>
    </row>
    <row r="23" spans="1:84" ht="30">
      <c r="A23" s="15" t="e">
        <f>#REF!</f>
        <v>#REF!</v>
      </c>
      <c r="B23" s="15" t="e">
        <f>#REF!</f>
        <v>#REF!</v>
      </c>
      <c r="C23" s="15" t="e">
        <f>#REF!</f>
        <v>#REF!</v>
      </c>
      <c r="D23" s="20" t="s">
        <v>171</v>
      </c>
      <c r="E23" s="30" t="str">
        <f t="shared" si="9"/>
        <v>Pending</v>
      </c>
      <c r="F23" s="30" t="str">
        <f t="shared" si="10"/>
        <v>Pass:  0     /Accept:  0/     Fail:  0/     NT:  0</v>
      </c>
      <c r="G23" s="29" t="e">
        <f>IF(#REF!&lt;&gt;"N/A",Priority!$C23,"")</f>
        <v>#REF!</v>
      </c>
      <c r="H23" s="29" t="e">
        <f>IF(#REF!&lt;&gt;"N/A",Priority!$C23,"")</f>
        <v>#REF!</v>
      </c>
      <c r="I23" s="29" t="e">
        <f>IF(#REF!&lt;&gt;"N/A",Priority!$C23,"")</f>
        <v>#REF!</v>
      </c>
      <c r="J23" s="29" t="e">
        <f>IF(#REF!&lt;&gt;"N/A",Priority!$C23,"")</f>
        <v>#REF!</v>
      </c>
      <c r="K23" s="29" t="e">
        <f>IF(#REF!&lt;&gt;"N/A",Priority!$C23,"")</f>
        <v>#REF!</v>
      </c>
      <c r="L23" s="31"/>
      <c r="M23" s="29" t="e">
        <f>IF(#REF!&lt;&gt;"N/A",Priority!$C23,"")</f>
        <v>#REF!</v>
      </c>
      <c r="N23" s="29" t="e">
        <f>IF(#REF!&lt;&gt;"N/A",Priority!$C23,"")</f>
        <v>#REF!</v>
      </c>
      <c r="O23" s="29" t="e">
        <f>IF(#REF!&lt;&gt;"N/A",Priority!$C23,"")</f>
        <v>#REF!</v>
      </c>
      <c r="P23" s="29" t="e">
        <f>IF(#REF!&lt;&gt;"N/A",Priority!$C23,"")</f>
        <v>#REF!</v>
      </c>
      <c r="Q23" s="29" t="e">
        <f>IF(#REF!&lt;&gt;"N/A",Priority!$C23,"")</f>
        <v>#REF!</v>
      </c>
      <c r="R23" s="31"/>
      <c r="S23" s="29" t="e">
        <f>IF(#REF!&lt;&gt;"N/A",Priority!$C23,"")</f>
        <v>#REF!</v>
      </c>
      <c r="T23" s="29" t="e">
        <f>IF(#REF!&lt;&gt;"N/A",Priority!$C23,"")</f>
        <v>#REF!</v>
      </c>
      <c r="U23" s="29" t="e">
        <f>IF(#REF!&lt;&gt;"N/A",Priority!$C23,"")</f>
        <v>#REF!</v>
      </c>
      <c r="V23" s="29" t="e">
        <f>IF(#REF!&lt;&gt;"N/A",Priority!$C23,"")</f>
        <v>#REF!</v>
      </c>
      <c r="W23" s="29" t="e">
        <f>IF(#REF!&lt;&gt;"N/A",Priority!$C23,"")</f>
        <v>#REF!</v>
      </c>
      <c r="X23" s="29" t="e">
        <f>IF(#REF!&lt;&gt;"N/A",Priority!$C23,"")</f>
        <v>#REF!</v>
      </c>
      <c r="Y23" s="31"/>
      <c r="Z23" s="29" t="e">
        <f>IF(#REF!&lt;&gt;"N/A",Priority!$C23,"")</f>
        <v>#REF!</v>
      </c>
      <c r="AA23" s="29" t="e">
        <f>IF(#REF!&lt;&gt;"N/A",Priority!$C23,"")</f>
        <v>#REF!</v>
      </c>
      <c r="AB23" s="29" t="e">
        <f>IF(#REF!&lt;&gt;"N/A",Priority!$C23,"")</f>
        <v>#REF!</v>
      </c>
      <c r="AC23" s="29" t="e">
        <f>IF(#REF!&lt;&gt;"N/A",Priority!$C23,"")</f>
        <v>#REF!</v>
      </c>
      <c r="AD23" s="29" t="e">
        <f>IF(#REF!&lt;&gt;"N/A",Priority!$C23,"")</f>
        <v>#REF!</v>
      </c>
      <c r="AE23" s="29" t="e">
        <f>IF(#REF!&lt;&gt;"N/A",Priority!$C23,"")</f>
        <v>#REF!</v>
      </c>
      <c r="AF23" s="29" t="e">
        <f>IF(#REF!&lt;&gt;"N/A",Priority!$C23,"")</f>
        <v>#REF!</v>
      </c>
      <c r="AG23" s="29" t="e">
        <f>IF(#REF!&lt;&gt;"N/A",Priority!$C23,"")</f>
        <v>#REF!</v>
      </c>
      <c r="AH23" s="29" t="e">
        <f>IF(#REF!&lt;&gt;"N/A",Priority!$C23,"")</f>
        <v>#REF!</v>
      </c>
      <c r="AI23" s="29" t="e">
        <f>IF(#REF!&lt;&gt;"N/A",Priority!$C23,"")</f>
        <v>#REF!</v>
      </c>
      <c r="AJ23" s="31"/>
      <c r="AK23" s="29" t="e">
        <f>IF(#REF!&lt;&gt;"N/A",Priority!$C23,"")</f>
        <v>#REF!</v>
      </c>
      <c r="AL23" s="29" t="e">
        <f>IF(#REF!&lt;&gt;"N/A",Priority!$C23,"")</f>
        <v>#REF!</v>
      </c>
      <c r="AM23" s="29" t="e">
        <f>IF(#REF!&lt;&gt;"N/A",Priority!$C23,"")</f>
        <v>#REF!</v>
      </c>
      <c r="AN23" s="29" t="e">
        <f>IF(#REF!&lt;&gt;"N/A",Priority!$C23,"")</f>
        <v>#REF!</v>
      </c>
      <c r="AO23" s="29" t="e">
        <f>IF(#REF!&lt;&gt;"N/A",Priority!$C23,"")</f>
        <v>#REF!</v>
      </c>
      <c r="AP23" s="29" t="e">
        <f>IF(#REF!&lt;&gt;"N/A",Priority!$C23,"")</f>
        <v>#REF!</v>
      </c>
      <c r="AQ23" s="29" t="e">
        <f>IF(#REF!&lt;&gt;"N/A",Priority!$C23,"")</f>
        <v>#REF!</v>
      </c>
      <c r="AR23" s="29" t="e">
        <f>IF(#REF!&lt;&gt;"N/A",Priority!$C23,"")</f>
        <v>#REF!</v>
      </c>
      <c r="AS23" s="29" t="e">
        <f>IF(#REF!&lt;&gt;"N/A",Priority!$C23,"")</f>
        <v>#REF!</v>
      </c>
      <c r="AT23" s="29" t="e">
        <f>IF(#REF!&lt;&gt;"N/A",Priority!$C23,"")</f>
        <v>#REF!</v>
      </c>
      <c r="AU23" s="31"/>
      <c r="AV23" s="29" t="e">
        <f>IF(#REF!&lt;&gt;"N/A",Priority!$C23,"")</f>
        <v>#REF!</v>
      </c>
      <c r="AW23" s="29" t="e">
        <f>IF(#REF!&lt;&gt;"N/A",Priority!$C23,"")</f>
        <v>#REF!</v>
      </c>
      <c r="AX23" s="29" t="e">
        <f>IF(#REF!&lt;&gt;"N/A",Priority!$C23,"")</f>
        <v>#REF!</v>
      </c>
      <c r="AY23" s="29" t="e">
        <f>IF(#REF!&lt;&gt;"N/A",Priority!$C23,"")</f>
        <v>#REF!</v>
      </c>
      <c r="AZ23" s="29" t="e">
        <f>IF(#REF!&lt;&gt;"N/A",Priority!$C23,"")</f>
        <v>#REF!</v>
      </c>
      <c r="BA23" s="29" t="e">
        <f>IF(#REF!&lt;&gt;"N/A",Priority!$C23,"")</f>
        <v>#REF!</v>
      </c>
      <c r="BB23" s="29" t="e">
        <f>IF(#REF!&lt;&gt;"N/A",Priority!$C23,"")</f>
        <v>#REF!</v>
      </c>
      <c r="BC23" s="31"/>
      <c r="BD23" s="29" t="e">
        <f>IF(#REF!&lt;&gt;"N/A",Priority!$C23,"")</f>
        <v>#REF!</v>
      </c>
      <c r="BE23" s="29" t="e">
        <f>IF(#REF!&lt;&gt;"N/A",Priority!$C23,"")</f>
        <v>#REF!</v>
      </c>
      <c r="BF23" s="29" t="e">
        <f>IF(#REF!&lt;&gt;"N/A",Priority!$C23,"")</f>
        <v>#REF!</v>
      </c>
      <c r="BG23" s="29" t="e">
        <f>IF(#REF!&lt;&gt;"N/A",Priority!$C23,"")</f>
        <v>#REF!</v>
      </c>
      <c r="BH23" s="29" t="e">
        <f>IF(#REF!&lt;&gt;"N/A",Priority!$C23,"")</f>
        <v>#REF!</v>
      </c>
      <c r="BI23" s="29" t="e">
        <f>IF(#REF!&lt;&gt;"N/A",Priority!$C23,"")</f>
        <v>#REF!</v>
      </c>
      <c r="BJ23" s="29" t="e">
        <f>IF(#REF!&lt;&gt;"N/A",Priority!$C23,"")</f>
        <v>#REF!</v>
      </c>
      <c r="BK23" s="29" t="e">
        <f>IF(#REF!&lt;&gt;"N/A",Priority!$C23,"")</f>
        <v>#REF!</v>
      </c>
      <c r="BL23" s="29" t="e">
        <f>IF(#REF!&lt;&gt;"N/A",Priority!$C23,"")</f>
        <v>#REF!</v>
      </c>
      <c r="BM23" s="31"/>
      <c r="BN23" s="29" t="e">
        <f>IF(#REF!&lt;&gt;"N/A",Priority!$C23,"")</f>
        <v>#REF!</v>
      </c>
      <c r="BO23" s="29" t="e">
        <f>IF(#REF!&lt;&gt;"N/A",Priority!$C23,"")</f>
        <v>#REF!</v>
      </c>
      <c r="BP23" s="29" t="e">
        <f>IF(#REF!&lt;&gt;"N/A",Priority!$C23,"")</f>
        <v>#REF!</v>
      </c>
      <c r="BQ23" s="29" t="e">
        <f>IF(#REF!&lt;&gt;"N/A",Priority!$C23,"")</f>
        <v>#REF!</v>
      </c>
      <c r="BR23" s="29" t="e">
        <f>IF(#REF!&lt;&gt;"N/A",Priority!$C23,"")</f>
        <v>#REF!</v>
      </c>
      <c r="BS23" s="29" t="e">
        <f>IF(#REF!&lt;&gt;"N/A",Priority!$C23,"")</f>
        <v>#REF!</v>
      </c>
      <c r="BT23" s="29" t="e">
        <f>IF(#REF!&lt;&gt;"N/A",Priority!$C23,"")</f>
        <v>#REF!</v>
      </c>
      <c r="BU23" s="31"/>
      <c r="BV23" s="29" t="e">
        <f>IF(#REF!&lt;&gt;"N/A",Priority!$C23,"")</f>
        <v>#REF!</v>
      </c>
      <c r="BW23" s="29" t="e">
        <f>IF(#REF!&lt;&gt;"N/A",Priority!$C23,"")</f>
        <v>#REF!</v>
      </c>
      <c r="BX23" s="29" t="e">
        <f>IF(#REF!&lt;&gt;"N/A",Priority!$C23,"")</f>
        <v>#REF!</v>
      </c>
      <c r="BY23" s="29" t="e">
        <f>IF(#REF!&lt;&gt;"N/A",Priority!$C23,"")</f>
        <v>#REF!</v>
      </c>
      <c r="BZ23" s="29" t="e">
        <f>IF(#REF!&lt;&gt;"N/A",Priority!$C23,"")</f>
        <v>#REF!</v>
      </c>
      <c r="CA23" s="29" t="e">
        <f>IF(#REF!&lt;&gt;"N/A",Priority!$C23,"")</f>
        <v>#REF!</v>
      </c>
      <c r="CB23" s="31"/>
      <c r="CC23" s="29" t="e">
        <f>IF(#REF!&lt;&gt;"N/A",Priority!$C23,"")</f>
        <v>#REF!</v>
      </c>
      <c r="CD23" s="29" t="e">
        <f>IF(#REF!&lt;&gt;"N/A",Priority!$C23,"")</f>
        <v>#REF!</v>
      </c>
      <c r="CE23" s="29" t="e">
        <f>IF(#REF!&lt;&gt;"N/A",Priority!$C23,"")</f>
        <v>#REF!</v>
      </c>
      <c r="CF23" s="29" t="e">
        <f>IF(#REF!&lt;&gt;"N/A",Priority!$C23,"")</f>
        <v>#REF!</v>
      </c>
    </row>
    <row r="24" spans="1:84" ht="30">
      <c r="A24" s="15" t="e">
        <f>#REF!</f>
        <v>#REF!</v>
      </c>
      <c r="B24" s="15" t="e">
        <f>#REF!</f>
        <v>#REF!</v>
      </c>
      <c r="C24" s="15" t="e">
        <f>#REF!</f>
        <v>#REF!</v>
      </c>
      <c r="D24" s="22" t="s">
        <v>186</v>
      </c>
      <c r="E24" s="30" t="str">
        <f t="shared" si="9"/>
        <v>Pending</v>
      </c>
      <c r="F24" s="30" t="str">
        <f t="shared" si="10"/>
        <v>Pass:  0     /Accept:  0/     Fail:  0/     NT:  0</v>
      </c>
      <c r="G24" s="29" t="e">
        <f>IF(#REF!&lt;&gt;"N/A",Priority!$C24,"")</f>
        <v>#REF!</v>
      </c>
      <c r="H24" s="29" t="e">
        <f>IF(#REF!&lt;&gt;"N/A",Priority!$C24,"")</f>
        <v>#REF!</v>
      </c>
      <c r="I24" s="29" t="e">
        <f>IF(#REF!&lt;&gt;"N/A",Priority!$C24,"")</f>
        <v>#REF!</v>
      </c>
      <c r="J24" s="29" t="e">
        <f>IF(#REF!&lt;&gt;"N/A",Priority!$C24,"")</f>
        <v>#REF!</v>
      </c>
      <c r="K24" s="29" t="e">
        <f>IF(#REF!&lt;&gt;"N/A",Priority!$C24,"")</f>
        <v>#REF!</v>
      </c>
      <c r="L24" s="31"/>
      <c r="M24" s="29" t="e">
        <f>IF(#REF!&lt;&gt;"N/A",Priority!$C24,"")</f>
        <v>#REF!</v>
      </c>
      <c r="N24" s="29" t="e">
        <f>IF(#REF!&lt;&gt;"N/A",Priority!$C24,"")</f>
        <v>#REF!</v>
      </c>
      <c r="O24" s="29" t="e">
        <f>IF(#REF!&lt;&gt;"N/A",Priority!$C24,"")</f>
        <v>#REF!</v>
      </c>
      <c r="P24" s="29" t="e">
        <f>IF(#REF!&lt;&gt;"N/A",Priority!$C24,"")</f>
        <v>#REF!</v>
      </c>
      <c r="Q24" s="29" t="e">
        <f>IF(#REF!&lt;&gt;"N/A",Priority!$C24,"")</f>
        <v>#REF!</v>
      </c>
      <c r="R24" s="31"/>
      <c r="S24" s="29" t="e">
        <f>IF(#REF!&lt;&gt;"N/A",Priority!$C24,"")</f>
        <v>#REF!</v>
      </c>
      <c r="T24" s="29" t="e">
        <f>IF(#REF!&lt;&gt;"N/A",Priority!$C24,"")</f>
        <v>#REF!</v>
      </c>
      <c r="U24" s="29" t="e">
        <f>IF(#REF!&lt;&gt;"N/A",Priority!$C24,"")</f>
        <v>#REF!</v>
      </c>
      <c r="V24" s="29" t="e">
        <f>IF(#REF!&lt;&gt;"N/A",Priority!$C24,"")</f>
        <v>#REF!</v>
      </c>
      <c r="W24" s="29" t="e">
        <f>IF(#REF!&lt;&gt;"N/A",Priority!$C24,"")</f>
        <v>#REF!</v>
      </c>
      <c r="X24" s="29" t="e">
        <f>IF(#REF!&lt;&gt;"N/A",Priority!$C24,"")</f>
        <v>#REF!</v>
      </c>
      <c r="Y24" s="31"/>
      <c r="Z24" s="29" t="e">
        <f>IF(#REF!&lt;&gt;"N/A",Priority!$C24,"")</f>
        <v>#REF!</v>
      </c>
      <c r="AA24" s="29" t="e">
        <f>IF(#REF!&lt;&gt;"N/A",Priority!$C24,"")</f>
        <v>#REF!</v>
      </c>
      <c r="AB24" s="29" t="e">
        <f>IF(#REF!&lt;&gt;"N/A",Priority!$C24,"")</f>
        <v>#REF!</v>
      </c>
      <c r="AC24" s="29" t="e">
        <f>IF(#REF!&lt;&gt;"N/A",Priority!$C24,"")</f>
        <v>#REF!</v>
      </c>
      <c r="AD24" s="29" t="e">
        <f>IF(#REF!&lt;&gt;"N/A",Priority!$C24,"")</f>
        <v>#REF!</v>
      </c>
      <c r="AE24" s="29" t="e">
        <f>IF(#REF!&lt;&gt;"N/A",Priority!$C24,"")</f>
        <v>#REF!</v>
      </c>
      <c r="AF24" s="29" t="e">
        <f>IF(#REF!&lt;&gt;"N/A",Priority!$C24,"")</f>
        <v>#REF!</v>
      </c>
      <c r="AG24" s="29" t="e">
        <f>IF(#REF!&lt;&gt;"N/A",Priority!$C24,"")</f>
        <v>#REF!</v>
      </c>
      <c r="AH24" s="29" t="e">
        <f>IF(#REF!&lt;&gt;"N/A",Priority!$C24,"")</f>
        <v>#REF!</v>
      </c>
      <c r="AI24" s="29" t="e">
        <f>IF(#REF!&lt;&gt;"N/A",Priority!$C24,"")</f>
        <v>#REF!</v>
      </c>
      <c r="AJ24" s="31"/>
      <c r="AK24" s="29" t="e">
        <f>IF(#REF!&lt;&gt;"N/A",Priority!$C24,"")</f>
        <v>#REF!</v>
      </c>
      <c r="AL24" s="29" t="e">
        <f>IF(#REF!&lt;&gt;"N/A",Priority!$C24,"")</f>
        <v>#REF!</v>
      </c>
      <c r="AM24" s="29" t="e">
        <f>IF(#REF!&lt;&gt;"N/A",Priority!$C24,"")</f>
        <v>#REF!</v>
      </c>
      <c r="AN24" s="29" t="e">
        <f>IF(#REF!&lt;&gt;"N/A",Priority!$C24,"")</f>
        <v>#REF!</v>
      </c>
      <c r="AO24" s="29" t="e">
        <f>IF(#REF!&lt;&gt;"N/A",Priority!$C24,"")</f>
        <v>#REF!</v>
      </c>
      <c r="AP24" s="29" t="e">
        <f>IF(#REF!&lt;&gt;"N/A",Priority!$C24,"")</f>
        <v>#REF!</v>
      </c>
      <c r="AQ24" s="29" t="e">
        <f>IF(#REF!&lt;&gt;"N/A",Priority!$C24,"")</f>
        <v>#REF!</v>
      </c>
      <c r="AR24" s="29" t="e">
        <f>IF(#REF!&lt;&gt;"N/A",Priority!$C24,"")</f>
        <v>#REF!</v>
      </c>
      <c r="AS24" s="29" t="e">
        <f>IF(#REF!&lt;&gt;"N/A",Priority!$C24,"")</f>
        <v>#REF!</v>
      </c>
      <c r="AT24" s="29" t="e">
        <f>IF(#REF!&lt;&gt;"N/A",Priority!$C24,"")</f>
        <v>#REF!</v>
      </c>
      <c r="AU24" s="31"/>
      <c r="AV24" s="29" t="e">
        <f>IF(#REF!&lt;&gt;"N/A",Priority!$C24,"")</f>
        <v>#REF!</v>
      </c>
      <c r="AW24" s="29" t="e">
        <f>IF(#REF!&lt;&gt;"N/A",Priority!$C24,"")</f>
        <v>#REF!</v>
      </c>
      <c r="AX24" s="29" t="e">
        <f>IF(#REF!&lt;&gt;"N/A",Priority!$C24,"")</f>
        <v>#REF!</v>
      </c>
      <c r="AY24" s="29" t="e">
        <f>IF(#REF!&lt;&gt;"N/A",Priority!$C24,"")</f>
        <v>#REF!</v>
      </c>
      <c r="AZ24" s="29" t="e">
        <f>IF(#REF!&lt;&gt;"N/A",Priority!$C24,"")</f>
        <v>#REF!</v>
      </c>
      <c r="BA24" s="29" t="e">
        <f>IF(#REF!&lt;&gt;"N/A",Priority!$C24,"")</f>
        <v>#REF!</v>
      </c>
      <c r="BB24" s="29" t="e">
        <f>IF(#REF!&lt;&gt;"N/A",Priority!$C24,"")</f>
        <v>#REF!</v>
      </c>
      <c r="BC24" s="31"/>
      <c r="BD24" s="29" t="e">
        <f>IF(#REF!&lt;&gt;"N/A",Priority!$C24,"")</f>
        <v>#REF!</v>
      </c>
      <c r="BE24" s="29" t="e">
        <f>IF(#REF!&lt;&gt;"N/A",Priority!$C24,"")</f>
        <v>#REF!</v>
      </c>
      <c r="BF24" s="29" t="e">
        <f>IF(#REF!&lt;&gt;"N/A",Priority!$C24,"")</f>
        <v>#REF!</v>
      </c>
      <c r="BG24" s="29" t="e">
        <f>IF(#REF!&lt;&gt;"N/A",Priority!$C24,"")</f>
        <v>#REF!</v>
      </c>
      <c r="BH24" s="29" t="e">
        <f>IF(#REF!&lt;&gt;"N/A",Priority!$C24,"")</f>
        <v>#REF!</v>
      </c>
      <c r="BI24" s="29" t="e">
        <f>IF(#REF!&lt;&gt;"N/A",Priority!$C24,"")</f>
        <v>#REF!</v>
      </c>
      <c r="BJ24" s="29" t="e">
        <f>IF(#REF!&lt;&gt;"N/A",Priority!$C24,"")</f>
        <v>#REF!</v>
      </c>
      <c r="BK24" s="29" t="e">
        <f>IF(#REF!&lt;&gt;"N/A",Priority!$C24,"")</f>
        <v>#REF!</v>
      </c>
      <c r="BL24" s="29" t="e">
        <f>IF(#REF!&lt;&gt;"N/A",Priority!$C24,"")</f>
        <v>#REF!</v>
      </c>
      <c r="BM24" s="31"/>
      <c r="BN24" s="29" t="e">
        <f>IF(#REF!&lt;&gt;"N/A",Priority!$C24,"")</f>
        <v>#REF!</v>
      </c>
      <c r="BO24" s="29" t="e">
        <f>IF(#REF!&lt;&gt;"N/A",Priority!$C24,"")</f>
        <v>#REF!</v>
      </c>
      <c r="BP24" s="29" t="e">
        <f>IF(#REF!&lt;&gt;"N/A",Priority!$C24,"")</f>
        <v>#REF!</v>
      </c>
      <c r="BQ24" s="29" t="e">
        <f>IF(#REF!&lt;&gt;"N/A",Priority!$C24,"")</f>
        <v>#REF!</v>
      </c>
      <c r="BR24" s="29" t="e">
        <f>IF(#REF!&lt;&gt;"N/A",Priority!$C24,"")</f>
        <v>#REF!</v>
      </c>
      <c r="BS24" s="29" t="e">
        <f>IF(#REF!&lt;&gt;"N/A",Priority!$C24,"")</f>
        <v>#REF!</v>
      </c>
      <c r="BT24" s="29" t="e">
        <f>IF(#REF!&lt;&gt;"N/A",Priority!$C24,"")</f>
        <v>#REF!</v>
      </c>
      <c r="BU24" s="31"/>
      <c r="BV24" s="29" t="e">
        <f>IF(#REF!&lt;&gt;"N/A",Priority!$C24,"")</f>
        <v>#REF!</v>
      </c>
      <c r="BW24" s="29" t="e">
        <f>IF(#REF!&lt;&gt;"N/A",Priority!$C24,"")</f>
        <v>#REF!</v>
      </c>
      <c r="BX24" s="29" t="e">
        <f>IF(#REF!&lt;&gt;"N/A",Priority!$C24,"")</f>
        <v>#REF!</v>
      </c>
      <c r="BY24" s="29" t="e">
        <f>IF(#REF!&lt;&gt;"N/A",Priority!$C24,"")</f>
        <v>#REF!</v>
      </c>
      <c r="BZ24" s="29" t="e">
        <f>IF(#REF!&lt;&gt;"N/A",Priority!$C24,"")</f>
        <v>#REF!</v>
      </c>
      <c r="CA24" s="29" t="e">
        <f>IF(#REF!&lt;&gt;"N/A",Priority!$C24,"")</f>
        <v>#REF!</v>
      </c>
      <c r="CB24" s="31"/>
      <c r="CC24" s="29" t="e">
        <f>IF(#REF!&lt;&gt;"N/A",Priority!$C24,"")</f>
        <v>#REF!</v>
      </c>
      <c r="CD24" s="29" t="e">
        <f>IF(#REF!&lt;&gt;"N/A",Priority!$C24,"")</f>
        <v>#REF!</v>
      </c>
      <c r="CE24" s="29" t="e">
        <f>IF(#REF!&lt;&gt;"N/A",Priority!$C24,"")</f>
        <v>#REF!</v>
      </c>
      <c r="CF24" s="29" t="e">
        <f>IF(#REF!&lt;&gt;"N/A",Priority!$C24,"")</f>
        <v>#REF!</v>
      </c>
    </row>
    <row r="25" spans="1:84" ht="30">
      <c r="A25" s="15" t="e">
        <f>#REF!</f>
        <v>#REF!</v>
      </c>
      <c r="B25" s="15" t="e">
        <f>#REF!</f>
        <v>#REF!</v>
      </c>
      <c r="C25" s="15" t="e">
        <f>#REF!</f>
        <v>#REF!</v>
      </c>
      <c r="D25" s="24" t="s">
        <v>175</v>
      </c>
      <c r="E25" s="30" t="str">
        <f t="shared" si="9"/>
        <v>Pending</v>
      </c>
      <c r="F25" s="30" t="str">
        <f t="shared" si="10"/>
        <v>Pass:  0     /Accept:  0/     Fail:  0/     NT:  0</v>
      </c>
      <c r="G25" s="29" t="e">
        <f>IF(#REF!&lt;&gt;"N/A",Priority!$C25,"")</f>
        <v>#REF!</v>
      </c>
      <c r="H25" s="29" t="e">
        <f>IF(#REF!&lt;&gt;"N/A",Priority!$C25,"")</f>
        <v>#REF!</v>
      </c>
      <c r="I25" s="29" t="e">
        <f>IF(#REF!&lt;&gt;"N/A",Priority!$C25,"")</f>
        <v>#REF!</v>
      </c>
      <c r="J25" s="29" t="e">
        <f>IF(#REF!&lt;&gt;"N/A",Priority!$C25,"")</f>
        <v>#REF!</v>
      </c>
      <c r="K25" s="29" t="e">
        <f>IF(#REF!&lt;&gt;"N/A",Priority!$C25,"")</f>
        <v>#REF!</v>
      </c>
      <c r="L25" s="31"/>
      <c r="M25" s="29" t="e">
        <f>IF(#REF!&lt;&gt;"N/A",Priority!$C25,"")</f>
        <v>#REF!</v>
      </c>
      <c r="N25" s="29" t="e">
        <f>IF(#REF!&lt;&gt;"N/A",Priority!$C25,"")</f>
        <v>#REF!</v>
      </c>
      <c r="O25" s="29" t="e">
        <f>IF(#REF!&lt;&gt;"N/A",Priority!$C25,"")</f>
        <v>#REF!</v>
      </c>
      <c r="P25" s="29" t="e">
        <f>IF(#REF!&lt;&gt;"N/A",Priority!$C25,"")</f>
        <v>#REF!</v>
      </c>
      <c r="Q25" s="29" t="e">
        <f>IF(#REF!&lt;&gt;"N/A",Priority!$C25,"")</f>
        <v>#REF!</v>
      </c>
      <c r="R25" s="31"/>
      <c r="S25" s="29" t="e">
        <f>IF(#REF!&lt;&gt;"N/A",Priority!$C25,"")</f>
        <v>#REF!</v>
      </c>
      <c r="T25" s="29" t="e">
        <f>IF(#REF!&lt;&gt;"N/A",Priority!$C25,"")</f>
        <v>#REF!</v>
      </c>
      <c r="U25" s="29" t="e">
        <f>IF(#REF!&lt;&gt;"N/A",Priority!$C25,"")</f>
        <v>#REF!</v>
      </c>
      <c r="V25" s="29" t="e">
        <f>IF(#REF!&lt;&gt;"N/A",Priority!$C25,"")</f>
        <v>#REF!</v>
      </c>
      <c r="W25" s="29" t="e">
        <f>IF(#REF!&lt;&gt;"N/A",Priority!$C25,"")</f>
        <v>#REF!</v>
      </c>
      <c r="X25" s="29" t="e">
        <f>IF(#REF!&lt;&gt;"N/A",Priority!$C25,"")</f>
        <v>#REF!</v>
      </c>
      <c r="Y25" s="31"/>
      <c r="Z25" s="29" t="e">
        <f>IF(#REF!&lt;&gt;"N/A",Priority!$C25,"")</f>
        <v>#REF!</v>
      </c>
      <c r="AA25" s="29" t="e">
        <f>IF(#REF!&lt;&gt;"N/A",Priority!$C25,"")</f>
        <v>#REF!</v>
      </c>
      <c r="AB25" s="29" t="e">
        <f>IF(#REF!&lt;&gt;"N/A",Priority!$C25,"")</f>
        <v>#REF!</v>
      </c>
      <c r="AC25" s="29" t="e">
        <f>IF(#REF!&lt;&gt;"N/A",Priority!$C25,"")</f>
        <v>#REF!</v>
      </c>
      <c r="AD25" s="29" t="e">
        <f>IF(#REF!&lt;&gt;"N/A",Priority!$C25,"")</f>
        <v>#REF!</v>
      </c>
      <c r="AE25" s="29" t="e">
        <f>IF(#REF!&lt;&gt;"N/A",Priority!$C25,"")</f>
        <v>#REF!</v>
      </c>
      <c r="AF25" s="29" t="e">
        <f>IF(#REF!&lt;&gt;"N/A",Priority!$C25,"")</f>
        <v>#REF!</v>
      </c>
      <c r="AG25" s="29" t="e">
        <f>IF(#REF!&lt;&gt;"N/A",Priority!$C25,"")</f>
        <v>#REF!</v>
      </c>
      <c r="AH25" s="29" t="e">
        <f>IF(#REF!&lt;&gt;"N/A",Priority!$C25,"")</f>
        <v>#REF!</v>
      </c>
      <c r="AI25" s="29" t="e">
        <f>IF(#REF!&lt;&gt;"N/A",Priority!$C25,"")</f>
        <v>#REF!</v>
      </c>
      <c r="AJ25" s="31"/>
      <c r="AK25" s="29" t="e">
        <f>IF(#REF!&lt;&gt;"N/A",Priority!$C25,"")</f>
        <v>#REF!</v>
      </c>
      <c r="AL25" s="29" t="e">
        <f>IF(#REF!&lt;&gt;"N/A",Priority!$C25,"")</f>
        <v>#REF!</v>
      </c>
      <c r="AM25" s="29" t="e">
        <f>IF(#REF!&lt;&gt;"N/A",Priority!$C25,"")</f>
        <v>#REF!</v>
      </c>
      <c r="AN25" s="29" t="e">
        <f>IF(#REF!&lt;&gt;"N/A",Priority!$C25,"")</f>
        <v>#REF!</v>
      </c>
      <c r="AO25" s="29" t="e">
        <f>IF(#REF!&lt;&gt;"N/A",Priority!$C25,"")</f>
        <v>#REF!</v>
      </c>
      <c r="AP25" s="29" t="e">
        <f>IF(#REF!&lt;&gt;"N/A",Priority!$C25,"")</f>
        <v>#REF!</v>
      </c>
      <c r="AQ25" s="29" t="e">
        <f>IF(#REF!&lt;&gt;"N/A",Priority!$C25,"")</f>
        <v>#REF!</v>
      </c>
      <c r="AR25" s="29" t="e">
        <f>IF(#REF!&lt;&gt;"N/A",Priority!$C25,"")</f>
        <v>#REF!</v>
      </c>
      <c r="AS25" s="29" t="e">
        <f>IF(#REF!&lt;&gt;"N/A",Priority!$C25,"")</f>
        <v>#REF!</v>
      </c>
      <c r="AT25" s="29" t="e">
        <f>IF(#REF!&lt;&gt;"N/A",Priority!$C25,"")</f>
        <v>#REF!</v>
      </c>
      <c r="AU25" s="31"/>
      <c r="AV25" s="29" t="e">
        <f>IF(#REF!&lt;&gt;"N/A",Priority!$C25,"")</f>
        <v>#REF!</v>
      </c>
      <c r="AW25" s="29" t="e">
        <f>IF(#REF!&lt;&gt;"N/A",Priority!$C25,"")</f>
        <v>#REF!</v>
      </c>
      <c r="AX25" s="29" t="e">
        <f>IF(#REF!&lt;&gt;"N/A",Priority!$C25,"")</f>
        <v>#REF!</v>
      </c>
      <c r="AY25" s="29" t="e">
        <f>IF(#REF!&lt;&gt;"N/A",Priority!$C25,"")</f>
        <v>#REF!</v>
      </c>
      <c r="AZ25" s="29" t="e">
        <f>IF(#REF!&lt;&gt;"N/A",Priority!$C25,"")</f>
        <v>#REF!</v>
      </c>
      <c r="BA25" s="29" t="e">
        <f>IF(#REF!&lt;&gt;"N/A",Priority!$C25,"")</f>
        <v>#REF!</v>
      </c>
      <c r="BB25" s="29" t="e">
        <f>IF(#REF!&lt;&gt;"N/A",Priority!$C25,"")</f>
        <v>#REF!</v>
      </c>
      <c r="BC25" s="31"/>
      <c r="BD25" s="29" t="e">
        <f>IF(#REF!&lt;&gt;"N/A",Priority!$C25,"")</f>
        <v>#REF!</v>
      </c>
      <c r="BE25" s="29" t="e">
        <f>IF(#REF!&lt;&gt;"N/A",Priority!$C25,"")</f>
        <v>#REF!</v>
      </c>
      <c r="BF25" s="29" t="e">
        <f>IF(#REF!&lt;&gt;"N/A",Priority!$C25,"")</f>
        <v>#REF!</v>
      </c>
      <c r="BG25" s="29" t="e">
        <f>IF(#REF!&lt;&gt;"N/A",Priority!$C25,"")</f>
        <v>#REF!</v>
      </c>
      <c r="BH25" s="29" t="e">
        <f>IF(#REF!&lt;&gt;"N/A",Priority!$C25,"")</f>
        <v>#REF!</v>
      </c>
      <c r="BI25" s="29" t="e">
        <f>IF(#REF!&lt;&gt;"N/A",Priority!$C25,"")</f>
        <v>#REF!</v>
      </c>
      <c r="BJ25" s="29" t="e">
        <f>IF(#REF!&lt;&gt;"N/A",Priority!$C25,"")</f>
        <v>#REF!</v>
      </c>
      <c r="BK25" s="29" t="e">
        <f>IF(#REF!&lt;&gt;"N/A",Priority!$C25,"")</f>
        <v>#REF!</v>
      </c>
      <c r="BL25" s="29" t="e">
        <f>IF(#REF!&lt;&gt;"N/A",Priority!$C25,"")</f>
        <v>#REF!</v>
      </c>
      <c r="BM25" s="31"/>
      <c r="BN25" s="29" t="e">
        <f>IF(#REF!&lt;&gt;"N/A",Priority!$C25,"")</f>
        <v>#REF!</v>
      </c>
      <c r="BO25" s="29" t="e">
        <f>IF(#REF!&lt;&gt;"N/A",Priority!$C25,"")</f>
        <v>#REF!</v>
      </c>
      <c r="BP25" s="29" t="e">
        <f>IF(#REF!&lt;&gt;"N/A",Priority!$C25,"")</f>
        <v>#REF!</v>
      </c>
      <c r="BQ25" s="29" t="e">
        <f>IF(#REF!&lt;&gt;"N/A",Priority!$C25,"")</f>
        <v>#REF!</v>
      </c>
      <c r="BR25" s="29" t="e">
        <f>IF(#REF!&lt;&gt;"N/A",Priority!$C25,"")</f>
        <v>#REF!</v>
      </c>
      <c r="BS25" s="29" t="e">
        <f>IF(#REF!&lt;&gt;"N/A",Priority!$C25,"")</f>
        <v>#REF!</v>
      </c>
      <c r="BT25" s="29" t="e">
        <f>IF(#REF!&lt;&gt;"N/A",Priority!$C25,"")</f>
        <v>#REF!</v>
      </c>
      <c r="BU25" s="31"/>
      <c r="BV25" s="29" t="e">
        <f>IF(#REF!&lt;&gt;"N/A",Priority!$C25,"")</f>
        <v>#REF!</v>
      </c>
      <c r="BW25" s="29" t="e">
        <f>IF(#REF!&lt;&gt;"N/A",Priority!$C25,"")</f>
        <v>#REF!</v>
      </c>
      <c r="BX25" s="29" t="e">
        <f>IF(#REF!&lt;&gt;"N/A",Priority!$C25,"")</f>
        <v>#REF!</v>
      </c>
      <c r="BY25" s="29" t="e">
        <f>IF(#REF!&lt;&gt;"N/A",Priority!$C25,"")</f>
        <v>#REF!</v>
      </c>
      <c r="BZ25" s="29" t="e">
        <f>IF(#REF!&lt;&gt;"N/A",Priority!$C25,"")</f>
        <v>#REF!</v>
      </c>
      <c r="CA25" s="29" t="e">
        <f>IF(#REF!&lt;&gt;"N/A",Priority!$C25,"")</f>
        <v>#REF!</v>
      </c>
      <c r="CB25" s="31"/>
      <c r="CC25" s="29" t="e">
        <f>IF(#REF!&lt;&gt;"N/A",Priority!$C25,"")</f>
        <v>#REF!</v>
      </c>
      <c r="CD25" s="29" t="e">
        <f>IF(#REF!&lt;&gt;"N/A",Priority!$C25,"")</f>
        <v>#REF!</v>
      </c>
      <c r="CE25" s="29" t="e">
        <f>IF(#REF!&lt;&gt;"N/A",Priority!$C25,"")</f>
        <v>#REF!</v>
      </c>
      <c r="CF25" s="29" t="e">
        <f>IF(#REF!&lt;&gt;"N/A",Priority!$C25,"")</f>
        <v>#REF!</v>
      </c>
    </row>
    <row r="26" spans="1:84" ht="30">
      <c r="A26" s="15" t="e">
        <f>#REF!</f>
        <v>#REF!</v>
      </c>
      <c r="B26" s="15" t="e">
        <f>#REF!</f>
        <v>#REF!</v>
      </c>
      <c r="C26" s="15" t="e">
        <f>#REF!</f>
        <v>#REF!</v>
      </c>
      <c r="D26" s="20" t="s">
        <v>173</v>
      </c>
      <c r="E26" s="30" t="str">
        <f t="shared" si="9"/>
        <v>Pending</v>
      </c>
      <c r="F26" s="30" t="str">
        <f t="shared" si="10"/>
        <v>Pass:  0     /Accept:  0/     Fail:  0/     NT:  0</v>
      </c>
      <c r="G26" s="29" t="e">
        <f>IF(#REF!&lt;&gt;"N/A",Priority!$C26,"")</f>
        <v>#REF!</v>
      </c>
      <c r="H26" s="29" t="e">
        <f>IF(#REF!&lt;&gt;"N/A",Priority!$C26,"")</f>
        <v>#REF!</v>
      </c>
      <c r="I26" s="29" t="e">
        <f>IF(#REF!&lt;&gt;"N/A",Priority!$C26,"")</f>
        <v>#REF!</v>
      </c>
      <c r="J26" s="29" t="e">
        <f>IF(#REF!&lt;&gt;"N/A",Priority!$C26,"")</f>
        <v>#REF!</v>
      </c>
      <c r="K26" s="29" t="e">
        <f>IF(#REF!&lt;&gt;"N/A",Priority!$C26,"")</f>
        <v>#REF!</v>
      </c>
      <c r="L26" s="31"/>
      <c r="M26" s="29" t="e">
        <f>IF(#REF!&lt;&gt;"N/A",Priority!$C26,"")</f>
        <v>#REF!</v>
      </c>
      <c r="N26" s="29" t="e">
        <f>IF(#REF!&lt;&gt;"N/A",Priority!$C26,"")</f>
        <v>#REF!</v>
      </c>
      <c r="O26" s="29" t="e">
        <f>IF(#REF!&lt;&gt;"N/A",Priority!$C26,"")</f>
        <v>#REF!</v>
      </c>
      <c r="P26" s="29" t="e">
        <f>IF(#REF!&lt;&gt;"N/A",Priority!$C26,"")</f>
        <v>#REF!</v>
      </c>
      <c r="Q26" s="29" t="e">
        <f>IF(#REF!&lt;&gt;"N/A",Priority!$C26,"")</f>
        <v>#REF!</v>
      </c>
      <c r="R26" s="31"/>
      <c r="S26" s="29" t="e">
        <f>IF(#REF!&lt;&gt;"N/A",Priority!$C26,"")</f>
        <v>#REF!</v>
      </c>
      <c r="T26" s="29" t="e">
        <f>IF(#REF!&lt;&gt;"N/A",Priority!$C26,"")</f>
        <v>#REF!</v>
      </c>
      <c r="U26" s="29" t="e">
        <f>IF(#REF!&lt;&gt;"N/A",Priority!$C26,"")</f>
        <v>#REF!</v>
      </c>
      <c r="V26" s="29" t="e">
        <f>IF(#REF!&lt;&gt;"N/A",Priority!$C26,"")</f>
        <v>#REF!</v>
      </c>
      <c r="W26" s="29" t="e">
        <f>IF(#REF!&lt;&gt;"N/A",Priority!$C26,"")</f>
        <v>#REF!</v>
      </c>
      <c r="X26" s="29" t="e">
        <f>IF(#REF!&lt;&gt;"N/A",Priority!$C26,"")</f>
        <v>#REF!</v>
      </c>
      <c r="Y26" s="31"/>
      <c r="Z26" s="29" t="e">
        <f>IF(#REF!&lt;&gt;"N/A",Priority!$C26,"")</f>
        <v>#REF!</v>
      </c>
      <c r="AA26" s="29" t="e">
        <f>IF(#REF!&lt;&gt;"N/A",Priority!$C26,"")</f>
        <v>#REF!</v>
      </c>
      <c r="AB26" s="29" t="e">
        <f>IF(#REF!&lt;&gt;"N/A",Priority!$C26,"")</f>
        <v>#REF!</v>
      </c>
      <c r="AC26" s="29" t="e">
        <f>IF(#REF!&lt;&gt;"N/A",Priority!$C26,"")</f>
        <v>#REF!</v>
      </c>
      <c r="AD26" s="29" t="e">
        <f>IF(#REF!&lt;&gt;"N/A",Priority!$C26,"")</f>
        <v>#REF!</v>
      </c>
      <c r="AE26" s="29" t="e">
        <f>IF(#REF!&lt;&gt;"N/A",Priority!$C26,"")</f>
        <v>#REF!</v>
      </c>
      <c r="AF26" s="29" t="e">
        <f>IF(#REF!&lt;&gt;"N/A",Priority!$C26,"")</f>
        <v>#REF!</v>
      </c>
      <c r="AG26" s="29" t="e">
        <f>IF(#REF!&lt;&gt;"N/A",Priority!$C26,"")</f>
        <v>#REF!</v>
      </c>
      <c r="AH26" s="29" t="e">
        <f>IF(#REF!&lt;&gt;"N/A",Priority!$C26,"")</f>
        <v>#REF!</v>
      </c>
      <c r="AI26" s="29" t="e">
        <f>IF(#REF!&lt;&gt;"N/A",Priority!$C26,"")</f>
        <v>#REF!</v>
      </c>
      <c r="AJ26" s="31"/>
      <c r="AK26" s="29" t="e">
        <f>IF(#REF!&lt;&gt;"N/A",Priority!$C26,"")</f>
        <v>#REF!</v>
      </c>
      <c r="AL26" s="29" t="e">
        <f>IF(#REF!&lt;&gt;"N/A",Priority!$C26,"")</f>
        <v>#REF!</v>
      </c>
      <c r="AM26" s="29" t="e">
        <f>IF(#REF!&lt;&gt;"N/A",Priority!$C26,"")</f>
        <v>#REF!</v>
      </c>
      <c r="AN26" s="29" t="e">
        <f>IF(#REF!&lt;&gt;"N/A",Priority!$C26,"")</f>
        <v>#REF!</v>
      </c>
      <c r="AO26" s="29" t="e">
        <f>IF(#REF!&lt;&gt;"N/A",Priority!$C26,"")</f>
        <v>#REF!</v>
      </c>
      <c r="AP26" s="29" t="e">
        <f>IF(#REF!&lt;&gt;"N/A",Priority!$C26,"")</f>
        <v>#REF!</v>
      </c>
      <c r="AQ26" s="29" t="e">
        <f>IF(#REF!&lt;&gt;"N/A",Priority!$C26,"")</f>
        <v>#REF!</v>
      </c>
      <c r="AR26" s="29" t="e">
        <f>IF(#REF!&lt;&gt;"N/A",Priority!$C26,"")</f>
        <v>#REF!</v>
      </c>
      <c r="AS26" s="29" t="e">
        <f>IF(#REF!&lt;&gt;"N/A",Priority!$C26,"")</f>
        <v>#REF!</v>
      </c>
      <c r="AT26" s="29" t="e">
        <f>IF(#REF!&lt;&gt;"N/A",Priority!$C26,"")</f>
        <v>#REF!</v>
      </c>
      <c r="AU26" s="31"/>
      <c r="AV26" s="29" t="e">
        <f>IF(#REF!&lt;&gt;"N/A",Priority!$C26,"")</f>
        <v>#REF!</v>
      </c>
      <c r="AW26" s="29" t="e">
        <f>IF(#REF!&lt;&gt;"N/A",Priority!$C26,"")</f>
        <v>#REF!</v>
      </c>
      <c r="AX26" s="29" t="e">
        <f>IF(#REF!&lt;&gt;"N/A",Priority!$C26,"")</f>
        <v>#REF!</v>
      </c>
      <c r="AY26" s="29" t="e">
        <f>IF(#REF!&lt;&gt;"N/A",Priority!$C26,"")</f>
        <v>#REF!</v>
      </c>
      <c r="AZ26" s="29" t="e">
        <f>IF(#REF!&lt;&gt;"N/A",Priority!$C26,"")</f>
        <v>#REF!</v>
      </c>
      <c r="BA26" s="29" t="e">
        <f>IF(#REF!&lt;&gt;"N/A",Priority!$C26,"")</f>
        <v>#REF!</v>
      </c>
      <c r="BB26" s="29" t="e">
        <f>IF(#REF!&lt;&gt;"N/A",Priority!$C26,"")</f>
        <v>#REF!</v>
      </c>
      <c r="BC26" s="31"/>
      <c r="BD26" s="29" t="e">
        <f>IF(#REF!&lt;&gt;"N/A",Priority!$C26,"")</f>
        <v>#REF!</v>
      </c>
      <c r="BE26" s="29" t="e">
        <f>IF(#REF!&lt;&gt;"N/A",Priority!$C26,"")</f>
        <v>#REF!</v>
      </c>
      <c r="BF26" s="29" t="e">
        <f>IF(#REF!&lt;&gt;"N/A",Priority!$C26,"")</f>
        <v>#REF!</v>
      </c>
      <c r="BG26" s="29" t="e">
        <f>IF(#REF!&lt;&gt;"N/A",Priority!$C26,"")</f>
        <v>#REF!</v>
      </c>
      <c r="BH26" s="29" t="e">
        <f>IF(#REF!&lt;&gt;"N/A",Priority!$C26,"")</f>
        <v>#REF!</v>
      </c>
      <c r="BI26" s="29" t="e">
        <f>IF(#REF!&lt;&gt;"N/A",Priority!$C26,"")</f>
        <v>#REF!</v>
      </c>
      <c r="BJ26" s="29" t="e">
        <f>IF(#REF!&lt;&gt;"N/A",Priority!$C26,"")</f>
        <v>#REF!</v>
      </c>
      <c r="BK26" s="29" t="e">
        <f>IF(#REF!&lt;&gt;"N/A",Priority!$C26,"")</f>
        <v>#REF!</v>
      </c>
      <c r="BL26" s="29" t="e">
        <f>IF(#REF!&lt;&gt;"N/A",Priority!$C26,"")</f>
        <v>#REF!</v>
      </c>
      <c r="BM26" s="31"/>
      <c r="BN26" s="29" t="e">
        <f>IF(#REF!&lt;&gt;"N/A",Priority!$C26,"")</f>
        <v>#REF!</v>
      </c>
      <c r="BO26" s="29" t="e">
        <f>IF(#REF!&lt;&gt;"N/A",Priority!$C26,"")</f>
        <v>#REF!</v>
      </c>
      <c r="BP26" s="29" t="e">
        <f>IF(#REF!&lt;&gt;"N/A",Priority!$C26,"")</f>
        <v>#REF!</v>
      </c>
      <c r="BQ26" s="29" t="e">
        <f>IF(#REF!&lt;&gt;"N/A",Priority!$C26,"")</f>
        <v>#REF!</v>
      </c>
      <c r="BR26" s="29" t="e">
        <f>IF(#REF!&lt;&gt;"N/A",Priority!$C26,"")</f>
        <v>#REF!</v>
      </c>
      <c r="BS26" s="29" t="e">
        <f>IF(#REF!&lt;&gt;"N/A",Priority!$C26,"")</f>
        <v>#REF!</v>
      </c>
      <c r="BT26" s="29" t="e">
        <f>IF(#REF!&lt;&gt;"N/A",Priority!$C26,"")</f>
        <v>#REF!</v>
      </c>
      <c r="BU26" s="31"/>
      <c r="BV26" s="29" t="e">
        <f>IF(#REF!&lt;&gt;"N/A",Priority!$C26,"")</f>
        <v>#REF!</v>
      </c>
      <c r="BW26" s="29" t="e">
        <f>IF(#REF!&lt;&gt;"N/A",Priority!$C26,"")</f>
        <v>#REF!</v>
      </c>
      <c r="BX26" s="29" t="e">
        <f>IF(#REF!&lt;&gt;"N/A",Priority!$C26,"")</f>
        <v>#REF!</v>
      </c>
      <c r="BY26" s="29" t="e">
        <f>IF(#REF!&lt;&gt;"N/A",Priority!$C26,"")</f>
        <v>#REF!</v>
      </c>
      <c r="BZ26" s="29" t="e">
        <f>IF(#REF!&lt;&gt;"N/A",Priority!$C26,"")</f>
        <v>#REF!</v>
      </c>
      <c r="CA26" s="29" t="e">
        <f>IF(#REF!&lt;&gt;"N/A",Priority!$C26,"")</f>
        <v>#REF!</v>
      </c>
      <c r="CB26" s="31"/>
      <c r="CC26" s="29" t="e">
        <f>IF(#REF!&lt;&gt;"N/A",Priority!$C26,"")</f>
        <v>#REF!</v>
      </c>
      <c r="CD26" s="29" t="e">
        <f>IF(#REF!&lt;&gt;"N/A",Priority!$C26,"")</f>
        <v>#REF!</v>
      </c>
      <c r="CE26" s="29" t="e">
        <f>IF(#REF!&lt;&gt;"N/A",Priority!$C26,"")</f>
        <v>#REF!</v>
      </c>
      <c r="CF26" s="29" t="e">
        <f>IF(#REF!&lt;&gt;"N/A",Priority!$C26,"")</f>
        <v>#REF!</v>
      </c>
    </row>
    <row r="27" spans="1:84" ht="30">
      <c r="A27" s="15" t="e">
        <f>#REF!</f>
        <v>#REF!</v>
      </c>
      <c r="B27" s="15" t="e">
        <f>#REF!</f>
        <v>#REF!</v>
      </c>
      <c r="C27" s="15" t="e">
        <f>#REF!</f>
        <v>#REF!</v>
      </c>
      <c r="D27" s="20" t="s">
        <v>173</v>
      </c>
      <c r="E27" s="30" t="str">
        <f t="shared" si="9"/>
        <v>Pending</v>
      </c>
      <c r="F27" s="30" t="str">
        <f t="shared" si="10"/>
        <v>Pass:  0     /Accept:  0/     Fail:  0/     NT:  0</v>
      </c>
      <c r="G27" s="29" t="e">
        <f>IF(#REF!&lt;&gt;"N/A",Priority!$C27,"")</f>
        <v>#REF!</v>
      </c>
      <c r="H27" s="29" t="e">
        <f>IF(#REF!&lt;&gt;"N/A",Priority!$C27,"")</f>
        <v>#REF!</v>
      </c>
      <c r="I27" s="29" t="e">
        <f>IF(#REF!&lt;&gt;"N/A",Priority!$C27,"")</f>
        <v>#REF!</v>
      </c>
      <c r="J27" s="29" t="e">
        <f>IF(#REF!&lt;&gt;"N/A",Priority!$C27,"")</f>
        <v>#REF!</v>
      </c>
      <c r="K27" s="29" t="e">
        <f>IF(#REF!&lt;&gt;"N/A",Priority!$C27,"")</f>
        <v>#REF!</v>
      </c>
      <c r="L27" s="31"/>
      <c r="M27" s="29" t="e">
        <f>IF(#REF!&lt;&gt;"N/A",Priority!$C27,"")</f>
        <v>#REF!</v>
      </c>
      <c r="N27" s="29" t="e">
        <f>IF(#REF!&lt;&gt;"N/A",Priority!$C27,"")</f>
        <v>#REF!</v>
      </c>
      <c r="O27" s="29" t="e">
        <f>IF(#REF!&lt;&gt;"N/A",Priority!$C27,"")</f>
        <v>#REF!</v>
      </c>
      <c r="P27" s="29" t="e">
        <f>IF(#REF!&lt;&gt;"N/A",Priority!$C27,"")</f>
        <v>#REF!</v>
      </c>
      <c r="Q27" s="29" t="e">
        <f>IF(#REF!&lt;&gt;"N/A",Priority!$C27,"")</f>
        <v>#REF!</v>
      </c>
      <c r="R27" s="31"/>
      <c r="S27" s="29" t="e">
        <f>IF(#REF!&lt;&gt;"N/A",Priority!$C27,"")</f>
        <v>#REF!</v>
      </c>
      <c r="T27" s="29" t="e">
        <f>IF(#REF!&lt;&gt;"N/A",Priority!$C27,"")</f>
        <v>#REF!</v>
      </c>
      <c r="U27" s="29" t="e">
        <f>IF(#REF!&lt;&gt;"N/A",Priority!$C27,"")</f>
        <v>#REF!</v>
      </c>
      <c r="V27" s="29" t="e">
        <f>IF(#REF!&lt;&gt;"N/A",Priority!$C27,"")</f>
        <v>#REF!</v>
      </c>
      <c r="W27" s="29" t="e">
        <f>IF(#REF!&lt;&gt;"N/A",Priority!$C27,"")</f>
        <v>#REF!</v>
      </c>
      <c r="X27" s="29" t="e">
        <f>IF(#REF!&lt;&gt;"N/A",Priority!$C27,"")</f>
        <v>#REF!</v>
      </c>
      <c r="Y27" s="31"/>
      <c r="Z27" s="29" t="e">
        <f>IF(#REF!&lt;&gt;"N/A",Priority!$C27,"")</f>
        <v>#REF!</v>
      </c>
      <c r="AA27" s="29" t="e">
        <f>IF(#REF!&lt;&gt;"N/A",Priority!$C27,"")</f>
        <v>#REF!</v>
      </c>
      <c r="AB27" s="29" t="e">
        <f>IF(#REF!&lt;&gt;"N/A",Priority!$C27,"")</f>
        <v>#REF!</v>
      </c>
      <c r="AC27" s="29" t="e">
        <f>IF(#REF!&lt;&gt;"N/A",Priority!$C27,"")</f>
        <v>#REF!</v>
      </c>
      <c r="AD27" s="29" t="e">
        <f>IF(#REF!&lt;&gt;"N/A",Priority!$C27,"")</f>
        <v>#REF!</v>
      </c>
      <c r="AE27" s="29" t="e">
        <f>IF(#REF!&lt;&gt;"N/A",Priority!$C27,"")</f>
        <v>#REF!</v>
      </c>
      <c r="AF27" s="29" t="e">
        <f>IF(#REF!&lt;&gt;"N/A",Priority!$C27,"")</f>
        <v>#REF!</v>
      </c>
      <c r="AG27" s="29" t="e">
        <f>IF(#REF!&lt;&gt;"N/A",Priority!$C27,"")</f>
        <v>#REF!</v>
      </c>
      <c r="AH27" s="29" t="e">
        <f>IF(#REF!&lt;&gt;"N/A",Priority!$C27,"")</f>
        <v>#REF!</v>
      </c>
      <c r="AI27" s="29" t="e">
        <f>IF(#REF!&lt;&gt;"N/A",Priority!$C27,"")</f>
        <v>#REF!</v>
      </c>
      <c r="AJ27" s="31"/>
      <c r="AK27" s="29" t="e">
        <f>IF(#REF!&lt;&gt;"N/A",Priority!$C27,"")</f>
        <v>#REF!</v>
      </c>
      <c r="AL27" s="29" t="e">
        <f>IF(#REF!&lt;&gt;"N/A",Priority!$C27,"")</f>
        <v>#REF!</v>
      </c>
      <c r="AM27" s="29" t="e">
        <f>IF(#REF!&lt;&gt;"N/A",Priority!$C27,"")</f>
        <v>#REF!</v>
      </c>
      <c r="AN27" s="29" t="e">
        <f>IF(#REF!&lt;&gt;"N/A",Priority!$C27,"")</f>
        <v>#REF!</v>
      </c>
      <c r="AO27" s="29" t="e">
        <f>IF(#REF!&lt;&gt;"N/A",Priority!$C27,"")</f>
        <v>#REF!</v>
      </c>
      <c r="AP27" s="29" t="e">
        <f>IF(#REF!&lt;&gt;"N/A",Priority!$C27,"")</f>
        <v>#REF!</v>
      </c>
      <c r="AQ27" s="29" t="e">
        <f>IF(#REF!&lt;&gt;"N/A",Priority!$C27,"")</f>
        <v>#REF!</v>
      </c>
      <c r="AR27" s="29" t="e">
        <f>IF(#REF!&lt;&gt;"N/A",Priority!$C27,"")</f>
        <v>#REF!</v>
      </c>
      <c r="AS27" s="29" t="e">
        <f>IF(#REF!&lt;&gt;"N/A",Priority!$C27,"")</f>
        <v>#REF!</v>
      </c>
      <c r="AT27" s="29" t="e">
        <f>IF(#REF!&lt;&gt;"N/A",Priority!$C27,"")</f>
        <v>#REF!</v>
      </c>
      <c r="AU27" s="31"/>
      <c r="AV27" s="29" t="e">
        <f>IF(#REF!&lt;&gt;"N/A",Priority!$C27,"")</f>
        <v>#REF!</v>
      </c>
      <c r="AW27" s="29" t="e">
        <f>IF(#REF!&lt;&gt;"N/A",Priority!$C27,"")</f>
        <v>#REF!</v>
      </c>
      <c r="AX27" s="29" t="e">
        <f>IF(#REF!&lt;&gt;"N/A",Priority!$C27,"")</f>
        <v>#REF!</v>
      </c>
      <c r="AY27" s="29" t="e">
        <f>IF(#REF!&lt;&gt;"N/A",Priority!$C27,"")</f>
        <v>#REF!</v>
      </c>
      <c r="AZ27" s="29" t="e">
        <f>IF(#REF!&lt;&gt;"N/A",Priority!$C27,"")</f>
        <v>#REF!</v>
      </c>
      <c r="BA27" s="29" t="e">
        <f>IF(#REF!&lt;&gt;"N/A",Priority!$C27,"")</f>
        <v>#REF!</v>
      </c>
      <c r="BB27" s="29" t="e">
        <f>IF(#REF!&lt;&gt;"N/A",Priority!$C27,"")</f>
        <v>#REF!</v>
      </c>
      <c r="BC27" s="31"/>
      <c r="BD27" s="29" t="e">
        <f>IF(#REF!&lt;&gt;"N/A",Priority!$C27,"")</f>
        <v>#REF!</v>
      </c>
      <c r="BE27" s="29" t="e">
        <f>IF(#REF!&lt;&gt;"N/A",Priority!$C27,"")</f>
        <v>#REF!</v>
      </c>
      <c r="BF27" s="29" t="e">
        <f>IF(#REF!&lt;&gt;"N/A",Priority!$C27,"")</f>
        <v>#REF!</v>
      </c>
      <c r="BG27" s="29" t="e">
        <f>IF(#REF!&lt;&gt;"N/A",Priority!$C27,"")</f>
        <v>#REF!</v>
      </c>
      <c r="BH27" s="29" t="e">
        <f>IF(#REF!&lt;&gt;"N/A",Priority!$C27,"")</f>
        <v>#REF!</v>
      </c>
      <c r="BI27" s="29" t="e">
        <f>IF(#REF!&lt;&gt;"N/A",Priority!$C27,"")</f>
        <v>#REF!</v>
      </c>
      <c r="BJ27" s="29" t="e">
        <f>IF(#REF!&lt;&gt;"N/A",Priority!$C27,"")</f>
        <v>#REF!</v>
      </c>
      <c r="BK27" s="29" t="e">
        <f>IF(#REF!&lt;&gt;"N/A",Priority!$C27,"")</f>
        <v>#REF!</v>
      </c>
      <c r="BL27" s="29" t="e">
        <f>IF(#REF!&lt;&gt;"N/A",Priority!$C27,"")</f>
        <v>#REF!</v>
      </c>
      <c r="BM27" s="31"/>
      <c r="BN27" s="29" t="e">
        <f>IF(#REF!&lt;&gt;"N/A",Priority!$C27,"")</f>
        <v>#REF!</v>
      </c>
      <c r="BO27" s="29" t="e">
        <f>IF(#REF!&lt;&gt;"N/A",Priority!$C27,"")</f>
        <v>#REF!</v>
      </c>
      <c r="BP27" s="29" t="e">
        <f>IF(#REF!&lt;&gt;"N/A",Priority!$C27,"")</f>
        <v>#REF!</v>
      </c>
      <c r="BQ27" s="29" t="e">
        <f>IF(#REF!&lt;&gt;"N/A",Priority!$C27,"")</f>
        <v>#REF!</v>
      </c>
      <c r="BR27" s="29" t="e">
        <f>IF(#REF!&lt;&gt;"N/A",Priority!$C27,"")</f>
        <v>#REF!</v>
      </c>
      <c r="BS27" s="29" t="e">
        <f>IF(#REF!&lt;&gt;"N/A",Priority!$C27,"")</f>
        <v>#REF!</v>
      </c>
      <c r="BT27" s="29" t="e">
        <f>IF(#REF!&lt;&gt;"N/A",Priority!$C27,"")</f>
        <v>#REF!</v>
      </c>
      <c r="BU27" s="31"/>
      <c r="BV27" s="29" t="e">
        <f>IF(#REF!&lt;&gt;"N/A",Priority!$C27,"")</f>
        <v>#REF!</v>
      </c>
      <c r="BW27" s="29" t="e">
        <f>IF(#REF!&lt;&gt;"N/A",Priority!$C27,"")</f>
        <v>#REF!</v>
      </c>
      <c r="BX27" s="29" t="e">
        <f>IF(#REF!&lt;&gt;"N/A",Priority!$C27,"")</f>
        <v>#REF!</v>
      </c>
      <c r="BY27" s="29" t="e">
        <f>IF(#REF!&lt;&gt;"N/A",Priority!$C27,"")</f>
        <v>#REF!</v>
      </c>
      <c r="BZ27" s="29" t="e">
        <f>IF(#REF!&lt;&gt;"N/A",Priority!$C27,"")</f>
        <v>#REF!</v>
      </c>
      <c r="CA27" s="29" t="e">
        <f>IF(#REF!&lt;&gt;"N/A",Priority!$C27,"")</f>
        <v>#REF!</v>
      </c>
      <c r="CB27" s="31"/>
      <c r="CC27" s="29" t="e">
        <f>IF(#REF!&lt;&gt;"N/A",Priority!$C27,"")</f>
        <v>#REF!</v>
      </c>
      <c r="CD27" s="29" t="e">
        <f>IF(#REF!&lt;&gt;"N/A",Priority!$C27,"")</f>
        <v>#REF!</v>
      </c>
      <c r="CE27" s="29" t="e">
        <f>IF(#REF!&lt;&gt;"N/A",Priority!$C27,"")</f>
        <v>#REF!</v>
      </c>
      <c r="CF27" s="29" t="e">
        <f>IF(#REF!&lt;&gt;"N/A",Priority!$C27,"")</f>
        <v>#REF!</v>
      </c>
    </row>
    <row r="28" spans="1:84" ht="30">
      <c r="A28" s="15" t="e">
        <f>#REF!</f>
        <v>#REF!</v>
      </c>
      <c r="B28" s="15" t="e">
        <f>#REF!</f>
        <v>#REF!</v>
      </c>
      <c r="C28" s="15" t="e">
        <f>#REF!</f>
        <v>#REF!</v>
      </c>
      <c r="D28" s="20" t="s">
        <v>76</v>
      </c>
      <c r="E28" s="30" t="str">
        <f t="shared" si="9"/>
        <v>Pending</v>
      </c>
      <c r="F28" s="30" t="str">
        <f t="shared" si="10"/>
        <v>Pass:  0     /Accept:  0/     Fail:  0/     NT:  0</v>
      </c>
      <c r="G28" s="29" t="e">
        <f>IF(#REF!&lt;&gt;"N/A",Priority!$C28,"")</f>
        <v>#REF!</v>
      </c>
      <c r="H28" s="29" t="e">
        <f>IF(#REF!&lt;&gt;"N/A",Priority!$C28,"")</f>
        <v>#REF!</v>
      </c>
      <c r="I28" s="29" t="e">
        <f>IF(#REF!&lt;&gt;"N/A",Priority!$C28,"")</f>
        <v>#REF!</v>
      </c>
      <c r="J28" s="29" t="e">
        <f>IF(#REF!&lt;&gt;"N/A",Priority!$C28,"")</f>
        <v>#REF!</v>
      </c>
      <c r="K28" s="29" t="e">
        <f>IF(#REF!&lt;&gt;"N/A",Priority!$C28,"")</f>
        <v>#REF!</v>
      </c>
      <c r="L28" s="31"/>
      <c r="M28" s="29" t="e">
        <f>IF(#REF!&lt;&gt;"N/A",Priority!$C28,"")</f>
        <v>#REF!</v>
      </c>
      <c r="N28" s="29" t="e">
        <f>IF(#REF!&lt;&gt;"N/A",Priority!$C28,"")</f>
        <v>#REF!</v>
      </c>
      <c r="O28" s="29" t="e">
        <f>IF(#REF!&lt;&gt;"N/A",Priority!$C28,"")</f>
        <v>#REF!</v>
      </c>
      <c r="P28" s="29" t="e">
        <f>IF(#REF!&lt;&gt;"N/A",Priority!$C28,"")</f>
        <v>#REF!</v>
      </c>
      <c r="Q28" s="29" t="e">
        <f>IF(#REF!&lt;&gt;"N/A",Priority!$C28,"")</f>
        <v>#REF!</v>
      </c>
      <c r="R28" s="31"/>
      <c r="S28" s="29" t="e">
        <f>IF(#REF!&lt;&gt;"N/A",Priority!$C28,"")</f>
        <v>#REF!</v>
      </c>
      <c r="T28" s="29" t="e">
        <f>IF(#REF!&lt;&gt;"N/A",Priority!$C28,"")</f>
        <v>#REF!</v>
      </c>
      <c r="U28" s="29" t="e">
        <f>IF(#REF!&lt;&gt;"N/A",Priority!$C28,"")</f>
        <v>#REF!</v>
      </c>
      <c r="V28" s="29" t="e">
        <f>IF(#REF!&lt;&gt;"N/A",Priority!$C28,"")</f>
        <v>#REF!</v>
      </c>
      <c r="W28" s="29" t="e">
        <f>IF(#REF!&lt;&gt;"N/A",Priority!$C28,"")</f>
        <v>#REF!</v>
      </c>
      <c r="X28" s="29" t="e">
        <f>IF(#REF!&lt;&gt;"N/A",Priority!$C28,"")</f>
        <v>#REF!</v>
      </c>
      <c r="Y28" s="31"/>
      <c r="Z28" s="29" t="e">
        <f>IF(#REF!&lt;&gt;"N/A",Priority!$C28,"")</f>
        <v>#REF!</v>
      </c>
      <c r="AA28" s="29" t="e">
        <f>IF(#REF!&lt;&gt;"N/A",Priority!$C28,"")</f>
        <v>#REF!</v>
      </c>
      <c r="AB28" s="29" t="e">
        <f>IF(#REF!&lt;&gt;"N/A",Priority!$C28,"")</f>
        <v>#REF!</v>
      </c>
      <c r="AC28" s="29" t="e">
        <f>IF(#REF!&lt;&gt;"N/A",Priority!$C28,"")</f>
        <v>#REF!</v>
      </c>
      <c r="AD28" s="29" t="e">
        <f>IF(#REF!&lt;&gt;"N/A",Priority!$C28,"")</f>
        <v>#REF!</v>
      </c>
      <c r="AE28" s="29" t="e">
        <f>IF(#REF!&lt;&gt;"N/A",Priority!$C28,"")</f>
        <v>#REF!</v>
      </c>
      <c r="AF28" s="29" t="e">
        <f>IF(#REF!&lt;&gt;"N/A",Priority!$C28,"")</f>
        <v>#REF!</v>
      </c>
      <c r="AG28" s="29" t="e">
        <f>IF(#REF!&lt;&gt;"N/A",Priority!$C28,"")</f>
        <v>#REF!</v>
      </c>
      <c r="AH28" s="29" t="e">
        <f>IF(#REF!&lt;&gt;"N/A",Priority!$C28,"")</f>
        <v>#REF!</v>
      </c>
      <c r="AI28" s="29" t="e">
        <f>IF(#REF!&lt;&gt;"N/A",Priority!$C28,"")</f>
        <v>#REF!</v>
      </c>
      <c r="AJ28" s="31"/>
      <c r="AK28" s="29" t="e">
        <f>IF(#REF!&lt;&gt;"N/A",Priority!$C28,"")</f>
        <v>#REF!</v>
      </c>
      <c r="AL28" s="29" t="e">
        <f>IF(#REF!&lt;&gt;"N/A",Priority!$C28,"")</f>
        <v>#REF!</v>
      </c>
      <c r="AM28" s="29" t="e">
        <f>IF(#REF!&lt;&gt;"N/A",Priority!$C28,"")</f>
        <v>#REF!</v>
      </c>
      <c r="AN28" s="29" t="e">
        <f>IF(#REF!&lt;&gt;"N/A",Priority!$C28,"")</f>
        <v>#REF!</v>
      </c>
      <c r="AO28" s="29" t="e">
        <f>IF(#REF!&lt;&gt;"N/A",Priority!$C28,"")</f>
        <v>#REF!</v>
      </c>
      <c r="AP28" s="29" t="e">
        <f>IF(#REF!&lt;&gt;"N/A",Priority!$C28,"")</f>
        <v>#REF!</v>
      </c>
      <c r="AQ28" s="29" t="e">
        <f>IF(#REF!&lt;&gt;"N/A",Priority!$C28,"")</f>
        <v>#REF!</v>
      </c>
      <c r="AR28" s="29" t="e">
        <f>IF(#REF!&lt;&gt;"N/A",Priority!$C28,"")</f>
        <v>#REF!</v>
      </c>
      <c r="AS28" s="29" t="e">
        <f>IF(#REF!&lt;&gt;"N/A",Priority!$C28,"")</f>
        <v>#REF!</v>
      </c>
      <c r="AT28" s="29" t="e">
        <f>IF(#REF!&lt;&gt;"N/A",Priority!$C28,"")</f>
        <v>#REF!</v>
      </c>
      <c r="AU28" s="31"/>
      <c r="AV28" s="29" t="e">
        <f>IF(#REF!&lt;&gt;"N/A",Priority!$C28,"")</f>
        <v>#REF!</v>
      </c>
      <c r="AW28" s="29" t="e">
        <f>IF(#REF!&lt;&gt;"N/A",Priority!$C28,"")</f>
        <v>#REF!</v>
      </c>
      <c r="AX28" s="29" t="e">
        <f>IF(#REF!&lt;&gt;"N/A",Priority!$C28,"")</f>
        <v>#REF!</v>
      </c>
      <c r="AY28" s="29" t="e">
        <f>IF(#REF!&lt;&gt;"N/A",Priority!$C28,"")</f>
        <v>#REF!</v>
      </c>
      <c r="AZ28" s="29" t="e">
        <f>IF(#REF!&lt;&gt;"N/A",Priority!$C28,"")</f>
        <v>#REF!</v>
      </c>
      <c r="BA28" s="29" t="e">
        <f>IF(#REF!&lt;&gt;"N/A",Priority!$C28,"")</f>
        <v>#REF!</v>
      </c>
      <c r="BB28" s="29" t="e">
        <f>IF(#REF!&lt;&gt;"N/A",Priority!$C28,"")</f>
        <v>#REF!</v>
      </c>
      <c r="BC28" s="31"/>
      <c r="BD28" s="29" t="e">
        <f>IF(#REF!&lt;&gt;"N/A",Priority!$C28,"")</f>
        <v>#REF!</v>
      </c>
      <c r="BE28" s="29" t="e">
        <f>IF(#REF!&lt;&gt;"N/A",Priority!$C28,"")</f>
        <v>#REF!</v>
      </c>
      <c r="BF28" s="29" t="e">
        <f>IF(#REF!&lt;&gt;"N/A",Priority!$C28,"")</f>
        <v>#REF!</v>
      </c>
      <c r="BG28" s="29" t="e">
        <f>IF(#REF!&lt;&gt;"N/A",Priority!$C28,"")</f>
        <v>#REF!</v>
      </c>
      <c r="BH28" s="29" t="e">
        <f>IF(#REF!&lt;&gt;"N/A",Priority!$C28,"")</f>
        <v>#REF!</v>
      </c>
      <c r="BI28" s="29" t="e">
        <f>IF(#REF!&lt;&gt;"N/A",Priority!$C28,"")</f>
        <v>#REF!</v>
      </c>
      <c r="BJ28" s="29" t="e">
        <f>IF(#REF!&lt;&gt;"N/A",Priority!$C28,"")</f>
        <v>#REF!</v>
      </c>
      <c r="BK28" s="29" t="e">
        <f>IF(#REF!&lt;&gt;"N/A",Priority!$C28,"")</f>
        <v>#REF!</v>
      </c>
      <c r="BL28" s="29" t="e">
        <f>IF(#REF!&lt;&gt;"N/A",Priority!$C28,"")</f>
        <v>#REF!</v>
      </c>
      <c r="BM28" s="31"/>
      <c r="BN28" s="29" t="e">
        <f>IF(#REF!&lt;&gt;"N/A",Priority!$C28,"")</f>
        <v>#REF!</v>
      </c>
      <c r="BO28" s="29" t="e">
        <f>IF(#REF!&lt;&gt;"N/A",Priority!$C28,"")</f>
        <v>#REF!</v>
      </c>
      <c r="BP28" s="29" t="e">
        <f>IF(#REF!&lt;&gt;"N/A",Priority!$C28,"")</f>
        <v>#REF!</v>
      </c>
      <c r="BQ28" s="29" t="e">
        <f>IF(#REF!&lt;&gt;"N/A",Priority!$C28,"")</f>
        <v>#REF!</v>
      </c>
      <c r="BR28" s="29" t="e">
        <f>IF(#REF!&lt;&gt;"N/A",Priority!$C28,"")</f>
        <v>#REF!</v>
      </c>
      <c r="BS28" s="29" t="e">
        <f>IF(#REF!&lt;&gt;"N/A",Priority!$C28,"")</f>
        <v>#REF!</v>
      </c>
      <c r="BT28" s="29" t="e">
        <f>IF(#REF!&lt;&gt;"N/A",Priority!$C28,"")</f>
        <v>#REF!</v>
      </c>
      <c r="BU28" s="31"/>
      <c r="BV28" s="29" t="e">
        <f>IF(#REF!&lt;&gt;"N/A",Priority!$C28,"")</f>
        <v>#REF!</v>
      </c>
      <c r="BW28" s="29" t="e">
        <f>IF(#REF!&lt;&gt;"N/A",Priority!$C28,"")</f>
        <v>#REF!</v>
      </c>
      <c r="BX28" s="29" t="e">
        <f>IF(#REF!&lt;&gt;"N/A",Priority!$C28,"")</f>
        <v>#REF!</v>
      </c>
      <c r="BY28" s="29" t="e">
        <f>IF(#REF!&lt;&gt;"N/A",Priority!$C28,"")</f>
        <v>#REF!</v>
      </c>
      <c r="BZ28" s="29" t="e">
        <f>IF(#REF!&lt;&gt;"N/A",Priority!$C28,"")</f>
        <v>#REF!</v>
      </c>
      <c r="CA28" s="29" t="e">
        <f>IF(#REF!&lt;&gt;"N/A",Priority!$C28,"")</f>
        <v>#REF!</v>
      </c>
      <c r="CB28" s="31"/>
      <c r="CC28" s="29" t="e">
        <f>IF(#REF!&lt;&gt;"N/A",Priority!$C28,"")</f>
        <v>#REF!</v>
      </c>
      <c r="CD28" s="29" t="e">
        <f>IF(#REF!&lt;&gt;"N/A",Priority!$C28,"")</f>
        <v>#REF!</v>
      </c>
      <c r="CE28" s="29" t="e">
        <f>IF(#REF!&lt;&gt;"N/A",Priority!$C28,"")</f>
        <v>#REF!</v>
      </c>
      <c r="CF28" s="29" t="e">
        <f>IF(#REF!&lt;&gt;"N/A",Priority!$C28,"")</f>
        <v>#REF!</v>
      </c>
    </row>
    <row r="29" spans="1:84" ht="30">
      <c r="A29" s="15" t="e">
        <f>#REF!</f>
        <v>#REF!</v>
      </c>
      <c r="B29" s="15" t="e">
        <f>#REF!</f>
        <v>#REF!</v>
      </c>
      <c r="C29" s="15" t="e">
        <f>#REF!</f>
        <v>#REF!</v>
      </c>
      <c r="D29" s="20" t="s">
        <v>174</v>
      </c>
      <c r="E29" s="30" t="str">
        <f t="shared" si="9"/>
        <v>Pending</v>
      </c>
      <c r="F29" s="30" t="str">
        <f t="shared" si="10"/>
        <v>Pass:  0     /Accept:  0/     Fail:  0/     NT:  0</v>
      </c>
      <c r="G29" s="29" t="e">
        <f>IF(#REF!&lt;&gt;"N/A",Priority!$C29,"")</f>
        <v>#REF!</v>
      </c>
      <c r="H29" s="29" t="e">
        <f>IF(#REF!&lt;&gt;"N/A",Priority!$C29,"")</f>
        <v>#REF!</v>
      </c>
      <c r="I29" s="29" t="e">
        <f>IF(#REF!&lt;&gt;"N/A",Priority!$C29,"")</f>
        <v>#REF!</v>
      </c>
      <c r="J29" s="29" t="e">
        <f>IF(#REF!&lt;&gt;"N/A",Priority!$C29,"")</f>
        <v>#REF!</v>
      </c>
      <c r="K29" s="29" t="e">
        <f>IF(#REF!&lt;&gt;"N/A",Priority!$C29,"")</f>
        <v>#REF!</v>
      </c>
      <c r="L29" s="31"/>
      <c r="M29" s="29" t="e">
        <f>IF(#REF!&lt;&gt;"N/A",Priority!$C29,"")</f>
        <v>#REF!</v>
      </c>
      <c r="N29" s="29" t="e">
        <f>IF(#REF!&lt;&gt;"N/A",Priority!$C29,"")</f>
        <v>#REF!</v>
      </c>
      <c r="O29" s="29" t="e">
        <f>IF(#REF!&lt;&gt;"N/A",Priority!$C29,"")</f>
        <v>#REF!</v>
      </c>
      <c r="P29" s="29" t="e">
        <f>IF(#REF!&lt;&gt;"N/A",Priority!$C29,"")</f>
        <v>#REF!</v>
      </c>
      <c r="Q29" s="29" t="e">
        <f>IF(#REF!&lt;&gt;"N/A",Priority!$C29,"")</f>
        <v>#REF!</v>
      </c>
      <c r="R29" s="31"/>
      <c r="S29" s="29" t="e">
        <f>IF(#REF!&lt;&gt;"N/A",Priority!$C29,"")</f>
        <v>#REF!</v>
      </c>
      <c r="T29" s="29" t="e">
        <f>IF(#REF!&lt;&gt;"N/A",Priority!$C29,"")</f>
        <v>#REF!</v>
      </c>
      <c r="U29" s="29" t="e">
        <f>IF(#REF!&lt;&gt;"N/A",Priority!$C29,"")</f>
        <v>#REF!</v>
      </c>
      <c r="V29" s="29" t="e">
        <f>IF(#REF!&lt;&gt;"N/A",Priority!$C29,"")</f>
        <v>#REF!</v>
      </c>
      <c r="W29" s="29" t="e">
        <f>IF(#REF!&lt;&gt;"N/A",Priority!$C29,"")</f>
        <v>#REF!</v>
      </c>
      <c r="X29" s="29" t="e">
        <f>IF(#REF!&lt;&gt;"N/A",Priority!$C29,"")</f>
        <v>#REF!</v>
      </c>
      <c r="Y29" s="31"/>
      <c r="Z29" s="29" t="e">
        <f>IF(#REF!&lt;&gt;"N/A",Priority!$C29,"")</f>
        <v>#REF!</v>
      </c>
      <c r="AA29" s="29" t="e">
        <f>IF(#REF!&lt;&gt;"N/A",Priority!$C29,"")</f>
        <v>#REF!</v>
      </c>
      <c r="AB29" s="29" t="e">
        <f>IF(#REF!&lt;&gt;"N/A",Priority!$C29,"")</f>
        <v>#REF!</v>
      </c>
      <c r="AC29" s="29" t="e">
        <f>IF(#REF!&lt;&gt;"N/A",Priority!$C29,"")</f>
        <v>#REF!</v>
      </c>
      <c r="AD29" s="29" t="e">
        <f>IF(#REF!&lt;&gt;"N/A",Priority!$C29,"")</f>
        <v>#REF!</v>
      </c>
      <c r="AE29" s="29" t="e">
        <f>IF(#REF!&lt;&gt;"N/A",Priority!$C29,"")</f>
        <v>#REF!</v>
      </c>
      <c r="AF29" s="29" t="e">
        <f>IF(#REF!&lt;&gt;"N/A",Priority!$C29,"")</f>
        <v>#REF!</v>
      </c>
      <c r="AG29" s="29" t="e">
        <f>IF(#REF!&lt;&gt;"N/A",Priority!$C29,"")</f>
        <v>#REF!</v>
      </c>
      <c r="AH29" s="29" t="e">
        <f>IF(#REF!&lt;&gt;"N/A",Priority!$C29,"")</f>
        <v>#REF!</v>
      </c>
      <c r="AI29" s="29" t="e">
        <f>IF(#REF!&lt;&gt;"N/A",Priority!$C29,"")</f>
        <v>#REF!</v>
      </c>
      <c r="AJ29" s="31"/>
      <c r="AK29" s="29" t="e">
        <f>IF(#REF!&lt;&gt;"N/A",Priority!$C29,"")</f>
        <v>#REF!</v>
      </c>
      <c r="AL29" s="29" t="e">
        <f>IF(#REF!&lt;&gt;"N/A",Priority!$C29,"")</f>
        <v>#REF!</v>
      </c>
      <c r="AM29" s="29" t="e">
        <f>IF(#REF!&lt;&gt;"N/A",Priority!$C29,"")</f>
        <v>#REF!</v>
      </c>
      <c r="AN29" s="29" t="e">
        <f>IF(#REF!&lt;&gt;"N/A",Priority!$C29,"")</f>
        <v>#REF!</v>
      </c>
      <c r="AO29" s="29" t="e">
        <f>IF(#REF!&lt;&gt;"N/A",Priority!$C29,"")</f>
        <v>#REF!</v>
      </c>
      <c r="AP29" s="29" t="e">
        <f>IF(#REF!&lt;&gt;"N/A",Priority!$C29,"")</f>
        <v>#REF!</v>
      </c>
      <c r="AQ29" s="29" t="e">
        <f>IF(#REF!&lt;&gt;"N/A",Priority!$C29,"")</f>
        <v>#REF!</v>
      </c>
      <c r="AR29" s="29" t="e">
        <f>IF(#REF!&lt;&gt;"N/A",Priority!$C29,"")</f>
        <v>#REF!</v>
      </c>
      <c r="AS29" s="29" t="e">
        <f>IF(#REF!&lt;&gt;"N/A",Priority!$C29,"")</f>
        <v>#REF!</v>
      </c>
      <c r="AT29" s="29" t="e">
        <f>IF(#REF!&lt;&gt;"N/A",Priority!$C29,"")</f>
        <v>#REF!</v>
      </c>
      <c r="AU29" s="31"/>
      <c r="AV29" s="29" t="e">
        <f>IF(#REF!&lt;&gt;"N/A",Priority!$C29,"")</f>
        <v>#REF!</v>
      </c>
      <c r="AW29" s="29" t="e">
        <f>IF(#REF!&lt;&gt;"N/A",Priority!$C29,"")</f>
        <v>#REF!</v>
      </c>
      <c r="AX29" s="29" t="e">
        <f>IF(#REF!&lt;&gt;"N/A",Priority!$C29,"")</f>
        <v>#REF!</v>
      </c>
      <c r="AY29" s="29" t="e">
        <f>IF(#REF!&lt;&gt;"N/A",Priority!$C29,"")</f>
        <v>#REF!</v>
      </c>
      <c r="AZ29" s="29" t="e">
        <f>IF(#REF!&lt;&gt;"N/A",Priority!$C29,"")</f>
        <v>#REF!</v>
      </c>
      <c r="BA29" s="29" t="e">
        <f>IF(#REF!&lt;&gt;"N/A",Priority!$C29,"")</f>
        <v>#REF!</v>
      </c>
      <c r="BB29" s="29" t="e">
        <f>IF(#REF!&lt;&gt;"N/A",Priority!$C29,"")</f>
        <v>#REF!</v>
      </c>
      <c r="BC29" s="31"/>
      <c r="BD29" s="29" t="e">
        <f>IF(#REF!&lt;&gt;"N/A",Priority!$C29,"")</f>
        <v>#REF!</v>
      </c>
      <c r="BE29" s="29" t="e">
        <f>IF(#REF!&lt;&gt;"N/A",Priority!$C29,"")</f>
        <v>#REF!</v>
      </c>
      <c r="BF29" s="29" t="e">
        <f>IF(#REF!&lt;&gt;"N/A",Priority!$C29,"")</f>
        <v>#REF!</v>
      </c>
      <c r="BG29" s="29" t="e">
        <f>IF(#REF!&lt;&gt;"N/A",Priority!$C29,"")</f>
        <v>#REF!</v>
      </c>
      <c r="BH29" s="29" t="e">
        <f>IF(#REF!&lt;&gt;"N/A",Priority!$C29,"")</f>
        <v>#REF!</v>
      </c>
      <c r="BI29" s="29" t="e">
        <f>IF(#REF!&lt;&gt;"N/A",Priority!$C29,"")</f>
        <v>#REF!</v>
      </c>
      <c r="BJ29" s="29" t="e">
        <f>IF(#REF!&lt;&gt;"N/A",Priority!$C29,"")</f>
        <v>#REF!</v>
      </c>
      <c r="BK29" s="29" t="e">
        <f>IF(#REF!&lt;&gt;"N/A",Priority!$C29,"")</f>
        <v>#REF!</v>
      </c>
      <c r="BL29" s="29" t="e">
        <f>IF(#REF!&lt;&gt;"N/A",Priority!$C29,"")</f>
        <v>#REF!</v>
      </c>
      <c r="BM29" s="31"/>
      <c r="BN29" s="29" t="e">
        <f>IF(#REF!&lt;&gt;"N/A",Priority!$C29,"")</f>
        <v>#REF!</v>
      </c>
      <c r="BO29" s="29" t="e">
        <f>IF(#REF!&lt;&gt;"N/A",Priority!$C29,"")</f>
        <v>#REF!</v>
      </c>
      <c r="BP29" s="29" t="e">
        <f>IF(#REF!&lt;&gt;"N/A",Priority!$C29,"")</f>
        <v>#REF!</v>
      </c>
      <c r="BQ29" s="29" t="e">
        <f>IF(#REF!&lt;&gt;"N/A",Priority!$C29,"")</f>
        <v>#REF!</v>
      </c>
      <c r="BR29" s="29" t="e">
        <f>IF(#REF!&lt;&gt;"N/A",Priority!$C29,"")</f>
        <v>#REF!</v>
      </c>
      <c r="BS29" s="29" t="e">
        <f>IF(#REF!&lt;&gt;"N/A",Priority!$C29,"")</f>
        <v>#REF!</v>
      </c>
      <c r="BT29" s="29" t="e">
        <f>IF(#REF!&lt;&gt;"N/A",Priority!$C29,"")</f>
        <v>#REF!</v>
      </c>
      <c r="BU29" s="31"/>
      <c r="BV29" s="29" t="e">
        <f>IF(#REF!&lt;&gt;"N/A",Priority!$C29,"")</f>
        <v>#REF!</v>
      </c>
      <c r="BW29" s="29" t="e">
        <f>IF(#REF!&lt;&gt;"N/A",Priority!$C29,"")</f>
        <v>#REF!</v>
      </c>
      <c r="BX29" s="29" t="e">
        <f>IF(#REF!&lt;&gt;"N/A",Priority!$C29,"")</f>
        <v>#REF!</v>
      </c>
      <c r="BY29" s="29" t="e">
        <f>IF(#REF!&lt;&gt;"N/A",Priority!$C29,"")</f>
        <v>#REF!</v>
      </c>
      <c r="BZ29" s="29" t="e">
        <f>IF(#REF!&lt;&gt;"N/A",Priority!$C29,"")</f>
        <v>#REF!</v>
      </c>
      <c r="CA29" s="29" t="e">
        <f>IF(#REF!&lt;&gt;"N/A",Priority!$C29,"")</f>
        <v>#REF!</v>
      </c>
      <c r="CB29" s="31"/>
      <c r="CC29" s="29" t="e">
        <f>IF(#REF!&lt;&gt;"N/A",Priority!$C29,"")</f>
        <v>#REF!</v>
      </c>
      <c r="CD29" s="29" t="e">
        <f>IF(#REF!&lt;&gt;"N/A",Priority!$C29,"")</f>
        <v>#REF!</v>
      </c>
      <c r="CE29" s="29" t="e">
        <f>IF(#REF!&lt;&gt;"N/A",Priority!$C29,"")</f>
        <v>#REF!</v>
      </c>
      <c r="CF29" s="29" t="e">
        <f>IF(#REF!&lt;&gt;"N/A",Priority!$C29,"")</f>
        <v>#REF!</v>
      </c>
    </row>
    <row r="30" spans="1:84" ht="30">
      <c r="A30" s="15" t="e">
        <f>#REF!</f>
        <v>#REF!</v>
      </c>
      <c r="B30" s="15" t="e">
        <f>#REF!</f>
        <v>#REF!</v>
      </c>
      <c r="C30" s="15" t="e">
        <f>#REF!</f>
        <v>#REF!</v>
      </c>
      <c r="D30" s="28" t="s">
        <v>187</v>
      </c>
      <c r="E30" s="30" t="str">
        <f t="shared" si="9"/>
        <v>Pending</v>
      </c>
      <c r="F30" s="30" t="str">
        <f t="shared" si="10"/>
        <v>Pass:  0     /Accept:  0/     Fail:  0/     NT:  0</v>
      </c>
      <c r="G30" s="29" t="e">
        <f>IF(#REF!&lt;&gt;"N/A",Priority!$C30,"")</f>
        <v>#REF!</v>
      </c>
      <c r="H30" s="29" t="e">
        <f>IF(#REF!&lt;&gt;"N/A",Priority!$C30,"")</f>
        <v>#REF!</v>
      </c>
      <c r="I30" s="29" t="e">
        <f>IF(#REF!&lt;&gt;"N/A",Priority!$C30,"")</f>
        <v>#REF!</v>
      </c>
      <c r="J30" s="29" t="e">
        <f>IF(#REF!&lt;&gt;"N/A",Priority!$C30,"")</f>
        <v>#REF!</v>
      </c>
      <c r="K30" s="29" t="e">
        <f>IF(#REF!&lt;&gt;"N/A",Priority!$C30,"")</f>
        <v>#REF!</v>
      </c>
      <c r="L30" s="31"/>
      <c r="M30" s="29" t="e">
        <f>IF(#REF!&lt;&gt;"N/A",Priority!$C30,"")</f>
        <v>#REF!</v>
      </c>
      <c r="N30" s="29" t="e">
        <f>IF(#REF!&lt;&gt;"N/A",Priority!$C30,"")</f>
        <v>#REF!</v>
      </c>
      <c r="O30" s="29" t="e">
        <f>IF(#REF!&lt;&gt;"N/A",Priority!$C30,"")</f>
        <v>#REF!</v>
      </c>
      <c r="P30" s="29" t="e">
        <f>IF(#REF!&lt;&gt;"N/A",Priority!$C30,"")</f>
        <v>#REF!</v>
      </c>
      <c r="Q30" s="29" t="e">
        <f>IF(#REF!&lt;&gt;"N/A",Priority!$C30,"")</f>
        <v>#REF!</v>
      </c>
      <c r="R30" s="31"/>
      <c r="S30" s="29" t="e">
        <f>IF(#REF!&lt;&gt;"N/A",Priority!$C30,"")</f>
        <v>#REF!</v>
      </c>
      <c r="T30" s="29" t="e">
        <f>IF(#REF!&lt;&gt;"N/A",Priority!$C30,"")</f>
        <v>#REF!</v>
      </c>
      <c r="U30" s="29" t="e">
        <f>IF(#REF!&lt;&gt;"N/A",Priority!$C30,"")</f>
        <v>#REF!</v>
      </c>
      <c r="V30" s="29" t="e">
        <f>IF(#REF!&lt;&gt;"N/A",Priority!$C30,"")</f>
        <v>#REF!</v>
      </c>
      <c r="W30" s="29" t="e">
        <f>IF(#REF!&lt;&gt;"N/A",Priority!$C30,"")</f>
        <v>#REF!</v>
      </c>
      <c r="X30" s="29" t="e">
        <f>IF(#REF!&lt;&gt;"N/A",Priority!$C30,"")</f>
        <v>#REF!</v>
      </c>
      <c r="Y30" s="31"/>
      <c r="Z30" s="29" t="e">
        <f>IF(#REF!&lt;&gt;"N/A",Priority!$C30,"")</f>
        <v>#REF!</v>
      </c>
      <c r="AA30" s="29" t="e">
        <f>IF(#REF!&lt;&gt;"N/A",Priority!$C30,"")</f>
        <v>#REF!</v>
      </c>
      <c r="AB30" s="29" t="e">
        <f>IF(#REF!&lt;&gt;"N/A",Priority!$C30,"")</f>
        <v>#REF!</v>
      </c>
      <c r="AC30" s="29" t="e">
        <f>IF(#REF!&lt;&gt;"N/A",Priority!$C30,"")</f>
        <v>#REF!</v>
      </c>
      <c r="AD30" s="29" t="e">
        <f>IF(#REF!&lt;&gt;"N/A",Priority!$C30,"")</f>
        <v>#REF!</v>
      </c>
      <c r="AE30" s="29" t="e">
        <f>IF(#REF!&lt;&gt;"N/A",Priority!$C30,"")</f>
        <v>#REF!</v>
      </c>
      <c r="AF30" s="29" t="e">
        <f>IF(#REF!&lt;&gt;"N/A",Priority!$C30,"")</f>
        <v>#REF!</v>
      </c>
      <c r="AG30" s="29" t="e">
        <f>IF(#REF!&lt;&gt;"N/A",Priority!$C30,"")</f>
        <v>#REF!</v>
      </c>
      <c r="AH30" s="29" t="e">
        <f>IF(#REF!&lt;&gt;"N/A",Priority!$C30,"")</f>
        <v>#REF!</v>
      </c>
      <c r="AI30" s="29" t="e">
        <f>IF(#REF!&lt;&gt;"N/A",Priority!$C30,"")</f>
        <v>#REF!</v>
      </c>
      <c r="AJ30" s="31"/>
      <c r="AK30" s="29" t="e">
        <f>IF(#REF!&lt;&gt;"N/A",Priority!$C30,"")</f>
        <v>#REF!</v>
      </c>
      <c r="AL30" s="29" t="e">
        <f>IF(#REF!&lt;&gt;"N/A",Priority!$C30,"")</f>
        <v>#REF!</v>
      </c>
      <c r="AM30" s="29" t="e">
        <f>IF(#REF!&lt;&gt;"N/A",Priority!$C30,"")</f>
        <v>#REF!</v>
      </c>
      <c r="AN30" s="29" t="e">
        <f>IF(#REF!&lt;&gt;"N/A",Priority!$C30,"")</f>
        <v>#REF!</v>
      </c>
      <c r="AO30" s="29" t="e">
        <f>IF(#REF!&lt;&gt;"N/A",Priority!$C30,"")</f>
        <v>#REF!</v>
      </c>
      <c r="AP30" s="29" t="e">
        <f>IF(#REF!&lt;&gt;"N/A",Priority!$C30,"")</f>
        <v>#REF!</v>
      </c>
      <c r="AQ30" s="29" t="e">
        <f>IF(#REF!&lt;&gt;"N/A",Priority!$C30,"")</f>
        <v>#REF!</v>
      </c>
      <c r="AR30" s="29" t="e">
        <f>IF(#REF!&lt;&gt;"N/A",Priority!$C30,"")</f>
        <v>#REF!</v>
      </c>
      <c r="AS30" s="29" t="e">
        <f>IF(#REF!&lt;&gt;"N/A",Priority!$C30,"")</f>
        <v>#REF!</v>
      </c>
      <c r="AT30" s="29" t="e">
        <f>IF(#REF!&lt;&gt;"N/A",Priority!$C30,"")</f>
        <v>#REF!</v>
      </c>
      <c r="AU30" s="31"/>
      <c r="AV30" s="29" t="e">
        <f>IF(#REF!&lt;&gt;"N/A",Priority!$C30,"")</f>
        <v>#REF!</v>
      </c>
      <c r="AW30" s="29" t="e">
        <f>IF(#REF!&lt;&gt;"N/A",Priority!$C30,"")</f>
        <v>#REF!</v>
      </c>
      <c r="AX30" s="29" t="e">
        <f>IF(#REF!&lt;&gt;"N/A",Priority!$C30,"")</f>
        <v>#REF!</v>
      </c>
      <c r="AY30" s="29" t="e">
        <f>IF(#REF!&lt;&gt;"N/A",Priority!$C30,"")</f>
        <v>#REF!</v>
      </c>
      <c r="AZ30" s="29" t="e">
        <f>IF(#REF!&lt;&gt;"N/A",Priority!$C30,"")</f>
        <v>#REF!</v>
      </c>
      <c r="BA30" s="29" t="e">
        <f>IF(#REF!&lt;&gt;"N/A",Priority!$C30,"")</f>
        <v>#REF!</v>
      </c>
      <c r="BB30" s="29" t="e">
        <f>IF(#REF!&lt;&gt;"N/A",Priority!$C30,"")</f>
        <v>#REF!</v>
      </c>
      <c r="BC30" s="31"/>
      <c r="BD30" s="29" t="e">
        <f>IF(#REF!&lt;&gt;"N/A",Priority!$C30,"")</f>
        <v>#REF!</v>
      </c>
      <c r="BE30" s="29" t="e">
        <f>IF(#REF!&lt;&gt;"N/A",Priority!$C30,"")</f>
        <v>#REF!</v>
      </c>
      <c r="BF30" s="29" t="e">
        <f>IF(#REF!&lt;&gt;"N/A",Priority!$C30,"")</f>
        <v>#REF!</v>
      </c>
      <c r="BG30" s="29" t="e">
        <f>IF(#REF!&lt;&gt;"N/A",Priority!$C30,"")</f>
        <v>#REF!</v>
      </c>
      <c r="BH30" s="29" t="e">
        <f>IF(#REF!&lt;&gt;"N/A",Priority!$C30,"")</f>
        <v>#REF!</v>
      </c>
      <c r="BI30" s="29" t="e">
        <f>IF(#REF!&lt;&gt;"N/A",Priority!$C30,"")</f>
        <v>#REF!</v>
      </c>
      <c r="BJ30" s="29" t="e">
        <f>IF(#REF!&lt;&gt;"N/A",Priority!$C30,"")</f>
        <v>#REF!</v>
      </c>
      <c r="BK30" s="29" t="e">
        <f>IF(#REF!&lt;&gt;"N/A",Priority!$C30,"")</f>
        <v>#REF!</v>
      </c>
      <c r="BL30" s="29" t="e">
        <f>IF(#REF!&lt;&gt;"N/A",Priority!$C30,"")</f>
        <v>#REF!</v>
      </c>
      <c r="BM30" s="31"/>
      <c r="BN30" s="29" t="e">
        <f>IF(#REF!&lt;&gt;"N/A",Priority!$C30,"")</f>
        <v>#REF!</v>
      </c>
      <c r="BO30" s="29" t="e">
        <f>IF(#REF!&lt;&gt;"N/A",Priority!$C30,"")</f>
        <v>#REF!</v>
      </c>
      <c r="BP30" s="29" t="e">
        <f>IF(#REF!&lt;&gt;"N/A",Priority!$C30,"")</f>
        <v>#REF!</v>
      </c>
      <c r="BQ30" s="29" t="e">
        <f>IF(#REF!&lt;&gt;"N/A",Priority!$C30,"")</f>
        <v>#REF!</v>
      </c>
      <c r="BR30" s="29" t="e">
        <f>IF(#REF!&lt;&gt;"N/A",Priority!$C30,"")</f>
        <v>#REF!</v>
      </c>
      <c r="BS30" s="29" t="e">
        <f>IF(#REF!&lt;&gt;"N/A",Priority!$C30,"")</f>
        <v>#REF!</v>
      </c>
      <c r="BT30" s="29" t="e">
        <f>IF(#REF!&lt;&gt;"N/A",Priority!$C30,"")</f>
        <v>#REF!</v>
      </c>
      <c r="BU30" s="31"/>
      <c r="BV30" s="29" t="e">
        <f>IF(#REF!&lt;&gt;"N/A",Priority!$C30,"")</f>
        <v>#REF!</v>
      </c>
      <c r="BW30" s="29" t="e">
        <f>IF(#REF!&lt;&gt;"N/A",Priority!$C30,"")</f>
        <v>#REF!</v>
      </c>
      <c r="BX30" s="29" t="e">
        <f>IF(#REF!&lt;&gt;"N/A",Priority!$C30,"")</f>
        <v>#REF!</v>
      </c>
      <c r="BY30" s="29" t="e">
        <f>IF(#REF!&lt;&gt;"N/A",Priority!$C30,"")</f>
        <v>#REF!</v>
      </c>
      <c r="BZ30" s="29" t="e">
        <f>IF(#REF!&lt;&gt;"N/A",Priority!$C30,"")</f>
        <v>#REF!</v>
      </c>
      <c r="CA30" s="29" t="e">
        <f>IF(#REF!&lt;&gt;"N/A",Priority!$C30,"")</f>
        <v>#REF!</v>
      </c>
      <c r="CB30" s="31"/>
      <c r="CC30" s="29" t="e">
        <f>IF(#REF!&lt;&gt;"N/A",Priority!$C30,"")</f>
        <v>#REF!</v>
      </c>
      <c r="CD30" s="29" t="e">
        <f>IF(#REF!&lt;&gt;"N/A",Priority!$C30,"")</f>
        <v>#REF!</v>
      </c>
      <c r="CE30" s="29" t="e">
        <f>IF(#REF!&lt;&gt;"N/A",Priority!$C30,"")</f>
        <v>#REF!</v>
      </c>
      <c r="CF30" s="29" t="e">
        <f>IF(#REF!&lt;&gt;"N/A",Priority!$C30,"")</f>
        <v>#REF!</v>
      </c>
    </row>
    <row r="31" spans="1:84" ht="30">
      <c r="A31" s="15" t="e">
        <f>#REF!</f>
        <v>#REF!</v>
      </c>
      <c r="B31" s="15" t="e">
        <f>#REF!</f>
        <v>#REF!</v>
      </c>
      <c r="C31" s="15" t="e">
        <f>#REF!</f>
        <v>#REF!</v>
      </c>
      <c r="D31" s="20" t="s">
        <v>173</v>
      </c>
      <c r="E31" s="30" t="str">
        <f t="shared" si="9"/>
        <v>Pending</v>
      </c>
      <c r="F31" s="30" t="str">
        <f t="shared" si="10"/>
        <v>Pass:  0     /Accept:  0/     Fail:  0/     NT:  0</v>
      </c>
      <c r="G31" s="29" t="e">
        <f>IF(#REF!&lt;&gt;"N/A",Priority!$C31,"")</f>
        <v>#REF!</v>
      </c>
      <c r="H31" s="29" t="e">
        <f>IF(#REF!&lt;&gt;"N/A",Priority!$C31,"")</f>
        <v>#REF!</v>
      </c>
      <c r="I31" s="29" t="e">
        <f>IF(#REF!&lt;&gt;"N/A",Priority!$C31,"")</f>
        <v>#REF!</v>
      </c>
      <c r="J31" s="29" t="e">
        <f>IF(#REF!&lt;&gt;"N/A",Priority!$C31,"")</f>
        <v>#REF!</v>
      </c>
      <c r="K31" s="29" t="e">
        <f>IF(#REF!&lt;&gt;"N/A",Priority!$C31,"")</f>
        <v>#REF!</v>
      </c>
      <c r="L31" s="31"/>
      <c r="M31" s="29" t="e">
        <f>IF(#REF!&lt;&gt;"N/A",Priority!$C31,"")</f>
        <v>#REF!</v>
      </c>
      <c r="N31" s="29" t="e">
        <f>IF(#REF!&lt;&gt;"N/A",Priority!$C31,"")</f>
        <v>#REF!</v>
      </c>
      <c r="O31" s="29" t="e">
        <f>IF(#REF!&lt;&gt;"N/A",Priority!$C31,"")</f>
        <v>#REF!</v>
      </c>
      <c r="P31" s="29" t="e">
        <f>IF(#REF!&lt;&gt;"N/A",Priority!$C31,"")</f>
        <v>#REF!</v>
      </c>
      <c r="Q31" s="29" t="e">
        <f>IF(#REF!&lt;&gt;"N/A",Priority!$C31,"")</f>
        <v>#REF!</v>
      </c>
      <c r="R31" s="31"/>
      <c r="S31" s="29" t="e">
        <f>IF(#REF!&lt;&gt;"N/A",Priority!$C31,"")</f>
        <v>#REF!</v>
      </c>
      <c r="T31" s="29" t="e">
        <f>IF(#REF!&lt;&gt;"N/A",Priority!$C31,"")</f>
        <v>#REF!</v>
      </c>
      <c r="U31" s="29" t="e">
        <f>IF(#REF!&lt;&gt;"N/A",Priority!$C31,"")</f>
        <v>#REF!</v>
      </c>
      <c r="V31" s="29" t="e">
        <f>IF(#REF!&lt;&gt;"N/A",Priority!$C31,"")</f>
        <v>#REF!</v>
      </c>
      <c r="W31" s="29" t="e">
        <f>IF(#REF!&lt;&gt;"N/A",Priority!$C31,"")</f>
        <v>#REF!</v>
      </c>
      <c r="X31" s="29" t="e">
        <f>IF(#REF!&lt;&gt;"N/A",Priority!$C31,"")</f>
        <v>#REF!</v>
      </c>
      <c r="Y31" s="31"/>
      <c r="Z31" s="29" t="e">
        <f>IF(#REF!&lt;&gt;"N/A",Priority!$C31,"")</f>
        <v>#REF!</v>
      </c>
      <c r="AA31" s="29" t="e">
        <f>IF(#REF!&lt;&gt;"N/A",Priority!$C31,"")</f>
        <v>#REF!</v>
      </c>
      <c r="AB31" s="29" t="e">
        <f>IF(#REF!&lt;&gt;"N/A",Priority!$C31,"")</f>
        <v>#REF!</v>
      </c>
      <c r="AC31" s="29" t="e">
        <f>IF(#REF!&lt;&gt;"N/A",Priority!$C31,"")</f>
        <v>#REF!</v>
      </c>
      <c r="AD31" s="29" t="e">
        <f>IF(#REF!&lt;&gt;"N/A",Priority!$C31,"")</f>
        <v>#REF!</v>
      </c>
      <c r="AE31" s="29" t="e">
        <f>IF(#REF!&lt;&gt;"N/A",Priority!$C31,"")</f>
        <v>#REF!</v>
      </c>
      <c r="AF31" s="29" t="e">
        <f>IF(#REF!&lt;&gt;"N/A",Priority!$C31,"")</f>
        <v>#REF!</v>
      </c>
      <c r="AG31" s="29" t="e">
        <f>IF(#REF!&lt;&gt;"N/A",Priority!$C31,"")</f>
        <v>#REF!</v>
      </c>
      <c r="AH31" s="29" t="e">
        <f>IF(#REF!&lt;&gt;"N/A",Priority!$C31,"")</f>
        <v>#REF!</v>
      </c>
      <c r="AI31" s="29" t="e">
        <f>IF(#REF!&lt;&gt;"N/A",Priority!$C31,"")</f>
        <v>#REF!</v>
      </c>
      <c r="AJ31" s="31"/>
      <c r="AK31" s="29" t="e">
        <f>IF(#REF!&lt;&gt;"N/A",Priority!$C31,"")</f>
        <v>#REF!</v>
      </c>
      <c r="AL31" s="29" t="e">
        <f>IF(#REF!&lt;&gt;"N/A",Priority!$C31,"")</f>
        <v>#REF!</v>
      </c>
      <c r="AM31" s="29" t="e">
        <f>IF(#REF!&lt;&gt;"N/A",Priority!$C31,"")</f>
        <v>#REF!</v>
      </c>
      <c r="AN31" s="29" t="e">
        <f>IF(#REF!&lt;&gt;"N/A",Priority!$C31,"")</f>
        <v>#REF!</v>
      </c>
      <c r="AO31" s="29" t="e">
        <f>IF(#REF!&lt;&gt;"N/A",Priority!$C31,"")</f>
        <v>#REF!</v>
      </c>
      <c r="AP31" s="29" t="e">
        <f>IF(#REF!&lt;&gt;"N/A",Priority!$C31,"")</f>
        <v>#REF!</v>
      </c>
      <c r="AQ31" s="29" t="e">
        <f>IF(#REF!&lt;&gt;"N/A",Priority!$C31,"")</f>
        <v>#REF!</v>
      </c>
      <c r="AR31" s="29" t="e">
        <f>IF(#REF!&lt;&gt;"N/A",Priority!$C31,"")</f>
        <v>#REF!</v>
      </c>
      <c r="AS31" s="29" t="e">
        <f>IF(#REF!&lt;&gt;"N/A",Priority!$C31,"")</f>
        <v>#REF!</v>
      </c>
      <c r="AT31" s="29" t="e">
        <f>IF(#REF!&lt;&gt;"N/A",Priority!$C31,"")</f>
        <v>#REF!</v>
      </c>
      <c r="AU31" s="31"/>
      <c r="AV31" s="29" t="e">
        <f>IF(#REF!&lt;&gt;"N/A",Priority!$C31,"")</f>
        <v>#REF!</v>
      </c>
      <c r="AW31" s="29" t="e">
        <f>IF(#REF!&lt;&gt;"N/A",Priority!$C31,"")</f>
        <v>#REF!</v>
      </c>
      <c r="AX31" s="29" t="e">
        <f>IF(#REF!&lt;&gt;"N/A",Priority!$C31,"")</f>
        <v>#REF!</v>
      </c>
      <c r="AY31" s="29" t="e">
        <f>IF(#REF!&lt;&gt;"N/A",Priority!$C31,"")</f>
        <v>#REF!</v>
      </c>
      <c r="AZ31" s="29" t="e">
        <f>IF(#REF!&lt;&gt;"N/A",Priority!$C31,"")</f>
        <v>#REF!</v>
      </c>
      <c r="BA31" s="29" t="e">
        <f>IF(#REF!&lt;&gt;"N/A",Priority!$C31,"")</f>
        <v>#REF!</v>
      </c>
      <c r="BB31" s="29" t="e">
        <f>IF(#REF!&lt;&gt;"N/A",Priority!$C31,"")</f>
        <v>#REF!</v>
      </c>
      <c r="BC31" s="31"/>
      <c r="BD31" s="29" t="e">
        <f>IF(#REF!&lt;&gt;"N/A",Priority!$C31,"")</f>
        <v>#REF!</v>
      </c>
      <c r="BE31" s="29" t="e">
        <f>IF(#REF!&lt;&gt;"N/A",Priority!$C31,"")</f>
        <v>#REF!</v>
      </c>
      <c r="BF31" s="29" t="e">
        <f>IF(#REF!&lt;&gt;"N/A",Priority!$C31,"")</f>
        <v>#REF!</v>
      </c>
      <c r="BG31" s="29" t="e">
        <f>IF(#REF!&lt;&gt;"N/A",Priority!$C31,"")</f>
        <v>#REF!</v>
      </c>
      <c r="BH31" s="29" t="e">
        <f>IF(#REF!&lt;&gt;"N/A",Priority!$C31,"")</f>
        <v>#REF!</v>
      </c>
      <c r="BI31" s="29" t="e">
        <f>IF(#REF!&lt;&gt;"N/A",Priority!$C31,"")</f>
        <v>#REF!</v>
      </c>
      <c r="BJ31" s="29" t="e">
        <f>IF(#REF!&lt;&gt;"N/A",Priority!$C31,"")</f>
        <v>#REF!</v>
      </c>
      <c r="BK31" s="29" t="e">
        <f>IF(#REF!&lt;&gt;"N/A",Priority!$C31,"")</f>
        <v>#REF!</v>
      </c>
      <c r="BL31" s="29" t="e">
        <f>IF(#REF!&lt;&gt;"N/A",Priority!$C31,"")</f>
        <v>#REF!</v>
      </c>
      <c r="BM31" s="31"/>
      <c r="BN31" s="29" t="e">
        <f>IF(#REF!&lt;&gt;"N/A",Priority!$C31,"")</f>
        <v>#REF!</v>
      </c>
      <c r="BO31" s="29" t="e">
        <f>IF(#REF!&lt;&gt;"N/A",Priority!$C31,"")</f>
        <v>#REF!</v>
      </c>
      <c r="BP31" s="29" t="e">
        <f>IF(#REF!&lt;&gt;"N/A",Priority!$C31,"")</f>
        <v>#REF!</v>
      </c>
      <c r="BQ31" s="29" t="e">
        <f>IF(#REF!&lt;&gt;"N/A",Priority!$C31,"")</f>
        <v>#REF!</v>
      </c>
      <c r="BR31" s="29" t="e">
        <f>IF(#REF!&lt;&gt;"N/A",Priority!$C31,"")</f>
        <v>#REF!</v>
      </c>
      <c r="BS31" s="29" t="e">
        <f>IF(#REF!&lt;&gt;"N/A",Priority!$C31,"")</f>
        <v>#REF!</v>
      </c>
      <c r="BT31" s="29" t="e">
        <f>IF(#REF!&lt;&gt;"N/A",Priority!$C31,"")</f>
        <v>#REF!</v>
      </c>
      <c r="BU31" s="31"/>
      <c r="BV31" s="29" t="e">
        <f>IF(#REF!&lt;&gt;"N/A",Priority!$C31,"")</f>
        <v>#REF!</v>
      </c>
      <c r="BW31" s="29" t="e">
        <f>IF(#REF!&lt;&gt;"N/A",Priority!$C31,"")</f>
        <v>#REF!</v>
      </c>
      <c r="BX31" s="29" t="e">
        <f>IF(#REF!&lt;&gt;"N/A",Priority!$C31,"")</f>
        <v>#REF!</v>
      </c>
      <c r="BY31" s="29" t="e">
        <f>IF(#REF!&lt;&gt;"N/A",Priority!$C31,"")</f>
        <v>#REF!</v>
      </c>
      <c r="BZ31" s="29" t="e">
        <f>IF(#REF!&lt;&gt;"N/A",Priority!$C31,"")</f>
        <v>#REF!</v>
      </c>
      <c r="CA31" s="29" t="e">
        <f>IF(#REF!&lt;&gt;"N/A",Priority!$C31,"")</f>
        <v>#REF!</v>
      </c>
      <c r="CB31" s="31"/>
      <c r="CC31" s="29" t="e">
        <f>IF(#REF!&lt;&gt;"N/A",Priority!$C31,"")</f>
        <v>#REF!</v>
      </c>
      <c r="CD31" s="29" t="e">
        <f>IF(#REF!&lt;&gt;"N/A",Priority!$C31,"")</f>
        <v>#REF!</v>
      </c>
      <c r="CE31" s="29" t="e">
        <f>IF(#REF!&lt;&gt;"N/A",Priority!$C31,"")</f>
        <v>#REF!</v>
      </c>
      <c r="CF31" s="29" t="e">
        <f>IF(#REF!&lt;&gt;"N/A",Priority!$C31,"")</f>
        <v>#REF!</v>
      </c>
    </row>
    <row r="32" spans="1:84" ht="30">
      <c r="A32" s="15" t="e">
        <f>#REF!</f>
        <v>#REF!</v>
      </c>
      <c r="B32" s="15" t="e">
        <f>#REF!</f>
        <v>#REF!</v>
      </c>
      <c r="C32" s="15" t="e">
        <f>#REF!</f>
        <v>#REF!</v>
      </c>
      <c r="D32" s="20" t="s">
        <v>173</v>
      </c>
      <c r="E32" s="30" t="str">
        <f t="shared" si="9"/>
        <v>Pending</v>
      </c>
      <c r="F32" s="30" t="str">
        <f t="shared" si="10"/>
        <v>Pass:  0     /Accept:  0/     Fail:  0/     NT:  0</v>
      </c>
      <c r="G32" s="29" t="e">
        <f>IF(#REF!&lt;&gt;"N/A",Priority!$C32,"")</f>
        <v>#REF!</v>
      </c>
      <c r="H32" s="29" t="e">
        <f>IF(#REF!&lt;&gt;"N/A",Priority!$C32,"")</f>
        <v>#REF!</v>
      </c>
      <c r="I32" s="29" t="e">
        <f>IF(#REF!&lt;&gt;"N/A",Priority!$C32,"")</f>
        <v>#REF!</v>
      </c>
      <c r="J32" s="29" t="e">
        <f>IF(#REF!&lt;&gt;"N/A",Priority!$C32,"")</f>
        <v>#REF!</v>
      </c>
      <c r="K32" s="29" t="e">
        <f>IF(#REF!&lt;&gt;"N/A",Priority!$C32,"")</f>
        <v>#REF!</v>
      </c>
      <c r="L32" s="31"/>
      <c r="M32" s="29" t="e">
        <f>IF(#REF!&lt;&gt;"N/A",Priority!$C32,"")</f>
        <v>#REF!</v>
      </c>
      <c r="N32" s="29" t="e">
        <f>IF(#REF!&lt;&gt;"N/A",Priority!$C32,"")</f>
        <v>#REF!</v>
      </c>
      <c r="O32" s="29" t="e">
        <f>IF(#REF!&lt;&gt;"N/A",Priority!$C32,"")</f>
        <v>#REF!</v>
      </c>
      <c r="P32" s="29" t="e">
        <f>IF(#REF!&lt;&gt;"N/A",Priority!$C32,"")</f>
        <v>#REF!</v>
      </c>
      <c r="Q32" s="29" t="e">
        <f>IF(#REF!&lt;&gt;"N/A",Priority!$C32,"")</f>
        <v>#REF!</v>
      </c>
      <c r="R32" s="31"/>
      <c r="S32" s="29" t="e">
        <f>IF(#REF!&lt;&gt;"N/A",Priority!$C32,"")</f>
        <v>#REF!</v>
      </c>
      <c r="T32" s="29" t="e">
        <f>IF(#REF!&lt;&gt;"N/A",Priority!$C32,"")</f>
        <v>#REF!</v>
      </c>
      <c r="U32" s="29" t="e">
        <f>IF(#REF!&lt;&gt;"N/A",Priority!$C32,"")</f>
        <v>#REF!</v>
      </c>
      <c r="V32" s="29" t="e">
        <f>IF(#REF!&lt;&gt;"N/A",Priority!$C32,"")</f>
        <v>#REF!</v>
      </c>
      <c r="W32" s="29" t="e">
        <f>IF(#REF!&lt;&gt;"N/A",Priority!$C32,"")</f>
        <v>#REF!</v>
      </c>
      <c r="X32" s="29" t="e">
        <f>IF(#REF!&lt;&gt;"N/A",Priority!$C32,"")</f>
        <v>#REF!</v>
      </c>
      <c r="Y32" s="31"/>
      <c r="Z32" s="29" t="e">
        <f>IF(#REF!&lt;&gt;"N/A",Priority!$C32,"")</f>
        <v>#REF!</v>
      </c>
      <c r="AA32" s="29" t="e">
        <f>IF(#REF!&lt;&gt;"N/A",Priority!$C32,"")</f>
        <v>#REF!</v>
      </c>
      <c r="AB32" s="29" t="e">
        <f>IF(#REF!&lt;&gt;"N/A",Priority!$C32,"")</f>
        <v>#REF!</v>
      </c>
      <c r="AC32" s="29" t="e">
        <f>IF(#REF!&lt;&gt;"N/A",Priority!$C32,"")</f>
        <v>#REF!</v>
      </c>
      <c r="AD32" s="29" t="e">
        <f>IF(#REF!&lt;&gt;"N/A",Priority!$C32,"")</f>
        <v>#REF!</v>
      </c>
      <c r="AE32" s="29" t="e">
        <f>IF(#REF!&lt;&gt;"N/A",Priority!$C32,"")</f>
        <v>#REF!</v>
      </c>
      <c r="AF32" s="29" t="e">
        <f>IF(#REF!&lt;&gt;"N/A",Priority!$C32,"")</f>
        <v>#REF!</v>
      </c>
      <c r="AG32" s="29" t="e">
        <f>IF(#REF!&lt;&gt;"N/A",Priority!$C32,"")</f>
        <v>#REF!</v>
      </c>
      <c r="AH32" s="29" t="e">
        <f>IF(#REF!&lt;&gt;"N/A",Priority!$C32,"")</f>
        <v>#REF!</v>
      </c>
      <c r="AI32" s="29" t="e">
        <f>IF(#REF!&lt;&gt;"N/A",Priority!$C32,"")</f>
        <v>#REF!</v>
      </c>
      <c r="AJ32" s="31"/>
      <c r="AK32" s="29" t="e">
        <f>IF(#REF!&lt;&gt;"N/A",Priority!$C32,"")</f>
        <v>#REF!</v>
      </c>
      <c r="AL32" s="29" t="e">
        <f>IF(#REF!&lt;&gt;"N/A",Priority!$C32,"")</f>
        <v>#REF!</v>
      </c>
      <c r="AM32" s="29" t="e">
        <f>IF(#REF!&lt;&gt;"N/A",Priority!$C32,"")</f>
        <v>#REF!</v>
      </c>
      <c r="AN32" s="29" t="e">
        <f>IF(#REF!&lt;&gt;"N/A",Priority!$C32,"")</f>
        <v>#REF!</v>
      </c>
      <c r="AO32" s="29" t="e">
        <f>IF(#REF!&lt;&gt;"N/A",Priority!$C32,"")</f>
        <v>#REF!</v>
      </c>
      <c r="AP32" s="29" t="e">
        <f>IF(#REF!&lt;&gt;"N/A",Priority!$C32,"")</f>
        <v>#REF!</v>
      </c>
      <c r="AQ32" s="29" t="e">
        <f>IF(#REF!&lt;&gt;"N/A",Priority!$C32,"")</f>
        <v>#REF!</v>
      </c>
      <c r="AR32" s="29" t="e">
        <f>IF(#REF!&lt;&gt;"N/A",Priority!$C32,"")</f>
        <v>#REF!</v>
      </c>
      <c r="AS32" s="29" t="e">
        <f>IF(#REF!&lt;&gt;"N/A",Priority!$C32,"")</f>
        <v>#REF!</v>
      </c>
      <c r="AT32" s="29" t="e">
        <f>IF(#REF!&lt;&gt;"N/A",Priority!$C32,"")</f>
        <v>#REF!</v>
      </c>
      <c r="AU32" s="31"/>
      <c r="AV32" s="29" t="e">
        <f>IF(#REF!&lt;&gt;"N/A",Priority!$C32,"")</f>
        <v>#REF!</v>
      </c>
      <c r="AW32" s="29" t="e">
        <f>IF(#REF!&lt;&gt;"N/A",Priority!$C32,"")</f>
        <v>#REF!</v>
      </c>
      <c r="AX32" s="29" t="e">
        <f>IF(#REF!&lt;&gt;"N/A",Priority!$C32,"")</f>
        <v>#REF!</v>
      </c>
      <c r="AY32" s="29" t="e">
        <f>IF(#REF!&lt;&gt;"N/A",Priority!$C32,"")</f>
        <v>#REF!</v>
      </c>
      <c r="AZ32" s="29" t="e">
        <f>IF(#REF!&lt;&gt;"N/A",Priority!$C32,"")</f>
        <v>#REF!</v>
      </c>
      <c r="BA32" s="29" t="e">
        <f>IF(#REF!&lt;&gt;"N/A",Priority!$C32,"")</f>
        <v>#REF!</v>
      </c>
      <c r="BB32" s="29" t="e">
        <f>IF(#REF!&lt;&gt;"N/A",Priority!$C32,"")</f>
        <v>#REF!</v>
      </c>
      <c r="BC32" s="31"/>
      <c r="BD32" s="29" t="e">
        <f>IF(#REF!&lt;&gt;"N/A",Priority!$C32,"")</f>
        <v>#REF!</v>
      </c>
      <c r="BE32" s="29" t="e">
        <f>IF(#REF!&lt;&gt;"N/A",Priority!$C32,"")</f>
        <v>#REF!</v>
      </c>
      <c r="BF32" s="29" t="e">
        <f>IF(#REF!&lt;&gt;"N/A",Priority!$C32,"")</f>
        <v>#REF!</v>
      </c>
      <c r="BG32" s="29" t="e">
        <f>IF(#REF!&lt;&gt;"N/A",Priority!$C32,"")</f>
        <v>#REF!</v>
      </c>
      <c r="BH32" s="29" t="e">
        <f>IF(#REF!&lt;&gt;"N/A",Priority!$C32,"")</f>
        <v>#REF!</v>
      </c>
      <c r="BI32" s="29" t="e">
        <f>IF(#REF!&lt;&gt;"N/A",Priority!$C32,"")</f>
        <v>#REF!</v>
      </c>
      <c r="BJ32" s="29" t="e">
        <f>IF(#REF!&lt;&gt;"N/A",Priority!$C32,"")</f>
        <v>#REF!</v>
      </c>
      <c r="BK32" s="29" t="e">
        <f>IF(#REF!&lt;&gt;"N/A",Priority!$C32,"")</f>
        <v>#REF!</v>
      </c>
      <c r="BL32" s="29" t="e">
        <f>IF(#REF!&lt;&gt;"N/A",Priority!$C32,"")</f>
        <v>#REF!</v>
      </c>
      <c r="BM32" s="31"/>
      <c r="BN32" s="29" t="e">
        <f>IF(#REF!&lt;&gt;"N/A",Priority!$C32,"")</f>
        <v>#REF!</v>
      </c>
      <c r="BO32" s="29" t="e">
        <f>IF(#REF!&lt;&gt;"N/A",Priority!$C32,"")</f>
        <v>#REF!</v>
      </c>
      <c r="BP32" s="29" t="e">
        <f>IF(#REF!&lt;&gt;"N/A",Priority!$C32,"")</f>
        <v>#REF!</v>
      </c>
      <c r="BQ32" s="29" t="e">
        <f>IF(#REF!&lt;&gt;"N/A",Priority!$C32,"")</f>
        <v>#REF!</v>
      </c>
      <c r="BR32" s="29" t="e">
        <f>IF(#REF!&lt;&gt;"N/A",Priority!$C32,"")</f>
        <v>#REF!</v>
      </c>
      <c r="BS32" s="29" t="e">
        <f>IF(#REF!&lt;&gt;"N/A",Priority!$C32,"")</f>
        <v>#REF!</v>
      </c>
      <c r="BT32" s="29" t="e">
        <f>IF(#REF!&lt;&gt;"N/A",Priority!$C32,"")</f>
        <v>#REF!</v>
      </c>
      <c r="BU32" s="31"/>
      <c r="BV32" s="29" t="e">
        <f>IF(#REF!&lt;&gt;"N/A",Priority!$C32,"")</f>
        <v>#REF!</v>
      </c>
      <c r="BW32" s="29" t="e">
        <f>IF(#REF!&lt;&gt;"N/A",Priority!$C32,"")</f>
        <v>#REF!</v>
      </c>
      <c r="BX32" s="29" t="e">
        <f>IF(#REF!&lt;&gt;"N/A",Priority!$C32,"")</f>
        <v>#REF!</v>
      </c>
      <c r="BY32" s="29" t="e">
        <f>IF(#REF!&lt;&gt;"N/A",Priority!$C32,"")</f>
        <v>#REF!</v>
      </c>
      <c r="BZ32" s="29" t="e">
        <f>IF(#REF!&lt;&gt;"N/A",Priority!$C32,"")</f>
        <v>#REF!</v>
      </c>
      <c r="CA32" s="29" t="e">
        <f>IF(#REF!&lt;&gt;"N/A",Priority!$C32,"")</f>
        <v>#REF!</v>
      </c>
      <c r="CB32" s="31"/>
      <c r="CC32" s="29" t="e">
        <f>IF(#REF!&lt;&gt;"N/A",Priority!$C32,"")</f>
        <v>#REF!</v>
      </c>
      <c r="CD32" s="29" t="e">
        <f>IF(#REF!&lt;&gt;"N/A",Priority!$C32,"")</f>
        <v>#REF!</v>
      </c>
      <c r="CE32" s="29" t="e">
        <f>IF(#REF!&lt;&gt;"N/A",Priority!$C32,"")</f>
        <v>#REF!</v>
      </c>
      <c r="CF32" s="29" t="e">
        <f>IF(#REF!&lt;&gt;"N/A",Priority!$C32,"")</f>
        <v>#REF!</v>
      </c>
    </row>
    <row r="33" spans="1:84" ht="30">
      <c r="A33" s="15" t="e">
        <f>#REF!</f>
        <v>#REF!</v>
      </c>
      <c r="B33" s="15" t="e">
        <f>#REF!</f>
        <v>#REF!</v>
      </c>
      <c r="C33" s="15" t="e">
        <f>#REF!</f>
        <v>#REF!</v>
      </c>
      <c r="D33" s="20" t="s">
        <v>173</v>
      </c>
      <c r="E33" s="30" t="str">
        <f t="shared" si="9"/>
        <v>Pending</v>
      </c>
      <c r="F33" s="30" t="str">
        <f t="shared" si="10"/>
        <v>Pass:  0     /Accept:  0/     Fail:  0/     NT:  0</v>
      </c>
      <c r="G33" s="29" t="e">
        <f>IF(#REF!&lt;&gt;"N/A",Priority!$C33,"")</f>
        <v>#REF!</v>
      </c>
      <c r="H33" s="29" t="e">
        <f>IF(#REF!&lt;&gt;"N/A",Priority!$C33,"")</f>
        <v>#REF!</v>
      </c>
      <c r="I33" s="29" t="e">
        <f>IF(#REF!&lt;&gt;"N/A",Priority!$C33,"")</f>
        <v>#REF!</v>
      </c>
      <c r="J33" s="29" t="e">
        <f>IF(#REF!&lt;&gt;"N/A",Priority!$C33,"")</f>
        <v>#REF!</v>
      </c>
      <c r="K33" s="29" t="e">
        <f>IF(#REF!&lt;&gt;"N/A",Priority!$C33,"")</f>
        <v>#REF!</v>
      </c>
      <c r="L33" s="31"/>
      <c r="M33" s="29" t="e">
        <f>IF(#REF!&lt;&gt;"N/A",Priority!$C33,"")</f>
        <v>#REF!</v>
      </c>
      <c r="N33" s="29" t="e">
        <f>IF(#REF!&lt;&gt;"N/A",Priority!$C33,"")</f>
        <v>#REF!</v>
      </c>
      <c r="O33" s="29" t="e">
        <f>IF(#REF!&lt;&gt;"N/A",Priority!$C33,"")</f>
        <v>#REF!</v>
      </c>
      <c r="P33" s="29" t="e">
        <f>IF(#REF!&lt;&gt;"N/A",Priority!$C33,"")</f>
        <v>#REF!</v>
      </c>
      <c r="Q33" s="29" t="e">
        <f>IF(#REF!&lt;&gt;"N/A",Priority!$C33,"")</f>
        <v>#REF!</v>
      </c>
      <c r="R33" s="31"/>
      <c r="S33" s="29" t="e">
        <f>IF(#REF!&lt;&gt;"N/A",Priority!$C33,"")</f>
        <v>#REF!</v>
      </c>
      <c r="T33" s="29" t="e">
        <f>IF(#REF!&lt;&gt;"N/A",Priority!$C33,"")</f>
        <v>#REF!</v>
      </c>
      <c r="U33" s="29" t="e">
        <f>IF(#REF!&lt;&gt;"N/A",Priority!$C33,"")</f>
        <v>#REF!</v>
      </c>
      <c r="V33" s="29" t="e">
        <f>IF(#REF!&lt;&gt;"N/A",Priority!$C33,"")</f>
        <v>#REF!</v>
      </c>
      <c r="W33" s="29" t="e">
        <f>IF(#REF!&lt;&gt;"N/A",Priority!$C33,"")</f>
        <v>#REF!</v>
      </c>
      <c r="X33" s="29" t="e">
        <f>IF(#REF!&lt;&gt;"N/A",Priority!$C33,"")</f>
        <v>#REF!</v>
      </c>
      <c r="Y33" s="31"/>
      <c r="Z33" s="29" t="e">
        <f>IF(#REF!&lt;&gt;"N/A",Priority!$C33,"")</f>
        <v>#REF!</v>
      </c>
      <c r="AA33" s="29" t="e">
        <f>IF(#REF!&lt;&gt;"N/A",Priority!$C33,"")</f>
        <v>#REF!</v>
      </c>
      <c r="AB33" s="29" t="e">
        <f>IF(#REF!&lt;&gt;"N/A",Priority!$C33,"")</f>
        <v>#REF!</v>
      </c>
      <c r="AC33" s="29" t="e">
        <f>IF(#REF!&lt;&gt;"N/A",Priority!$C33,"")</f>
        <v>#REF!</v>
      </c>
      <c r="AD33" s="29" t="e">
        <f>IF(#REF!&lt;&gt;"N/A",Priority!$C33,"")</f>
        <v>#REF!</v>
      </c>
      <c r="AE33" s="29" t="e">
        <f>IF(#REF!&lt;&gt;"N/A",Priority!$C33,"")</f>
        <v>#REF!</v>
      </c>
      <c r="AF33" s="29" t="e">
        <f>IF(#REF!&lt;&gt;"N/A",Priority!$C33,"")</f>
        <v>#REF!</v>
      </c>
      <c r="AG33" s="29" t="e">
        <f>IF(#REF!&lt;&gt;"N/A",Priority!$C33,"")</f>
        <v>#REF!</v>
      </c>
      <c r="AH33" s="29" t="e">
        <f>IF(#REF!&lt;&gt;"N/A",Priority!$C33,"")</f>
        <v>#REF!</v>
      </c>
      <c r="AI33" s="29" t="e">
        <f>IF(#REF!&lt;&gt;"N/A",Priority!$C33,"")</f>
        <v>#REF!</v>
      </c>
      <c r="AJ33" s="31"/>
      <c r="AK33" s="29" t="e">
        <f>IF(#REF!&lt;&gt;"N/A",Priority!$C33,"")</f>
        <v>#REF!</v>
      </c>
      <c r="AL33" s="29" t="e">
        <f>IF(#REF!&lt;&gt;"N/A",Priority!$C33,"")</f>
        <v>#REF!</v>
      </c>
      <c r="AM33" s="29" t="e">
        <f>IF(#REF!&lt;&gt;"N/A",Priority!$C33,"")</f>
        <v>#REF!</v>
      </c>
      <c r="AN33" s="29" t="e">
        <f>IF(#REF!&lt;&gt;"N/A",Priority!$C33,"")</f>
        <v>#REF!</v>
      </c>
      <c r="AO33" s="29" t="e">
        <f>IF(#REF!&lt;&gt;"N/A",Priority!$C33,"")</f>
        <v>#REF!</v>
      </c>
      <c r="AP33" s="29" t="e">
        <f>IF(#REF!&lt;&gt;"N/A",Priority!$C33,"")</f>
        <v>#REF!</v>
      </c>
      <c r="AQ33" s="29" t="e">
        <f>IF(#REF!&lt;&gt;"N/A",Priority!$C33,"")</f>
        <v>#REF!</v>
      </c>
      <c r="AR33" s="29" t="e">
        <f>IF(#REF!&lt;&gt;"N/A",Priority!$C33,"")</f>
        <v>#REF!</v>
      </c>
      <c r="AS33" s="29" t="e">
        <f>IF(#REF!&lt;&gt;"N/A",Priority!$C33,"")</f>
        <v>#REF!</v>
      </c>
      <c r="AT33" s="29" t="e">
        <f>IF(#REF!&lt;&gt;"N/A",Priority!$C33,"")</f>
        <v>#REF!</v>
      </c>
      <c r="AU33" s="31"/>
      <c r="AV33" s="29" t="e">
        <f>IF(#REF!&lt;&gt;"N/A",Priority!$C33,"")</f>
        <v>#REF!</v>
      </c>
      <c r="AW33" s="29" t="e">
        <f>IF(#REF!&lt;&gt;"N/A",Priority!$C33,"")</f>
        <v>#REF!</v>
      </c>
      <c r="AX33" s="29" t="e">
        <f>IF(#REF!&lt;&gt;"N/A",Priority!$C33,"")</f>
        <v>#REF!</v>
      </c>
      <c r="AY33" s="29" t="e">
        <f>IF(#REF!&lt;&gt;"N/A",Priority!$C33,"")</f>
        <v>#REF!</v>
      </c>
      <c r="AZ33" s="29" t="e">
        <f>IF(#REF!&lt;&gt;"N/A",Priority!$C33,"")</f>
        <v>#REF!</v>
      </c>
      <c r="BA33" s="29" t="e">
        <f>IF(#REF!&lt;&gt;"N/A",Priority!$C33,"")</f>
        <v>#REF!</v>
      </c>
      <c r="BB33" s="29" t="e">
        <f>IF(#REF!&lt;&gt;"N/A",Priority!$C33,"")</f>
        <v>#REF!</v>
      </c>
      <c r="BC33" s="31"/>
      <c r="BD33" s="29" t="e">
        <f>IF(#REF!&lt;&gt;"N/A",Priority!$C33,"")</f>
        <v>#REF!</v>
      </c>
      <c r="BE33" s="29" t="e">
        <f>IF(#REF!&lt;&gt;"N/A",Priority!$C33,"")</f>
        <v>#REF!</v>
      </c>
      <c r="BF33" s="29" t="e">
        <f>IF(#REF!&lt;&gt;"N/A",Priority!$C33,"")</f>
        <v>#REF!</v>
      </c>
      <c r="BG33" s="29" t="e">
        <f>IF(#REF!&lt;&gt;"N/A",Priority!$C33,"")</f>
        <v>#REF!</v>
      </c>
      <c r="BH33" s="29" t="e">
        <f>IF(#REF!&lt;&gt;"N/A",Priority!$C33,"")</f>
        <v>#REF!</v>
      </c>
      <c r="BI33" s="29" t="e">
        <f>IF(#REF!&lt;&gt;"N/A",Priority!$C33,"")</f>
        <v>#REF!</v>
      </c>
      <c r="BJ33" s="29" t="e">
        <f>IF(#REF!&lt;&gt;"N/A",Priority!$C33,"")</f>
        <v>#REF!</v>
      </c>
      <c r="BK33" s="29" t="e">
        <f>IF(#REF!&lt;&gt;"N/A",Priority!$C33,"")</f>
        <v>#REF!</v>
      </c>
      <c r="BL33" s="29" t="e">
        <f>IF(#REF!&lt;&gt;"N/A",Priority!$C33,"")</f>
        <v>#REF!</v>
      </c>
      <c r="BM33" s="31"/>
      <c r="BN33" s="29" t="e">
        <f>IF(#REF!&lt;&gt;"N/A",Priority!$C33,"")</f>
        <v>#REF!</v>
      </c>
      <c r="BO33" s="29" t="e">
        <f>IF(#REF!&lt;&gt;"N/A",Priority!$C33,"")</f>
        <v>#REF!</v>
      </c>
      <c r="BP33" s="29" t="e">
        <f>IF(#REF!&lt;&gt;"N/A",Priority!$C33,"")</f>
        <v>#REF!</v>
      </c>
      <c r="BQ33" s="29" t="e">
        <f>IF(#REF!&lt;&gt;"N/A",Priority!$C33,"")</f>
        <v>#REF!</v>
      </c>
      <c r="BR33" s="29" t="e">
        <f>IF(#REF!&lt;&gt;"N/A",Priority!$C33,"")</f>
        <v>#REF!</v>
      </c>
      <c r="BS33" s="29" t="e">
        <f>IF(#REF!&lt;&gt;"N/A",Priority!$C33,"")</f>
        <v>#REF!</v>
      </c>
      <c r="BT33" s="29" t="e">
        <f>IF(#REF!&lt;&gt;"N/A",Priority!$C33,"")</f>
        <v>#REF!</v>
      </c>
      <c r="BU33" s="31"/>
      <c r="BV33" s="29" t="e">
        <f>IF(#REF!&lt;&gt;"N/A",Priority!$C33,"")</f>
        <v>#REF!</v>
      </c>
      <c r="BW33" s="29" t="e">
        <f>IF(#REF!&lt;&gt;"N/A",Priority!$C33,"")</f>
        <v>#REF!</v>
      </c>
      <c r="BX33" s="29" t="e">
        <f>IF(#REF!&lt;&gt;"N/A",Priority!$C33,"")</f>
        <v>#REF!</v>
      </c>
      <c r="BY33" s="29" t="e">
        <f>IF(#REF!&lt;&gt;"N/A",Priority!$C33,"")</f>
        <v>#REF!</v>
      </c>
      <c r="BZ33" s="29" t="e">
        <f>IF(#REF!&lt;&gt;"N/A",Priority!$C33,"")</f>
        <v>#REF!</v>
      </c>
      <c r="CA33" s="29" t="e">
        <f>IF(#REF!&lt;&gt;"N/A",Priority!$C33,"")</f>
        <v>#REF!</v>
      </c>
      <c r="CB33" s="31"/>
      <c r="CC33" s="29" t="e">
        <f>IF(#REF!&lt;&gt;"N/A",Priority!$C33,"")</f>
        <v>#REF!</v>
      </c>
      <c r="CD33" s="29" t="e">
        <f>IF(#REF!&lt;&gt;"N/A",Priority!$C33,"")</f>
        <v>#REF!</v>
      </c>
      <c r="CE33" s="29" t="e">
        <f>IF(#REF!&lt;&gt;"N/A",Priority!$C33,"")</f>
        <v>#REF!</v>
      </c>
      <c r="CF33" s="29" t="e">
        <f>IF(#REF!&lt;&gt;"N/A",Priority!$C33,"")</f>
        <v>#REF!</v>
      </c>
    </row>
    <row r="34" spans="1:84" ht="30">
      <c r="A34" s="15" t="e">
        <f>#REF!</f>
        <v>#REF!</v>
      </c>
      <c r="B34" s="15" t="e">
        <f>#REF!</f>
        <v>#REF!</v>
      </c>
      <c r="C34" s="15" t="e">
        <f>#REF!</f>
        <v>#REF!</v>
      </c>
      <c r="D34" s="22" t="s">
        <v>166</v>
      </c>
      <c r="E34" s="30" t="str">
        <f t="shared" si="9"/>
        <v>Pending</v>
      </c>
      <c r="F34" s="30" t="str">
        <f t="shared" si="10"/>
        <v>Pass:  0     /Accept:  0/     Fail:  0/     NT:  0</v>
      </c>
      <c r="G34" s="29" t="e">
        <f>IF(#REF!&lt;&gt;"N/A",Priority!$C34,"")</f>
        <v>#REF!</v>
      </c>
      <c r="H34" s="29" t="e">
        <f>IF(#REF!&lt;&gt;"N/A",Priority!$C34,"")</f>
        <v>#REF!</v>
      </c>
      <c r="I34" s="29" t="e">
        <f>IF(#REF!&lt;&gt;"N/A",Priority!$C34,"")</f>
        <v>#REF!</v>
      </c>
      <c r="J34" s="29" t="e">
        <f>IF(#REF!&lt;&gt;"N/A",Priority!$C34,"")</f>
        <v>#REF!</v>
      </c>
      <c r="K34" s="29" t="e">
        <f>IF(#REF!&lt;&gt;"N/A",Priority!$C34,"")</f>
        <v>#REF!</v>
      </c>
      <c r="L34" s="31"/>
      <c r="M34" s="29" t="e">
        <f>IF(#REF!&lt;&gt;"N/A",Priority!$C34,"")</f>
        <v>#REF!</v>
      </c>
      <c r="N34" s="29" t="e">
        <f>IF(#REF!&lt;&gt;"N/A",Priority!$C34,"")</f>
        <v>#REF!</v>
      </c>
      <c r="O34" s="29" t="e">
        <f>IF(#REF!&lt;&gt;"N/A",Priority!$C34,"")</f>
        <v>#REF!</v>
      </c>
      <c r="P34" s="29" t="e">
        <f>IF(#REF!&lt;&gt;"N/A",Priority!$C34,"")</f>
        <v>#REF!</v>
      </c>
      <c r="Q34" s="29" t="e">
        <f>IF(#REF!&lt;&gt;"N/A",Priority!$C34,"")</f>
        <v>#REF!</v>
      </c>
      <c r="R34" s="31"/>
      <c r="S34" s="29" t="e">
        <f>IF(#REF!&lt;&gt;"N/A",Priority!$C34,"")</f>
        <v>#REF!</v>
      </c>
      <c r="T34" s="29" t="e">
        <f>IF(#REF!&lt;&gt;"N/A",Priority!$C34,"")</f>
        <v>#REF!</v>
      </c>
      <c r="U34" s="29" t="e">
        <f>IF(#REF!&lt;&gt;"N/A",Priority!$C34,"")</f>
        <v>#REF!</v>
      </c>
      <c r="V34" s="29" t="e">
        <f>IF(#REF!&lt;&gt;"N/A",Priority!$C34,"")</f>
        <v>#REF!</v>
      </c>
      <c r="W34" s="29" t="e">
        <f>IF(#REF!&lt;&gt;"N/A",Priority!$C34,"")</f>
        <v>#REF!</v>
      </c>
      <c r="X34" s="29" t="e">
        <f>IF(#REF!&lt;&gt;"N/A",Priority!$C34,"")</f>
        <v>#REF!</v>
      </c>
      <c r="Y34" s="31"/>
      <c r="Z34" s="29" t="e">
        <f>IF(#REF!&lt;&gt;"N/A",Priority!$C34,"")</f>
        <v>#REF!</v>
      </c>
      <c r="AA34" s="29" t="e">
        <f>IF(#REF!&lt;&gt;"N/A",Priority!$C34,"")</f>
        <v>#REF!</v>
      </c>
      <c r="AB34" s="29" t="e">
        <f>IF(#REF!&lt;&gt;"N/A",Priority!$C34,"")</f>
        <v>#REF!</v>
      </c>
      <c r="AC34" s="29" t="e">
        <f>IF(#REF!&lt;&gt;"N/A",Priority!$C34,"")</f>
        <v>#REF!</v>
      </c>
      <c r="AD34" s="29" t="e">
        <f>IF(#REF!&lt;&gt;"N/A",Priority!$C34,"")</f>
        <v>#REF!</v>
      </c>
      <c r="AE34" s="29" t="e">
        <f>IF(#REF!&lt;&gt;"N/A",Priority!$C34,"")</f>
        <v>#REF!</v>
      </c>
      <c r="AF34" s="29" t="e">
        <f>IF(#REF!&lt;&gt;"N/A",Priority!$C34,"")</f>
        <v>#REF!</v>
      </c>
      <c r="AG34" s="29" t="e">
        <f>IF(#REF!&lt;&gt;"N/A",Priority!$C34,"")</f>
        <v>#REF!</v>
      </c>
      <c r="AH34" s="29" t="e">
        <f>IF(#REF!&lt;&gt;"N/A",Priority!$C34,"")</f>
        <v>#REF!</v>
      </c>
      <c r="AI34" s="29" t="e">
        <f>IF(#REF!&lt;&gt;"N/A",Priority!$C34,"")</f>
        <v>#REF!</v>
      </c>
      <c r="AJ34" s="31"/>
      <c r="AK34" s="29" t="e">
        <f>IF(#REF!&lt;&gt;"N/A",Priority!$C34,"")</f>
        <v>#REF!</v>
      </c>
      <c r="AL34" s="29" t="e">
        <f>IF(#REF!&lt;&gt;"N/A",Priority!$C34,"")</f>
        <v>#REF!</v>
      </c>
      <c r="AM34" s="29" t="e">
        <f>IF(#REF!&lt;&gt;"N/A",Priority!$C34,"")</f>
        <v>#REF!</v>
      </c>
      <c r="AN34" s="29" t="e">
        <f>IF(#REF!&lt;&gt;"N/A",Priority!$C34,"")</f>
        <v>#REF!</v>
      </c>
      <c r="AO34" s="29" t="e">
        <f>IF(#REF!&lt;&gt;"N/A",Priority!$C34,"")</f>
        <v>#REF!</v>
      </c>
      <c r="AP34" s="29" t="e">
        <f>IF(#REF!&lt;&gt;"N/A",Priority!$C34,"")</f>
        <v>#REF!</v>
      </c>
      <c r="AQ34" s="29" t="e">
        <f>IF(#REF!&lt;&gt;"N/A",Priority!$C34,"")</f>
        <v>#REF!</v>
      </c>
      <c r="AR34" s="29" t="e">
        <f>IF(#REF!&lt;&gt;"N/A",Priority!$C34,"")</f>
        <v>#REF!</v>
      </c>
      <c r="AS34" s="29" t="e">
        <f>IF(#REF!&lt;&gt;"N/A",Priority!$C34,"")</f>
        <v>#REF!</v>
      </c>
      <c r="AT34" s="29" t="e">
        <f>IF(#REF!&lt;&gt;"N/A",Priority!$C34,"")</f>
        <v>#REF!</v>
      </c>
      <c r="AU34" s="31"/>
      <c r="AV34" s="29" t="e">
        <f>IF(#REF!&lt;&gt;"N/A",Priority!$C34,"")</f>
        <v>#REF!</v>
      </c>
      <c r="AW34" s="29" t="e">
        <f>IF(#REF!&lt;&gt;"N/A",Priority!$C34,"")</f>
        <v>#REF!</v>
      </c>
      <c r="AX34" s="29" t="e">
        <f>IF(#REF!&lt;&gt;"N/A",Priority!$C34,"")</f>
        <v>#REF!</v>
      </c>
      <c r="AY34" s="29" t="e">
        <f>IF(#REF!&lt;&gt;"N/A",Priority!$C34,"")</f>
        <v>#REF!</v>
      </c>
      <c r="AZ34" s="29" t="e">
        <f>IF(#REF!&lt;&gt;"N/A",Priority!$C34,"")</f>
        <v>#REF!</v>
      </c>
      <c r="BA34" s="29" t="e">
        <f>IF(#REF!&lt;&gt;"N/A",Priority!$C34,"")</f>
        <v>#REF!</v>
      </c>
      <c r="BB34" s="29" t="e">
        <f>IF(#REF!&lt;&gt;"N/A",Priority!$C34,"")</f>
        <v>#REF!</v>
      </c>
      <c r="BC34" s="31"/>
      <c r="BD34" s="29" t="e">
        <f>IF(#REF!&lt;&gt;"N/A",Priority!$C34,"")</f>
        <v>#REF!</v>
      </c>
      <c r="BE34" s="29" t="e">
        <f>IF(#REF!&lt;&gt;"N/A",Priority!$C34,"")</f>
        <v>#REF!</v>
      </c>
      <c r="BF34" s="29" t="e">
        <f>IF(#REF!&lt;&gt;"N/A",Priority!$C34,"")</f>
        <v>#REF!</v>
      </c>
      <c r="BG34" s="29" t="e">
        <f>IF(#REF!&lt;&gt;"N/A",Priority!$C34,"")</f>
        <v>#REF!</v>
      </c>
      <c r="BH34" s="29" t="e">
        <f>IF(#REF!&lt;&gt;"N/A",Priority!$C34,"")</f>
        <v>#REF!</v>
      </c>
      <c r="BI34" s="29" t="e">
        <f>IF(#REF!&lt;&gt;"N/A",Priority!$C34,"")</f>
        <v>#REF!</v>
      </c>
      <c r="BJ34" s="29" t="e">
        <f>IF(#REF!&lt;&gt;"N/A",Priority!$C34,"")</f>
        <v>#REF!</v>
      </c>
      <c r="BK34" s="29" t="e">
        <f>IF(#REF!&lt;&gt;"N/A",Priority!$C34,"")</f>
        <v>#REF!</v>
      </c>
      <c r="BL34" s="29" t="e">
        <f>IF(#REF!&lt;&gt;"N/A",Priority!$C34,"")</f>
        <v>#REF!</v>
      </c>
      <c r="BM34" s="31"/>
      <c r="BN34" s="29" t="e">
        <f>IF(#REF!&lt;&gt;"N/A",Priority!$C34,"")</f>
        <v>#REF!</v>
      </c>
      <c r="BO34" s="29" t="e">
        <f>IF(#REF!&lt;&gt;"N/A",Priority!$C34,"")</f>
        <v>#REF!</v>
      </c>
      <c r="BP34" s="29" t="e">
        <f>IF(#REF!&lt;&gt;"N/A",Priority!$C34,"")</f>
        <v>#REF!</v>
      </c>
      <c r="BQ34" s="29" t="e">
        <f>IF(#REF!&lt;&gt;"N/A",Priority!$C34,"")</f>
        <v>#REF!</v>
      </c>
      <c r="BR34" s="29" t="e">
        <f>IF(#REF!&lt;&gt;"N/A",Priority!$C34,"")</f>
        <v>#REF!</v>
      </c>
      <c r="BS34" s="29" t="e">
        <f>IF(#REF!&lt;&gt;"N/A",Priority!$C34,"")</f>
        <v>#REF!</v>
      </c>
      <c r="BT34" s="29" t="e">
        <f>IF(#REF!&lt;&gt;"N/A",Priority!$C34,"")</f>
        <v>#REF!</v>
      </c>
      <c r="BU34" s="31"/>
      <c r="BV34" s="29" t="e">
        <f>IF(#REF!&lt;&gt;"N/A",Priority!$C34,"")</f>
        <v>#REF!</v>
      </c>
      <c r="BW34" s="29" t="e">
        <f>IF(#REF!&lt;&gt;"N/A",Priority!$C34,"")</f>
        <v>#REF!</v>
      </c>
      <c r="BX34" s="29" t="e">
        <f>IF(#REF!&lt;&gt;"N/A",Priority!$C34,"")</f>
        <v>#REF!</v>
      </c>
      <c r="BY34" s="29" t="e">
        <f>IF(#REF!&lt;&gt;"N/A",Priority!$C34,"")</f>
        <v>#REF!</v>
      </c>
      <c r="BZ34" s="29" t="e">
        <f>IF(#REF!&lt;&gt;"N/A",Priority!$C34,"")</f>
        <v>#REF!</v>
      </c>
      <c r="CA34" s="29" t="e">
        <f>IF(#REF!&lt;&gt;"N/A",Priority!$C34,"")</f>
        <v>#REF!</v>
      </c>
      <c r="CB34" s="31"/>
      <c r="CC34" s="29" t="e">
        <f>IF(#REF!&lt;&gt;"N/A",Priority!$C34,"")</f>
        <v>#REF!</v>
      </c>
      <c r="CD34" s="29" t="e">
        <f>IF(#REF!&lt;&gt;"N/A",Priority!$C34,"")</f>
        <v>#REF!</v>
      </c>
      <c r="CE34" s="29" t="e">
        <f>IF(#REF!&lt;&gt;"N/A",Priority!$C34,"")</f>
        <v>#REF!</v>
      </c>
      <c r="CF34" s="29" t="e">
        <f>IF(#REF!&lt;&gt;"N/A",Priority!$C34,"")</f>
        <v>#REF!</v>
      </c>
    </row>
    <row r="35" spans="1:84" ht="30">
      <c r="A35" s="15" t="e">
        <f>#REF!</f>
        <v>#REF!</v>
      </c>
      <c r="B35" s="15" t="e">
        <f>#REF!</f>
        <v>#REF!</v>
      </c>
      <c r="C35" s="15" t="e">
        <f>#REF!</f>
        <v>#REF!</v>
      </c>
      <c r="D35" s="22" t="s">
        <v>164</v>
      </c>
      <c r="E35" s="30" t="str">
        <f t="shared" si="9"/>
        <v>Pending</v>
      </c>
      <c r="F35" s="30" t="str">
        <f t="shared" si="10"/>
        <v>Pass:  0     /Accept:  0/     Fail:  0/     NT:  0</v>
      </c>
      <c r="G35" s="29" t="e">
        <f>IF(#REF!&lt;&gt;"N/A",Priority!$C35,"")</f>
        <v>#REF!</v>
      </c>
      <c r="H35" s="29" t="e">
        <f>IF(#REF!&lt;&gt;"N/A",Priority!$C35,"")</f>
        <v>#REF!</v>
      </c>
      <c r="I35" s="29" t="e">
        <f>IF(#REF!&lt;&gt;"N/A",Priority!$C35,"")</f>
        <v>#REF!</v>
      </c>
      <c r="J35" s="29" t="e">
        <f>IF(#REF!&lt;&gt;"N/A",Priority!$C35,"")</f>
        <v>#REF!</v>
      </c>
      <c r="K35" s="29" t="e">
        <f>IF(#REF!&lt;&gt;"N/A",Priority!$C35,"")</f>
        <v>#REF!</v>
      </c>
      <c r="L35" s="31"/>
      <c r="M35" s="29" t="e">
        <f>IF(#REF!&lt;&gt;"N/A",Priority!$C35,"")</f>
        <v>#REF!</v>
      </c>
      <c r="N35" s="29" t="e">
        <f>IF(#REF!&lt;&gt;"N/A",Priority!$C35,"")</f>
        <v>#REF!</v>
      </c>
      <c r="O35" s="29" t="e">
        <f>IF(#REF!&lt;&gt;"N/A",Priority!$C35,"")</f>
        <v>#REF!</v>
      </c>
      <c r="P35" s="29" t="e">
        <f>IF(#REF!&lt;&gt;"N/A",Priority!$C35,"")</f>
        <v>#REF!</v>
      </c>
      <c r="Q35" s="29" t="e">
        <f>IF(#REF!&lt;&gt;"N/A",Priority!$C35,"")</f>
        <v>#REF!</v>
      </c>
      <c r="R35" s="31"/>
      <c r="S35" s="29" t="e">
        <f>IF(#REF!&lt;&gt;"N/A",Priority!$C35,"")</f>
        <v>#REF!</v>
      </c>
      <c r="T35" s="29" t="e">
        <f>IF(#REF!&lt;&gt;"N/A",Priority!$C35,"")</f>
        <v>#REF!</v>
      </c>
      <c r="U35" s="29" t="e">
        <f>IF(#REF!&lt;&gt;"N/A",Priority!$C35,"")</f>
        <v>#REF!</v>
      </c>
      <c r="V35" s="29" t="e">
        <f>IF(#REF!&lt;&gt;"N/A",Priority!$C35,"")</f>
        <v>#REF!</v>
      </c>
      <c r="W35" s="29" t="e">
        <f>IF(#REF!&lt;&gt;"N/A",Priority!$C35,"")</f>
        <v>#REF!</v>
      </c>
      <c r="X35" s="29" t="e">
        <f>IF(#REF!&lt;&gt;"N/A",Priority!$C35,"")</f>
        <v>#REF!</v>
      </c>
      <c r="Y35" s="31"/>
      <c r="Z35" s="29" t="e">
        <f>IF(#REF!&lt;&gt;"N/A",Priority!$C35,"")</f>
        <v>#REF!</v>
      </c>
      <c r="AA35" s="29" t="e">
        <f>IF(#REF!&lt;&gt;"N/A",Priority!$C35,"")</f>
        <v>#REF!</v>
      </c>
      <c r="AB35" s="29" t="e">
        <f>IF(#REF!&lt;&gt;"N/A",Priority!$C35,"")</f>
        <v>#REF!</v>
      </c>
      <c r="AC35" s="29" t="e">
        <f>IF(#REF!&lt;&gt;"N/A",Priority!$C35,"")</f>
        <v>#REF!</v>
      </c>
      <c r="AD35" s="29" t="e">
        <f>IF(#REF!&lt;&gt;"N/A",Priority!$C35,"")</f>
        <v>#REF!</v>
      </c>
      <c r="AE35" s="29" t="e">
        <f>IF(#REF!&lt;&gt;"N/A",Priority!$C35,"")</f>
        <v>#REF!</v>
      </c>
      <c r="AF35" s="29" t="e">
        <f>IF(#REF!&lt;&gt;"N/A",Priority!$C35,"")</f>
        <v>#REF!</v>
      </c>
      <c r="AG35" s="29" t="e">
        <f>IF(#REF!&lt;&gt;"N/A",Priority!$C35,"")</f>
        <v>#REF!</v>
      </c>
      <c r="AH35" s="29" t="e">
        <f>IF(#REF!&lt;&gt;"N/A",Priority!$C35,"")</f>
        <v>#REF!</v>
      </c>
      <c r="AI35" s="29" t="e">
        <f>IF(#REF!&lt;&gt;"N/A",Priority!$C35,"")</f>
        <v>#REF!</v>
      </c>
      <c r="AJ35" s="31"/>
      <c r="AK35" s="29" t="e">
        <f>IF(#REF!&lt;&gt;"N/A",Priority!$C35,"")</f>
        <v>#REF!</v>
      </c>
      <c r="AL35" s="29" t="e">
        <f>IF(#REF!&lt;&gt;"N/A",Priority!$C35,"")</f>
        <v>#REF!</v>
      </c>
      <c r="AM35" s="29" t="e">
        <f>IF(#REF!&lt;&gt;"N/A",Priority!$C35,"")</f>
        <v>#REF!</v>
      </c>
      <c r="AN35" s="29" t="e">
        <f>IF(#REF!&lt;&gt;"N/A",Priority!$C35,"")</f>
        <v>#REF!</v>
      </c>
      <c r="AO35" s="29" t="e">
        <f>IF(#REF!&lt;&gt;"N/A",Priority!$C35,"")</f>
        <v>#REF!</v>
      </c>
      <c r="AP35" s="29" t="e">
        <f>IF(#REF!&lt;&gt;"N/A",Priority!$C35,"")</f>
        <v>#REF!</v>
      </c>
      <c r="AQ35" s="29" t="e">
        <f>IF(#REF!&lt;&gt;"N/A",Priority!$C35,"")</f>
        <v>#REF!</v>
      </c>
      <c r="AR35" s="29" t="e">
        <f>IF(#REF!&lt;&gt;"N/A",Priority!$C35,"")</f>
        <v>#REF!</v>
      </c>
      <c r="AS35" s="29" t="e">
        <f>IF(#REF!&lt;&gt;"N/A",Priority!$C35,"")</f>
        <v>#REF!</v>
      </c>
      <c r="AT35" s="29" t="e">
        <f>IF(#REF!&lt;&gt;"N/A",Priority!$C35,"")</f>
        <v>#REF!</v>
      </c>
      <c r="AU35" s="31"/>
      <c r="AV35" s="29" t="e">
        <f>IF(#REF!&lt;&gt;"N/A",Priority!$C35,"")</f>
        <v>#REF!</v>
      </c>
      <c r="AW35" s="29" t="e">
        <f>IF(#REF!&lt;&gt;"N/A",Priority!$C35,"")</f>
        <v>#REF!</v>
      </c>
      <c r="AX35" s="29" t="e">
        <f>IF(#REF!&lt;&gt;"N/A",Priority!$C35,"")</f>
        <v>#REF!</v>
      </c>
      <c r="AY35" s="29" t="e">
        <f>IF(#REF!&lt;&gt;"N/A",Priority!$C35,"")</f>
        <v>#REF!</v>
      </c>
      <c r="AZ35" s="29" t="e">
        <f>IF(#REF!&lt;&gt;"N/A",Priority!$C35,"")</f>
        <v>#REF!</v>
      </c>
      <c r="BA35" s="29" t="e">
        <f>IF(#REF!&lt;&gt;"N/A",Priority!$C35,"")</f>
        <v>#REF!</v>
      </c>
      <c r="BB35" s="29" t="e">
        <f>IF(#REF!&lt;&gt;"N/A",Priority!$C35,"")</f>
        <v>#REF!</v>
      </c>
      <c r="BC35" s="31"/>
      <c r="BD35" s="29" t="e">
        <f>IF(#REF!&lt;&gt;"N/A",Priority!$C35,"")</f>
        <v>#REF!</v>
      </c>
      <c r="BE35" s="29" t="e">
        <f>IF(#REF!&lt;&gt;"N/A",Priority!$C35,"")</f>
        <v>#REF!</v>
      </c>
      <c r="BF35" s="29" t="e">
        <f>IF(#REF!&lt;&gt;"N/A",Priority!$C35,"")</f>
        <v>#REF!</v>
      </c>
      <c r="BG35" s="29" t="e">
        <f>IF(#REF!&lt;&gt;"N/A",Priority!$C35,"")</f>
        <v>#REF!</v>
      </c>
      <c r="BH35" s="29" t="e">
        <f>IF(#REF!&lt;&gt;"N/A",Priority!$C35,"")</f>
        <v>#REF!</v>
      </c>
      <c r="BI35" s="29" t="e">
        <f>IF(#REF!&lt;&gt;"N/A",Priority!$C35,"")</f>
        <v>#REF!</v>
      </c>
      <c r="BJ35" s="29" t="e">
        <f>IF(#REF!&lt;&gt;"N/A",Priority!$C35,"")</f>
        <v>#REF!</v>
      </c>
      <c r="BK35" s="29" t="e">
        <f>IF(#REF!&lt;&gt;"N/A",Priority!$C35,"")</f>
        <v>#REF!</v>
      </c>
      <c r="BL35" s="29" t="e">
        <f>IF(#REF!&lt;&gt;"N/A",Priority!$C35,"")</f>
        <v>#REF!</v>
      </c>
      <c r="BM35" s="31"/>
      <c r="BN35" s="29" t="e">
        <f>IF(#REF!&lt;&gt;"N/A",Priority!$C35,"")</f>
        <v>#REF!</v>
      </c>
      <c r="BO35" s="29" t="e">
        <f>IF(#REF!&lt;&gt;"N/A",Priority!$C35,"")</f>
        <v>#REF!</v>
      </c>
      <c r="BP35" s="29" t="e">
        <f>IF(#REF!&lt;&gt;"N/A",Priority!$C35,"")</f>
        <v>#REF!</v>
      </c>
      <c r="BQ35" s="29" t="e">
        <f>IF(#REF!&lt;&gt;"N/A",Priority!$C35,"")</f>
        <v>#REF!</v>
      </c>
      <c r="BR35" s="29" t="e">
        <f>IF(#REF!&lt;&gt;"N/A",Priority!$C35,"")</f>
        <v>#REF!</v>
      </c>
      <c r="BS35" s="29" t="e">
        <f>IF(#REF!&lt;&gt;"N/A",Priority!$C35,"")</f>
        <v>#REF!</v>
      </c>
      <c r="BT35" s="29" t="e">
        <f>IF(#REF!&lt;&gt;"N/A",Priority!$C35,"")</f>
        <v>#REF!</v>
      </c>
      <c r="BU35" s="31"/>
      <c r="BV35" s="29" t="e">
        <f>IF(#REF!&lt;&gt;"N/A",Priority!$C35,"")</f>
        <v>#REF!</v>
      </c>
      <c r="BW35" s="29" t="e">
        <f>IF(#REF!&lt;&gt;"N/A",Priority!$C35,"")</f>
        <v>#REF!</v>
      </c>
      <c r="BX35" s="29" t="e">
        <f>IF(#REF!&lt;&gt;"N/A",Priority!$C35,"")</f>
        <v>#REF!</v>
      </c>
      <c r="BY35" s="29" t="e">
        <f>IF(#REF!&lt;&gt;"N/A",Priority!$C35,"")</f>
        <v>#REF!</v>
      </c>
      <c r="BZ35" s="29" t="e">
        <f>IF(#REF!&lt;&gt;"N/A",Priority!$C35,"")</f>
        <v>#REF!</v>
      </c>
      <c r="CA35" s="29" t="e">
        <f>IF(#REF!&lt;&gt;"N/A",Priority!$C35,"")</f>
        <v>#REF!</v>
      </c>
      <c r="CB35" s="31"/>
      <c r="CC35" s="29" t="e">
        <f>IF(#REF!&lt;&gt;"N/A",Priority!$C35,"")</f>
        <v>#REF!</v>
      </c>
      <c r="CD35" s="29" t="e">
        <f>IF(#REF!&lt;&gt;"N/A",Priority!$C35,"")</f>
        <v>#REF!</v>
      </c>
      <c r="CE35" s="29" t="e">
        <f>IF(#REF!&lt;&gt;"N/A",Priority!$C35,"")</f>
        <v>#REF!</v>
      </c>
      <c r="CF35" s="29" t="e">
        <f>IF(#REF!&lt;&gt;"N/A",Priority!$C35,"")</f>
        <v>#REF!</v>
      </c>
    </row>
    <row r="36" spans="1:84" ht="30">
      <c r="A36" s="15" t="e">
        <f>#REF!</f>
        <v>#REF!</v>
      </c>
      <c r="B36" s="15" t="e">
        <f>#REF!</f>
        <v>#REF!</v>
      </c>
      <c r="C36" s="15" t="e">
        <f>#REF!</f>
        <v>#REF!</v>
      </c>
      <c r="D36" s="20" t="s">
        <v>173</v>
      </c>
      <c r="E36" s="30" t="str">
        <f t="shared" si="9"/>
        <v>Pending</v>
      </c>
      <c r="F36" s="30" t="str">
        <f t="shared" si="10"/>
        <v>Pass:  0     /Accept:  0/     Fail:  0/     NT:  0</v>
      </c>
      <c r="G36" s="29" t="e">
        <f>IF(#REF!&lt;&gt;"N/A",Priority!$C36,"")</f>
        <v>#REF!</v>
      </c>
      <c r="H36" s="29" t="e">
        <f>IF(#REF!&lt;&gt;"N/A",Priority!$C36,"")</f>
        <v>#REF!</v>
      </c>
      <c r="I36" s="29" t="e">
        <f>IF(#REF!&lt;&gt;"N/A",Priority!$C36,"")</f>
        <v>#REF!</v>
      </c>
      <c r="J36" s="29" t="e">
        <f>IF(#REF!&lt;&gt;"N/A",Priority!$C36,"")</f>
        <v>#REF!</v>
      </c>
      <c r="K36" s="29" t="e">
        <f>IF(#REF!&lt;&gt;"N/A",Priority!$C36,"")</f>
        <v>#REF!</v>
      </c>
      <c r="L36" s="31"/>
      <c r="M36" s="29" t="e">
        <f>IF(#REF!&lt;&gt;"N/A",Priority!$C36,"")</f>
        <v>#REF!</v>
      </c>
      <c r="N36" s="29" t="e">
        <f>IF(#REF!&lt;&gt;"N/A",Priority!$C36,"")</f>
        <v>#REF!</v>
      </c>
      <c r="O36" s="29" t="e">
        <f>IF(#REF!&lt;&gt;"N/A",Priority!$C36,"")</f>
        <v>#REF!</v>
      </c>
      <c r="P36" s="29" t="e">
        <f>IF(#REF!&lt;&gt;"N/A",Priority!$C36,"")</f>
        <v>#REF!</v>
      </c>
      <c r="Q36" s="29" t="e">
        <f>IF(#REF!&lt;&gt;"N/A",Priority!$C36,"")</f>
        <v>#REF!</v>
      </c>
      <c r="R36" s="31"/>
      <c r="S36" s="29" t="e">
        <f>IF(#REF!&lt;&gt;"N/A",Priority!$C36,"")</f>
        <v>#REF!</v>
      </c>
      <c r="T36" s="29" t="e">
        <f>IF(#REF!&lt;&gt;"N/A",Priority!$C36,"")</f>
        <v>#REF!</v>
      </c>
      <c r="U36" s="29" t="e">
        <f>IF(#REF!&lt;&gt;"N/A",Priority!$C36,"")</f>
        <v>#REF!</v>
      </c>
      <c r="V36" s="29" t="e">
        <f>IF(#REF!&lt;&gt;"N/A",Priority!$C36,"")</f>
        <v>#REF!</v>
      </c>
      <c r="W36" s="29" t="e">
        <f>IF(#REF!&lt;&gt;"N/A",Priority!$C36,"")</f>
        <v>#REF!</v>
      </c>
      <c r="X36" s="29" t="e">
        <f>IF(#REF!&lt;&gt;"N/A",Priority!$C36,"")</f>
        <v>#REF!</v>
      </c>
      <c r="Y36" s="31"/>
      <c r="Z36" s="29" t="e">
        <f>IF(#REF!&lt;&gt;"N/A",Priority!$C36,"")</f>
        <v>#REF!</v>
      </c>
      <c r="AA36" s="29" t="e">
        <f>IF(#REF!&lt;&gt;"N/A",Priority!$C36,"")</f>
        <v>#REF!</v>
      </c>
      <c r="AB36" s="29" t="e">
        <f>IF(#REF!&lt;&gt;"N/A",Priority!$C36,"")</f>
        <v>#REF!</v>
      </c>
      <c r="AC36" s="29" t="e">
        <f>IF(#REF!&lt;&gt;"N/A",Priority!$C36,"")</f>
        <v>#REF!</v>
      </c>
      <c r="AD36" s="29" t="e">
        <f>IF(#REF!&lt;&gt;"N/A",Priority!$C36,"")</f>
        <v>#REF!</v>
      </c>
      <c r="AE36" s="29" t="e">
        <f>IF(#REF!&lt;&gt;"N/A",Priority!$C36,"")</f>
        <v>#REF!</v>
      </c>
      <c r="AF36" s="29" t="e">
        <f>IF(#REF!&lt;&gt;"N/A",Priority!$C36,"")</f>
        <v>#REF!</v>
      </c>
      <c r="AG36" s="29" t="e">
        <f>IF(#REF!&lt;&gt;"N/A",Priority!$C36,"")</f>
        <v>#REF!</v>
      </c>
      <c r="AH36" s="29" t="e">
        <f>IF(#REF!&lt;&gt;"N/A",Priority!$C36,"")</f>
        <v>#REF!</v>
      </c>
      <c r="AI36" s="29" t="e">
        <f>IF(#REF!&lt;&gt;"N/A",Priority!$C36,"")</f>
        <v>#REF!</v>
      </c>
      <c r="AJ36" s="31"/>
      <c r="AK36" s="29" t="e">
        <f>IF(#REF!&lt;&gt;"N/A",Priority!$C36,"")</f>
        <v>#REF!</v>
      </c>
      <c r="AL36" s="29" t="e">
        <f>IF(#REF!&lt;&gt;"N/A",Priority!$C36,"")</f>
        <v>#REF!</v>
      </c>
      <c r="AM36" s="29" t="e">
        <f>IF(#REF!&lt;&gt;"N/A",Priority!$C36,"")</f>
        <v>#REF!</v>
      </c>
      <c r="AN36" s="29" t="e">
        <f>IF(#REF!&lt;&gt;"N/A",Priority!$C36,"")</f>
        <v>#REF!</v>
      </c>
      <c r="AO36" s="29" t="e">
        <f>IF(#REF!&lt;&gt;"N/A",Priority!$C36,"")</f>
        <v>#REF!</v>
      </c>
      <c r="AP36" s="29" t="e">
        <f>IF(#REF!&lt;&gt;"N/A",Priority!$C36,"")</f>
        <v>#REF!</v>
      </c>
      <c r="AQ36" s="29" t="e">
        <f>IF(#REF!&lt;&gt;"N/A",Priority!$C36,"")</f>
        <v>#REF!</v>
      </c>
      <c r="AR36" s="29" t="e">
        <f>IF(#REF!&lt;&gt;"N/A",Priority!$C36,"")</f>
        <v>#REF!</v>
      </c>
      <c r="AS36" s="29" t="e">
        <f>IF(#REF!&lt;&gt;"N/A",Priority!$C36,"")</f>
        <v>#REF!</v>
      </c>
      <c r="AT36" s="29" t="e">
        <f>IF(#REF!&lt;&gt;"N/A",Priority!$C36,"")</f>
        <v>#REF!</v>
      </c>
      <c r="AU36" s="31"/>
      <c r="AV36" s="29" t="e">
        <f>IF(#REF!&lt;&gt;"N/A",Priority!$C36,"")</f>
        <v>#REF!</v>
      </c>
      <c r="AW36" s="29" t="e">
        <f>IF(#REF!&lt;&gt;"N/A",Priority!$C36,"")</f>
        <v>#REF!</v>
      </c>
      <c r="AX36" s="29" t="e">
        <f>IF(#REF!&lt;&gt;"N/A",Priority!$C36,"")</f>
        <v>#REF!</v>
      </c>
      <c r="AY36" s="29" t="e">
        <f>IF(#REF!&lt;&gt;"N/A",Priority!$C36,"")</f>
        <v>#REF!</v>
      </c>
      <c r="AZ36" s="29" t="e">
        <f>IF(#REF!&lt;&gt;"N/A",Priority!$C36,"")</f>
        <v>#REF!</v>
      </c>
      <c r="BA36" s="29" t="e">
        <f>IF(#REF!&lt;&gt;"N/A",Priority!$C36,"")</f>
        <v>#REF!</v>
      </c>
      <c r="BB36" s="29" t="e">
        <f>IF(#REF!&lt;&gt;"N/A",Priority!$C36,"")</f>
        <v>#REF!</v>
      </c>
      <c r="BC36" s="31"/>
      <c r="BD36" s="29" t="e">
        <f>IF(#REF!&lt;&gt;"N/A",Priority!$C36,"")</f>
        <v>#REF!</v>
      </c>
      <c r="BE36" s="29" t="e">
        <f>IF(#REF!&lt;&gt;"N/A",Priority!$C36,"")</f>
        <v>#REF!</v>
      </c>
      <c r="BF36" s="29" t="e">
        <f>IF(#REF!&lt;&gt;"N/A",Priority!$C36,"")</f>
        <v>#REF!</v>
      </c>
      <c r="BG36" s="29" t="e">
        <f>IF(#REF!&lt;&gt;"N/A",Priority!$C36,"")</f>
        <v>#REF!</v>
      </c>
      <c r="BH36" s="29" t="e">
        <f>IF(#REF!&lt;&gt;"N/A",Priority!$C36,"")</f>
        <v>#REF!</v>
      </c>
      <c r="BI36" s="29" t="e">
        <f>IF(#REF!&lt;&gt;"N/A",Priority!$C36,"")</f>
        <v>#REF!</v>
      </c>
      <c r="BJ36" s="29" t="e">
        <f>IF(#REF!&lt;&gt;"N/A",Priority!$C36,"")</f>
        <v>#REF!</v>
      </c>
      <c r="BK36" s="29" t="e">
        <f>IF(#REF!&lt;&gt;"N/A",Priority!$C36,"")</f>
        <v>#REF!</v>
      </c>
      <c r="BL36" s="29" t="e">
        <f>IF(#REF!&lt;&gt;"N/A",Priority!$C36,"")</f>
        <v>#REF!</v>
      </c>
      <c r="BM36" s="31"/>
      <c r="BN36" s="29" t="e">
        <f>IF(#REF!&lt;&gt;"N/A",Priority!$C36,"")</f>
        <v>#REF!</v>
      </c>
      <c r="BO36" s="29" t="e">
        <f>IF(#REF!&lt;&gt;"N/A",Priority!$C36,"")</f>
        <v>#REF!</v>
      </c>
      <c r="BP36" s="29" t="e">
        <f>IF(#REF!&lt;&gt;"N/A",Priority!$C36,"")</f>
        <v>#REF!</v>
      </c>
      <c r="BQ36" s="29" t="e">
        <f>IF(#REF!&lt;&gt;"N/A",Priority!$C36,"")</f>
        <v>#REF!</v>
      </c>
      <c r="BR36" s="29" t="e">
        <f>IF(#REF!&lt;&gt;"N/A",Priority!$C36,"")</f>
        <v>#REF!</v>
      </c>
      <c r="BS36" s="29" t="e">
        <f>IF(#REF!&lt;&gt;"N/A",Priority!$C36,"")</f>
        <v>#REF!</v>
      </c>
      <c r="BT36" s="29" t="e">
        <f>IF(#REF!&lt;&gt;"N/A",Priority!$C36,"")</f>
        <v>#REF!</v>
      </c>
      <c r="BU36" s="31"/>
      <c r="BV36" s="29" t="e">
        <f>IF(#REF!&lt;&gt;"N/A",Priority!$C36,"")</f>
        <v>#REF!</v>
      </c>
      <c r="BW36" s="29" t="e">
        <f>IF(#REF!&lt;&gt;"N/A",Priority!$C36,"")</f>
        <v>#REF!</v>
      </c>
      <c r="BX36" s="29" t="e">
        <f>IF(#REF!&lt;&gt;"N/A",Priority!$C36,"")</f>
        <v>#REF!</v>
      </c>
      <c r="BY36" s="29" t="e">
        <f>IF(#REF!&lt;&gt;"N/A",Priority!$C36,"")</f>
        <v>#REF!</v>
      </c>
      <c r="BZ36" s="29" t="e">
        <f>IF(#REF!&lt;&gt;"N/A",Priority!$C36,"")</f>
        <v>#REF!</v>
      </c>
      <c r="CA36" s="29" t="e">
        <f>IF(#REF!&lt;&gt;"N/A",Priority!$C36,"")</f>
        <v>#REF!</v>
      </c>
      <c r="CB36" s="31"/>
      <c r="CC36" s="29" t="e">
        <f>IF(#REF!&lt;&gt;"N/A",Priority!$C36,"")</f>
        <v>#REF!</v>
      </c>
      <c r="CD36" s="29" t="e">
        <f>IF(#REF!&lt;&gt;"N/A",Priority!$C36,"")</f>
        <v>#REF!</v>
      </c>
      <c r="CE36" s="29" t="e">
        <f>IF(#REF!&lt;&gt;"N/A",Priority!$C36,"")</f>
        <v>#REF!</v>
      </c>
      <c r="CF36" s="29" t="e">
        <f>IF(#REF!&lt;&gt;"N/A",Priority!$C36,"")</f>
        <v>#REF!</v>
      </c>
    </row>
    <row r="37" spans="1:84" ht="30">
      <c r="A37" s="15" t="e">
        <f>#REF!</f>
        <v>#REF!</v>
      </c>
      <c r="B37" s="15" t="e">
        <f>#REF!</f>
        <v>#REF!</v>
      </c>
      <c r="C37" s="15" t="e">
        <f>#REF!</f>
        <v>#REF!</v>
      </c>
      <c r="D37" s="20" t="s">
        <v>173</v>
      </c>
      <c r="E37" s="30" t="str">
        <f t="shared" si="9"/>
        <v>Pending</v>
      </c>
      <c r="F37" s="30" t="str">
        <f t="shared" si="10"/>
        <v>Pass:  0     /Accept:  0/     Fail:  0/     NT:  0</v>
      </c>
      <c r="G37" s="29" t="e">
        <f>IF(#REF!&lt;&gt;"N/A",Priority!$C37,"")</f>
        <v>#REF!</v>
      </c>
      <c r="H37" s="29" t="e">
        <f>IF(#REF!&lt;&gt;"N/A",Priority!$C37,"")</f>
        <v>#REF!</v>
      </c>
      <c r="I37" s="29" t="e">
        <f>IF(#REF!&lt;&gt;"N/A",Priority!$C37,"")</f>
        <v>#REF!</v>
      </c>
      <c r="J37" s="29" t="e">
        <f>IF(#REF!&lt;&gt;"N/A",Priority!$C37,"")</f>
        <v>#REF!</v>
      </c>
      <c r="K37" s="29" t="e">
        <f>IF(#REF!&lt;&gt;"N/A",Priority!$C37,"")</f>
        <v>#REF!</v>
      </c>
      <c r="L37" s="31"/>
      <c r="M37" s="29" t="e">
        <f>IF(#REF!&lt;&gt;"N/A",Priority!$C37,"")</f>
        <v>#REF!</v>
      </c>
      <c r="N37" s="29" t="e">
        <f>IF(#REF!&lt;&gt;"N/A",Priority!$C37,"")</f>
        <v>#REF!</v>
      </c>
      <c r="O37" s="29" t="e">
        <f>IF(#REF!&lt;&gt;"N/A",Priority!$C37,"")</f>
        <v>#REF!</v>
      </c>
      <c r="P37" s="29" t="e">
        <f>IF(#REF!&lt;&gt;"N/A",Priority!$C37,"")</f>
        <v>#REF!</v>
      </c>
      <c r="Q37" s="29" t="e">
        <f>IF(#REF!&lt;&gt;"N/A",Priority!$C37,"")</f>
        <v>#REF!</v>
      </c>
      <c r="R37" s="31"/>
      <c r="S37" s="29" t="e">
        <f>IF(#REF!&lt;&gt;"N/A",Priority!$C37,"")</f>
        <v>#REF!</v>
      </c>
      <c r="T37" s="29" t="e">
        <f>IF(#REF!&lt;&gt;"N/A",Priority!$C37,"")</f>
        <v>#REF!</v>
      </c>
      <c r="U37" s="29" t="e">
        <f>IF(#REF!&lt;&gt;"N/A",Priority!$C37,"")</f>
        <v>#REF!</v>
      </c>
      <c r="V37" s="29" t="e">
        <f>IF(#REF!&lt;&gt;"N/A",Priority!$C37,"")</f>
        <v>#REF!</v>
      </c>
      <c r="W37" s="29" t="e">
        <f>IF(#REF!&lt;&gt;"N/A",Priority!$C37,"")</f>
        <v>#REF!</v>
      </c>
      <c r="X37" s="29" t="e">
        <f>IF(#REF!&lt;&gt;"N/A",Priority!$C37,"")</f>
        <v>#REF!</v>
      </c>
      <c r="Y37" s="31"/>
      <c r="Z37" s="29" t="e">
        <f>IF(#REF!&lt;&gt;"N/A",Priority!$C37,"")</f>
        <v>#REF!</v>
      </c>
      <c r="AA37" s="29" t="e">
        <f>IF(#REF!&lt;&gt;"N/A",Priority!$C37,"")</f>
        <v>#REF!</v>
      </c>
      <c r="AB37" s="29" t="e">
        <f>IF(#REF!&lt;&gt;"N/A",Priority!$C37,"")</f>
        <v>#REF!</v>
      </c>
      <c r="AC37" s="29" t="e">
        <f>IF(#REF!&lt;&gt;"N/A",Priority!$C37,"")</f>
        <v>#REF!</v>
      </c>
      <c r="AD37" s="29" t="e">
        <f>IF(#REF!&lt;&gt;"N/A",Priority!$C37,"")</f>
        <v>#REF!</v>
      </c>
      <c r="AE37" s="29" t="e">
        <f>IF(#REF!&lt;&gt;"N/A",Priority!$C37,"")</f>
        <v>#REF!</v>
      </c>
      <c r="AF37" s="29" t="e">
        <f>IF(#REF!&lt;&gt;"N/A",Priority!$C37,"")</f>
        <v>#REF!</v>
      </c>
      <c r="AG37" s="29" t="e">
        <f>IF(#REF!&lt;&gt;"N/A",Priority!$C37,"")</f>
        <v>#REF!</v>
      </c>
      <c r="AH37" s="29" t="e">
        <f>IF(#REF!&lt;&gt;"N/A",Priority!$C37,"")</f>
        <v>#REF!</v>
      </c>
      <c r="AI37" s="29" t="e">
        <f>IF(#REF!&lt;&gt;"N/A",Priority!$C37,"")</f>
        <v>#REF!</v>
      </c>
      <c r="AJ37" s="31"/>
      <c r="AK37" s="29" t="e">
        <f>IF(#REF!&lt;&gt;"N/A",Priority!$C37,"")</f>
        <v>#REF!</v>
      </c>
      <c r="AL37" s="29" t="e">
        <f>IF(#REF!&lt;&gt;"N/A",Priority!$C37,"")</f>
        <v>#REF!</v>
      </c>
      <c r="AM37" s="29" t="e">
        <f>IF(#REF!&lt;&gt;"N/A",Priority!$C37,"")</f>
        <v>#REF!</v>
      </c>
      <c r="AN37" s="29" t="e">
        <f>IF(#REF!&lt;&gt;"N/A",Priority!$C37,"")</f>
        <v>#REF!</v>
      </c>
      <c r="AO37" s="29" t="e">
        <f>IF(#REF!&lt;&gt;"N/A",Priority!$C37,"")</f>
        <v>#REF!</v>
      </c>
      <c r="AP37" s="29" t="e">
        <f>IF(#REF!&lt;&gt;"N/A",Priority!$C37,"")</f>
        <v>#REF!</v>
      </c>
      <c r="AQ37" s="29" t="e">
        <f>IF(#REF!&lt;&gt;"N/A",Priority!$C37,"")</f>
        <v>#REF!</v>
      </c>
      <c r="AR37" s="29" t="e">
        <f>IF(#REF!&lt;&gt;"N/A",Priority!$C37,"")</f>
        <v>#REF!</v>
      </c>
      <c r="AS37" s="29" t="e">
        <f>IF(#REF!&lt;&gt;"N/A",Priority!$C37,"")</f>
        <v>#REF!</v>
      </c>
      <c r="AT37" s="29" t="e">
        <f>IF(#REF!&lt;&gt;"N/A",Priority!$C37,"")</f>
        <v>#REF!</v>
      </c>
      <c r="AU37" s="31"/>
      <c r="AV37" s="29" t="e">
        <f>IF(#REF!&lt;&gt;"N/A",Priority!$C37,"")</f>
        <v>#REF!</v>
      </c>
      <c r="AW37" s="29" t="e">
        <f>IF(#REF!&lt;&gt;"N/A",Priority!$C37,"")</f>
        <v>#REF!</v>
      </c>
      <c r="AX37" s="29" t="e">
        <f>IF(#REF!&lt;&gt;"N/A",Priority!$C37,"")</f>
        <v>#REF!</v>
      </c>
      <c r="AY37" s="29" t="e">
        <f>IF(#REF!&lt;&gt;"N/A",Priority!$C37,"")</f>
        <v>#REF!</v>
      </c>
      <c r="AZ37" s="29" t="e">
        <f>IF(#REF!&lt;&gt;"N/A",Priority!$C37,"")</f>
        <v>#REF!</v>
      </c>
      <c r="BA37" s="29" t="e">
        <f>IF(#REF!&lt;&gt;"N/A",Priority!$C37,"")</f>
        <v>#REF!</v>
      </c>
      <c r="BB37" s="29" t="e">
        <f>IF(#REF!&lt;&gt;"N/A",Priority!$C37,"")</f>
        <v>#REF!</v>
      </c>
      <c r="BC37" s="31"/>
      <c r="BD37" s="29" t="e">
        <f>IF(#REF!&lt;&gt;"N/A",Priority!$C37,"")</f>
        <v>#REF!</v>
      </c>
      <c r="BE37" s="29" t="e">
        <f>IF(#REF!&lt;&gt;"N/A",Priority!$C37,"")</f>
        <v>#REF!</v>
      </c>
      <c r="BF37" s="29" t="e">
        <f>IF(#REF!&lt;&gt;"N/A",Priority!$C37,"")</f>
        <v>#REF!</v>
      </c>
      <c r="BG37" s="29" t="e">
        <f>IF(#REF!&lt;&gt;"N/A",Priority!$C37,"")</f>
        <v>#REF!</v>
      </c>
      <c r="BH37" s="29" t="e">
        <f>IF(#REF!&lt;&gt;"N/A",Priority!$C37,"")</f>
        <v>#REF!</v>
      </c>
      <c r="BI37" s="29" t="e">
        <f>IF(#REF!&lt;&gt;"N/A",Priority!$C37,"")</f>
        <v>#REF!</v>
      </c>
      <c r="BJ37" s="29" t="e">
        <f>IF(#REF!&lt;&gt;"N/A",Priority!$C37,"")</f>
        <v>#REF!</v>
      </c>
      <c r="BK37" s="29" t="e">
        <f>IF(#REF!&lt;&gt;"N/A",Priority!$C37,"")</f>
        <v>#REF!</v>
      </c>
      <c r="BL37" s="29" t="e">
        <f>IF(#REF!&lt;&gt;"N/A",Priority!$C37,"")</f>
        <v>#REF!</v>
      </c>
      <c r="BM37" s="31"/>
      <c r="BN37" s="29" t="e">
        <f>IF(#REF!&lt;&gt;"N/A",Priority!$C37,"")</f>
        <v>#REF!</v>
      </c>
      <c r="BO37" s="29" t="e">
        <f>IF(#REF!&lt;&gt;"N/A",Priority!$C37,"")</f>
        <v>#REF!</v>
      </c>
      <c r="BP37" s="29" t="e">
        <f>IF(#REF!&lt;&gt;"N/A",Priority!$C37,"")</f>
        <v>#REF!</v>
      </c>
      <c r="BQ37" s="29" t="e">
        <f>IF(#REF!&lt;&gt;"N/A",Priority!$C37,"")</f>
        <v>#REF!</v>
      </c>
      <c r="BR37" s="29" t="e">
        <f>IF(#REF!&lt;&gt;"N/A",Priority!$C37,"")</f>
        <v>#REF!</v>
      </c>
      <c r="BS37" s="29" t="e">
        <f>IF(#REF!&lt;&gt;"N/A",Priority!$C37,"")</f>
        <v>#REF!</v>
      </c>
      <c r="BT37" s="29" t="e">
        <f>IF(#REF!&lt;&gt;"N/A",Priority!$C37,"")</f>
        <v>#REF!</v>
      </c>
      <c r="BU37" s="31"/>
      <c r="BV37" s="29" t="e">
        <f>IF(#REF!&lt;&gt;"N/A",Priority!$C37,"")</f>
        <v>#REF!</v>
      </c>
      <c r="BW37" s="29" t="e">
        <f>IF(#REF!&lt;&gt;"N/A",Priority!$C37,"")</f>
        <v>#REF!</v>
      </c>
      <c r="BX37" s="29" t="e">
        <f>IF(#REF!&lt;&gt;"N/A",Priority!$C37,"")</f>
        <v>#REF!</v>
      </c>
      <c r="BY37" s="29" t="e">
        <f>IF(#REF!&lt;&gt;"N/A",Priority!$C37,"")</f>
        <v>#REF!</v>
      </c>
      <c r="BZ37" s="29" t="e">
        <f>IF(#REF!&lt;&gt;"N/A",Priority!$C37,"")</f>
        <v>#REF!</v>
      </c>
      <c r="CA37" s="29" t="e">
        <f>IF(#REF!&lt;&gt;"N/A",Priority!$C37,"")</f>
        <v>#REF!</v>
      </c>
      <c r="CB37" s="31"/>
      <c r="CC37" s="29" t="e">
        <f>IF(#REF!&lt;&gt;"N/A",Priority!$C37,"")</f>
        <v>#REF!</v>
      </c>
      <c r="CD37" s="29" t="e">
        <f>IF(#REF!&lt;&gt;"N/A",Priority!$C37,"")</f>
        <v>#REF!</v>
      </c>
      <c r="CE37" s="29" t="e">
        <f>IF(#REF!&lt;&gt;"N/A",Priority!$C37,"")</f>
        <v>#REF!</v>
      </c>
      <c r="CF37" s="29" t="e">
        <f>IF(#REF!&lt;&gt;"N/A",Priority!$C37,"")</f>
        <v>#REF!</v>
      </c>
    </row>
    <row r="38" spans="1:84" ht="30">
      <c r="A38" s="15" t="e">
        <f>#REF!</f>
        <v>#REF!</v>
      </c>
      <c r="B38" s="15" t="e">
        <f>#REF!</f>
        <v>#REF!</v>
      </c>
      <c r="C38" s="15" t="e">
        <f>#REF!</f>
        <v>#REF!</v>
      </c>
      <c r="D38" s="20" t="s">
        <v>173</v>
      </c>
      <c r="E38" s="30" t="str">
        <f t="shared" si="9"/>
        <v>Pending</v>
      </c>
      <c r="F38" s="30" t="str">
        <f t="shared" si="10"/>
        <v>Pass:  0     /Accept:  0/     Fail:  0/     NT:  0</v>
      </c>
      <c r="G38" s="29" t="e">
        <f>IF(#REF!&lt;&gt;"N/A",Priority!$C38,"")</f>
        <v>#REF!</v>
      </c>
      <c r="H38" s="29" t="e">
        <f>IF(#REF!&lt;&gt;"N/A",Priority!$C38,"")</f>
        <v>#REF!</v>
      </c>
      <c r="I38" s="29" t="e">
        <f>IF(#REF!&lt;&gt;"N/A",Priority!$C38,"")</f>
        <v>#REF!</v>
      </c>
      <c r="J38" s="29" t="e">
        <f>IF(#REF!&lt;&gt;"N/A",Priority!$C38,"")</f>
        <v>#REF!</v>
      </c>
      <c r="K38" s="29" t="e">
        <f>IF(#REF!&lt;&gt;"N/A",Priority!$C38,"")</f>
        <v>#REF!</v>
      </c>
      <c r="L38" s="31"/>
      <c r="M38" s="29" t="e">
        <f>IF(#REF!&lt;&gt;"N/A",Priority!$C38,"")</f>
        <v>#REF!</v>
      </c>
      <c r="N38" s="29" t="e">
        <f>IF(#REF!&lt;&gt;"N/A",Priority!$C38,"")</f>
        <v>#REF!</v>
      </c>
      <c r="O38" s="29" t="e">
        <f>IF(#REF!&lt;&gt;"N/A",Priority!$C38,"")</f>
        <v>#REF!</v>
      </c>
      <c r="P38" s="29" t="e">
        <f>IF(#REF!&lt;&gt;"N/A",Priority!$C38,"")</f>
        <v>#REF!</v>
      </c>
      <c r="Q38" s="29" t="e">
        <f>IF(#REF!&lt;&gt;"N/A",Priority!$C38,"")</f>
        <v>#REF!</v>
      </c>
      <c r="R38" s="31"/>
      <c r="S38" s="29" t="e">
        <f>IF(#REF!&lt;&gt;"N/A",Priority!$C38,"")</f>
        <v>#REF!</v>
      </c>
      <c r="T38" s="29" t="e">
        <f>IF(#REF!&lt;&gt;"N/A",Priority!$C38,"")</f>
        <v>#REF!</v>
      </c>
      <c r="U38" s="29" t="e">
        <f>IF(#REF!&lt;&gt;"N/A",Priority!$C38,"")</f>
        <v>#REF!</v>
      </c>
      <c r="V38" s="29" t="e">
        <f>IF(#REF!&lt;&gt;"N/A",Priority!$C38,"")</f>
        <v>#REF!</v>
      </c>
      <c r="W38" s="29" t="e">
        <f>IF(#REF!&lt;&gt;"N/A",Priority!$C38,"")</f>
        <v>#REF!</v>
      </c>
      <c r="X38" s="29" t="e">
        <f>IF(#REF!&lt;&gt;"N/A",Priority!$C38,"")</f>
        <v>#REF!</v>
      </c>
      <c r="Y38" s="31"/>
      <c r="Z38" s="29" t="e">
        <f>IF(#REF!&lt;&gt;"N/A",Priority!$C38,"")</f>
        <v>#REF!</v>
      </c>
      <c r="AA38" s="29" t="e">
        <f>IF(#REF!&lt;&gt;"N/A",Priority!$C38,"")</f>
        <v>#REF!</v>
      </c>
      <c r="AB38" s="29" t="e">
        <f>IF(#REF!&lt;&gt;"N/A",Priority!$C38,"")</f>
        <v>#REF!</v>
      </c>
      <c r="AC38" s="29" t="e">
        <f>IF(#REF!&lt;&gt;"N/A",Priority!$C38,"")</f>
        <v>#REF!</v>
      </c>
      <c r="AD38" s="29" t="e">
        <f>IF(#REF!&lt;&gt;"N/A",Priority!$C38,"")</f>
        <v>#REF!</v>
      </c>
      <c r="AE38" s="29" t="e">
        <f>IF(#REF!&lt;&gt;"N/A",Priority!$C38,"")</f>
        <v>#REF!</v>
      </c>
      <c r="AF38" s="29" t="e">
        <f>IF(#REF!&lt;&gt;"N/A",Priority!$C38,"")</f>
        <v>#REF!</v>
      </c>
      <c r="AG38" s="29" t="e">
        <f>IF(#REF!&lt;&gt;"N/A",Priority!$C38,"")</f>
        <v>#REF!</v>
      </c>
      <c r="AH38" s="29" t="e">
        <f>IF(#REF!&lt;&gt;"N/A",Priority!$C38,"")</f>
        <v>#REF!</v>
      </c>
      <c r="AI38" s="29" t="e">
        <f>IF(#REF!&lt;&gt;"N/A",Priority!$C38,"")</f>
        <v>#REF!</v>
      </c>
      <c r="AJ38" s="31"/>
      <c r="AK38" s="29" t="e">
        <f>IF(#REF!&lt;&gt;"N/A",Priority!$C38,"")</f>
        <v>#REF!</v>
      </c>
      <c r="AL38" s="29" t="e">
        <f>IF(#REF!&lt;&gt;"N/A",Priority!$C38,"")</f>
        <v>#REF!</v>
      </c>
      <c r="AM38" s="29" t="e">
        <f>IF(#REF!&lt;&gt;"N/A",Priority!$C38,"")</f>
        <v>#REF!</v>
      </c>
      <c r="AN38" s="29" t="e">
        <f>IF(#REF!&lt;&gt;"N/A",Priority!$C38,"")</f>
        <v>#REF!</v>
      </c>
      <c r="AO38" s="29" t="e">
        <f>IF(#REF!&lt;&gt;"N/A",Priority!$C38,"")</f>
        <v>#REF!</v>
      </c>
      <c r="AP38" s="29" t="e">
        <f>IF(#REF!&lt;&gt;"N/A",Priority!$C38,"")</f>
        <v>#REF!</v>
      </c>
      <c r="AQ38" s="29" t="e">
        <f>IF(#REF!&lt;&gt;"N/A",Priority!$C38,"")</f>
        <v>#REF!</v>
      </c>
      <c r="AR38" s="29" t="e">
        <f>IF(#REF!&lt;&gt;"N/A",Priority!$C38,"")</f>
        <v>#REF!</v>
      </c>
      <c r="AS38" s="29" t="e">
        <f>IF(#REF!&lt;&gt;"N/A",Priority!$C38,"")</f>
        <v>#REF!</v>
      </c>
      <c r="AT38" s="29" t="e">
        <f>IF(#REF!&lt;&gt;"N/A",Priority!$C38,"")</f>
        <v>#REF!</v>
      </c>
      <c r="AU38" s="31"/>
      <c r="AV38" s="29" t="e">
        <f>IF(#REF!&lt;&gt;"N/A",Priority!$C38,"")</f>
        <v>#REF!</v>
      </c>
      <c r="AW38" s="29" t="e">
        <f>IF(#REF!&lt;&gt;"N/A",Priority!$C38,"")</f>
        <v>#REF!</v>
      </c>
      <c r="AX38" s="29" t="e">
        <f>IF(#REF!&lt;&gt;"N/A",Priority!$C38,"")</f>
        <v>#REF!</v>
      </c>
      <c r="AY38" s="29" t="e">
        <f>IF(#REF!&lt;&gt;"N/A",Priority!$C38,"")</f>
        <v>#REF!</v>
      </c>
      <c r="AZ38" s="29" t="e">
        <f>IF(#REF!&lt;&gt;"N/A",Priority!$C38,"")</f>
        <v>#REF!</v>
      </c>
      <c r="BA38" s="29" t="e">
        <f>IF(#REF!&lt;&gt;"N/A",Priority!$C38,"")</f>
        <v>#REF!</v>
      </c>
      <c r="BB38" s="29" t="e">
        <f>IF(#REF!&lt;&gt;"N/A",Priority!$C38,"")</f>
        <v>#REF!</v>
      </c>
      <c r="BC38" s="31"/>
      <c r="BD38" s="29" t="e">
        <f>IF(#REF!&lt;&gt;"N/A",Priority!$C38,"")</f>
        <v>#REF!</v>
      </c>
      <c r="BE38" s="29" t="e">
        <f>IF(#REF!&lt;&gt;"N/A",Priority!$C38,"")</f>
        <v>#REF!</v>
      </c>
      <c r="BF38" s="29" t="e">
        <f>IF(#REF!&lt;&gt;"N/A",Priority!$C38,"")</f>
        <v>#REF!</v>
      </c>
      <c r="BG38" s="29" t="e">
        <f>IF(#REF!&lt;&gt;"N/A",Priority!$C38,"")</f>
        <v>#REF!</v>
      </c>
      <c r="BH38" s="29" t="e">
        <f>IF(#REF!&lt;&gt;"N/A",Priority!$C38,"")</f>
        <v>#REF!</v>
      </c>
      <c r="BI38" s="29" t="e">
        <f>IF(#REF!&lt;&gt;"N/A",Priority!$C38,"")</f>
        <v>#REF!</v>
      </c>
      <c r="BJ38" s="29" t="e">
        <f>IF(#REF!&lt;&gt;"N/A",Priority!$C38,"")</f>
        <v>#REF!</v>
      </c>
      <c r="BK38" s="29" t="e">
        <f>IF(#REF!&lt;&gt;"N/A",Priority!$C38,"")</f>
        <v>#REF!</v>
      </c>
      <c r="BL38" s="29" t="e">
        <f>IF(#REF!&lt;&gt;"N/A",Priority!$C38,"")</f>
        <v>#REF!</v>
      </c>
      <c r="BM38" s="31"/>
      <c r="BN38" s="29" t="e">
        <f>IF(#REF!&lt;&gt;"N/A",Priority!$C38,"")</f>
        <v>#REF!</v>
      </c>
      <c r="BO38" s="29" t="e">
        <f>IF(#REF!&lt;&gt;"N/A",Priority!$C38,"")</f>
        <v>#REF!</v>
      </c>
      <c r="BP38" s="29" t="e">
        <f>IF(#REF!&lt;&gt;"N/A",Priority!$C38,"")</f>
        <v>#REF!</v>
      </c>
      <c r="BQ38" s="29" t="e">
        <f>IF(#REF!&lt;&gt;"N/A",Priority!$C38,"")</f>
        <v>#REF!</v>
      </c>
      <c r="BR38" s="29" t="e">
        <f>IF(#REF!&lt;&gt;"N/A",Priority!$C38,"")</f>
        <v>#REF!</v>
      </c>
      <c r="BS38" s="29" t="e">
        <f>IF(#REF!&lt;&gt;"N/A",Priority!$C38,"")</f>
        <v>#REF!</v>
      </c>
      <c r="BT38" s="29" t="e">
        <f>IF(#REF!&lt;&gt;"N/A",Priority!$C38,"")</f>
        <v>#REF!</v>
      </c>
      <c r="BU38" s="31"/>
      <c r="BV38" s="29" t="e">
        <f>IF(#REF!&lt;&gt;"N/A",Priority!$C38,"")</f>
        <v>#REF!</v>
      </c>
      <c r="BW38" s="29" t="e">
        <f>IF(#REF!&lt;&gt;"N/A",Priority!$C38,"")</f>
        <v>#REF!</v>
      </c>
      <c r="BX38" s="29" t="e">
        <f>IF(#REF!&lt;&gt;"N/A",Priority!$C38,"")</f>
        <v>#REF!</v>
      </c>
      <c r="BY38" s="29" t="e">
        <f>IF(#REF!&lt;&gt;"N/A",Priority!$C38,"")</f>
        <v>#REF!</v>
      </c>
      <c r="BZ38" s="29" t="e">
        <f>IF(#REF!&lt;&gt;"N/A",Priority!$C38,"")</f>
        <v>#REF!</v>
      </c>
      <c r="CA38" s="29" t="e">
        <f>IF(#REF!&lt;&gt;"N/A",Priority!$C38,"")</f>
        <v>#REF!</v>
      </c>
      <c r="CB38" s="31"/>
      <c r="CC38" s="29" t="e">
        <f>IF(#REF!&lt;&gt;"N/A",Priority!$C38,"")</f>
        <v>#REF!</v>
      </c>
      <c r="CD38" s="29" t="e">
        <f>IF(#REF!&lt;&gt;"N/A",Priority!$C38,"")</f>
        <v>#REF!</v>
      </c>
      <c r="CE38" s="29" t="e">
        <f>IF(#REF!&lt;&gt;"N/A",Priority!$C38,"")</f>
        <v>#REF!</v>
      </c>
      <c r="CF38" s="29" t="e">
        <f>IF(#REF!&lt;&gt;"N/A",Priority!$C38,"")</f>
        <v>#REF!</v>
      </c>
    </row>
    <row r="39" spans="1:84" ht="30">
      <c r="A39" s="15" t="e">
        <f>#REF!</f>
        <v>#REF!</v>
      </c>
      <c r="B39" s="15" t="e">
        <f>#REF!</f>
        <v>#REF!</v>
      </c>
      <c r="C39" s="15" t="e">
        <f>#REF!</f>
        <v>#REF!</v>
      </c>
      <c r="D39" s="20" t="s">
        <v>173</v>
      </c>
      <c r="E39" s="30" t="str">
        <f t="shared" si="9"/>
        <v>Pending</v>
      </c>
      <c r="F39" s="30" t="str">
        <f t="shared" si="10"/>
        <v>Pass:  0     /Accept:  0/     Fail:  0/     NT:  0</v>
      </c>
      <c r="G39" s="29" t="e">
        <f>IF(#REF!&lt;&gt;"N/A",Priority!$C39,"")</f>
        <v>#REF!</v>
      </c>
      <c r="H39" s="29" t="e">
        <f>IF(#REF!&lt;&gt;"N/A",Priority!$C39,"")</f>
        <v>#REF!</v>
      </c>
      <c r="I39" s="29" t="e">
        <f>IF(#REF!&lt;&gt;"N/A",Priority!$C39,"")</f>
        <v>#REF!</v>
      </c>
      <c r="J39" s="29" t="e">
        <f>IF(#REF!&lt;&gt;"N/A",Priority!$C39,"")</f>
        <v>#REF!</v>
      </c>
      <c r="K39" s="29" t="e">
        <f>IF(#REF!&lt;&gt;"N/A",Priority!$C39,"")</f>
        <v>#REF!</v>
      </c>
      <c r="L39" s="31"/>
      <c r="M39" s="29" t="e">
        <f>IF(#REF!&lt;&gt;"N/A",Priority!$C39,"")</f>
        <v>#REF!</v>
      </c>
      <c r="N39" s="29" t="e">
        <f>IF(#REF!&lt;&gt;"N/A",Priority!$C39,"")</f>
        <v>#REF!</v>
      </c>
      <c r="O39" s="29" t="e">
        <f>IF(#REF!&lt;&gt;"N/A",Priority!$C39,"")</f>
        <v>#REF!</v>
      </c>
      <c r="P39" s="29" t="e">
        <f>IF(#REF!&lt;&gt;"N/A",Priority!$C39,"")</f>
        <v>#REF!</v>
      </c>
      <c r="Q39" s="29" t="e">
        <f>IF(#REF!&lt;&gt;"N/A",Priority!$C39,"")</f>
        <v>#REF!</v>
      </c>
      <c r="R39" s="31"/>
      <c r="S39" s="29" t="e">
        <f>IF(#REF!&lt;&gt;"N/A",Priority!$C39,"")</f>
        <v>#REF!</v>
      </c>
      <c r="T39" s="29" t="e">
        <f>IF(#REF!&lt;&gt;"N/A",Priority!$C39,"")</f>
        <v>#REF!</v>
      </c>
      <c r="U39" s="29" t="e">
        <f>IF(#REF!&lt;&gt;"N/A",Priority!$C39,"")</f>
        <v>#REF!</v>
      </c>
      <c r="V39" s="29" t="e">
        <f>IF(#REF!&lt;&gt;"N/A",Priority!$C39,"")</f>
        <v>#REF!</v>
      </c>
      <c r="W39" s="29" t="e">
        <f>IF(#REF!&lt;&gt;"N/A",Priority!$C39,"")</f>
        <v>#REF!</v>
      </c>
      <c r="X39" s="29" t="e">
        <f>IF(#REF!&lt;&gt;"N/A",Priority!$C39,"")</f>
        <v>#REF!</v>
      </c>
      <c r="Y39" s="31"/>
      <c r="Z39" s="29" t="e">
        <f>IF(#REF!&lt;&gt;"N/A",Priority!$C39,"")</f>
        <v>#REF!</v>
      </c>
      <c r="AA39" s="29" t="e">
        <f>IF(#REF!&lt;&gt;"N/A",Priority!$C39,"")</f>
        <v>#REF!</v>
      </c>
      <c r="AB39" s="29" t="e">
        <f>IF(#REF!&lt;&gt;"N/A",Priority!$C39,"")</f>
        <v>#REF!</v>
      </c>
      <c r="AC39" s="29" t="e">
        <f>IF(#REF!&lt;&gt;"N/A",Priority!$C39,"")</f>
        <v>#REF!</v>
      </c>
      <c r="AD39" s="29" t="e">
        <f>IF(#REF!&lt;&gt;"N/A",Priority!$C39,"")</f>
        <v>#REF!</v>
      </c>
      <c r="AE39" s="29" t="e">
        <f>IF(#REF!&lt;&gt;"N/A",Priority!$C39,"")</f>
        <v>#REF!</v>
      </c>
      <c r="AF39" s="29" t="e">
        <f>IF(#REF!&lt;&gt;"N/A",Priority!$C39,"")</f>
        <v>#REF!</v>
      </c>
      <c r="AG39" s="29" t="e">
        <f>IF(#REF!&lt;&gt;"N/A",Priority!$C39,"")</f>
        <v>#REF!</v>
      </c>
      <c r="AH39" s="29" t="e">
        <f>IF(#REF!&lt;&gt;"N/A",Priority!$C39,"")</f>
        <v>#REF!</v>
      </c>
      <c r="AI39" s="29" t="e">
        <f>IF(#REF!&lt;&gt;"N/A",Priority!$C39,"")</f>
        <v>#REF!</v>
      </c>
      <c r="AJ39" s="31"/>
      <c r="AK39" s="29" t="e">
        <f>IF(#REF!&lt;&gt;"N/A",Priority!$C39,"")</f>
        <v>#REF!</v>
      </c>
      <c r="AL39" s="29" t="e">
        <f>IF(#REF!&lt;&gt;"N/A",Priority!$C39,"")</f>
        <v>#REF!</v>
      </c>
      <c r="AM39" s="29" t="e">
        <f>IF(#REF!&lt;&gt;"N/A",Priority!$C39,"")</f>
        <v>#REF!</v>
      </c>
      <c r="AN39" s="29" t="e">
        <f>IF(#REF!&lt;&gt;"N/A",Priority!$C39,"")</f>
        <v>#REF!</v>
      </c>
      <c r="AO39" s="29" t="e">
        <f>IF(#REF!&lt;&gt;"N/A",Priority!$C39,"")</f>
        <v>#REF!</v>
      </c>
      <c r="AP39" s="29" t="e">
        <f>IF(#REF!&lt;&gt;"N/A",Priority!$C39,"")</f>
        <v>#REF!</v>
      </c>
      <c r="AQ39" s="29" t="e">
        <f>IF(#REF!&lt;&gt;"N/A",Priority!$C39,"")</f>
        <v>#REF!</v>
      </c>
      <c r="AR39" s="29" t="e">
        <f>IF(#REF!&lt;&gt;"N/A",Priority!$C39,"")</f>
        <v>#REF!</v>
      </c>
      <c r="AS39" s="29" t="e">
        <f>IF(#REF!&lt;&gt;"N/A",Priority!$C39,"")</f>
        <v>#REF!</v>
      </c>
      <c r="AT39" s="29" t="e">
        <f>IF(#REF!&lt;&gt;"N/A",Priority!$C39,"")</f>
        <v>#REF!</v>
      </c>
      <c r="AU39" s="31"/>
      <c r="AV39" s="29" t="e">
        <f>IF(#REF!&lt;&gt;"N/A",Priority!$C39,"")</f>
        <v>#REF!</v>
      </c>
      <c r="AW39" s="29" t="e">
        <f>IF(#REF!&lt;&gt;"N/A",Priority!$C39,"")</f>
        <v>#REF!</v>
      </c>
      <c r="AX39" s="29" t="e">
        <f>IF(#REF!&lt;&gt;"N/A",Priority!$C39,"")</f>
        <v>#REF!</v>
      </c>
      <c r="AY39" s="29" t="e">
        <f>IF(#REF!&lt;&gt;"N/A",Priority!$C39,"")</f>
        <v>#REF!</v>
      </c>
      <c r="AZ39" s="29" t="e">
        <f>IF(#REF!&lt;&gt;"N/A",Priority!$C39,"")</f>
        <v>#REF!</v>
      </c>
      <c r="BA39" s="29" t="e">
        <f>IF(#REF!&lt;&gt;"N/A",Priority!$C39,"")</f>
        <v>#REF!</v>
      </c>
      <c r="BB39" s="29" t="e">
        <f>IF(#REF!&lt;&gt;"N/A",Priority!$C39,"")</f>
        <v>#REF!</v>
      </c>
      <c r="BC39" s="31"/>
      <c r="BD39" s="29" t="e">
        <f>IF(#REF!&lt;&gt;"N/A",Priority!$C39,"")</f>
        <v>#REF!</v>
      </c>
      <c r="BE39" s="29" t="e">
        <f>IF(#REF!&lt;&gt;"N/A",Priority!$C39,"")</f>
        <v>#REF!</v>
      </c>
      <c r="BF39" s="29" t="e">
        <f>IF(#REF!&lt;&gt;"N/A",Priority!$C39,"")</f>
        <v>#REF!</v>
      </c>
      <c r="BG39" s="29" t="e">
        <f>IF(#REF!&lt;&gt;"N/A",Priority!$C39,"")</f>
        <v>#REF!</v>
      </c>
      <c r="BH39" s="29" t="e">
        <f>IF(#REF!&lt;&gt;"N/A",Priority!$C39,"")</f>
        <v>#REF!</v>
      </c>
      <c r="BI39" s="29" t="e">
        <f>IF(#REF!&lt;&gt;"N/A",Priority!$C39,"")</f>
        <v>#REF!</v>
      </c>
      <c r="BJ39" s="29" t="e">
        <f>IF(#REF!&lt;&gt;"N/A",Priority!$C39,"")</f>
        <v>#REF!</v>
      </c>
      <c r="BK39" s="29" t="e">
        <f>IF(#REF!&lt;&gt;"N/A",Priority!$C39,"")</f>
        <v>#REF!</v>
      </c>
      <c r="BL39" s="29" t="e">
        <f>IF(#REF!&lt;&gt;"N/A",Priority!$C39,"")</f>
        <v>#REF!</v>
      </c>
      <c r="BM39" s="31"/>
      <c r="BN39" s="29" t="e">
        <f>IF(#REF!&lt;&gt;"N/A",Priority!$C39,"")</f>
        <v>#REF!</v>
      </c>
      <c r="BO39" s="29" t="e">
        <f>IF(#REF!&lt;&gt;"N/A",Priority!$C39,"")</f>
        <v>#REF!</v>
      </c>
      <c r="BP39" s="29" t="e">
        <f>IF(#REF!&lt;&gt;"N/A",Priority!$C39,"")</f>
        <v>#REF!</v>
      </c>
      <c r="BQ39" s="29" t="e">
        <f>IF(#REF!&lt;&gt;"N/A",Priority!$C39,"")</f>
        <v>#REF!</v>
      </c>
      <c r="BR39" s="29" t="e">
        <f>IF(#REF!&lt;&gt;"N/A",Priority!$C39,"")</f>
        <v>#REF!</v>
      </c>
      <c r="BS39" s="29" t="e">
        <f>IF(#REF!&lt;&gt;"N/A",Priority!$C39,"")</f>
        <v>#REF!</v>
      </c>
      <c r="BT39" s="29" t="e">
        <f>IF(#REF!&lt;&gt;"N/A",Priority!$C39,"")</f>
        <v>#REF!</v>
      </c>
      <c r="BU39" s="31"/>
      <c r="BV39" s="29" t="e">
        <f>IF(#REF!&lt;&gt;"N/A",Priority!$C39,"")</f>
        <v>#REF!</v>
      </c>
      <c r="BW39" s="29" t="e">
        <f>IF(#REF!&lt;&gt;"N/A",Priority!$C39,"")</f>
        <v>#REF!</v>
      </c>
      <c r="BX39" s="29" t="e">
        <f>IF(#REF!&lt;&gt;"N/A",Priority!$C39,"")</f>
        <v>#REF!</v>
      </c>
      <c r="BY39" s="29" t="e">
        <f>IF(#REF!&lt;&gt;"N/A",Priority!$C39,"")</f>
        <v>#REF!</v>
      </c>
      <c r="BZ39" s="29" t="e">
        <f>IF(#REF!&lt;&gt;"N/A",Priority!$C39,"")</f>
        <v>#REF!</v>
      </c>
      <c r="CA39" s="29" t="e">
        <f>IF(#REF!&lt;&gt;"N/A",Priority!$C39,"")</f>
        <v>#REF!</v>
      </c>
      <c r="CB39" s="31"/>
      <c r="CC39" s="29" t="e">
        <f>IF(#REF!&lt;&gt;"N/A",Priority!$C39,"")</f>
        <v>#REF!</v>
      </c>
      <c r="CD39" s="29" t="e">
        <f>IF(#REF!&lt;&gt;"N/A",Priority!$C39,"")</f>
        <v>#REF!</v>
      </c>
      <c r="CE39" s="29" t="e">
        <f>IF(#REF!&lt;&gt;"N/A",Priority!$C39,"")</f>
        <v>#REF!</v>
      </c>
      <c r="CF39" s="29" t="e">
        <f>IF(#REF!&lt;&gt;"N/A",Priority!$C39,"")</f>
        <v>#REF!</v>
      </c>
    </row>
    <row r="40" spans="1:84" ht="30">
      <c r="A40" s="15" t="e">
        <f>#REF!</f>
        <v>#REF!</v>
      </c>
      <c r="B40" s="15" t="e">
        <f>#REF!</f>
        <v>#REF!</v>
      </c>
      <c r="C40" s="15" t="e">
        <f>#REF!</f>
        <v>#REF!</v>
      </c>
      <c r="D40" s="20" t="s">
        <v>173</v>
      </c>
      <c r="E40" s="30" t="str">
        <f t="shared" si="9"/>
        <v>Pending</v>
      </c>
      <c r="F40" s="30" t="str">
        <f t="shared" si="10"/>
        <v>Pass:  0     /Accept:  0/     Fail:  0/     NT:  0</v>
      </c>
      <c r="G40" s="29" t="e">
        <f>IF(#REF!&lt;&gt;"N/A",Priority!$C40,"")</f>
        <v>#REF!</v>
      </c>
      <c r="H40" s="29" t="e">
        <f>IF(#REF!&lt;&gt;"N/A",Priority!$C40,"")</f>
        <v>#REF!</v>
      </c>
      <c r="I40" s="29" t="e">
        <f>IF(#REF!&lt;&gt;"N/A",Priority!$C40,"")</f>
        <v>#REF!</v>
      </c>
      <c r="J40" s="29" t="e">
        <f>IF(#REF!&lt;&gt;"N/A",Priority!$C40,"")</f>
        <v>#REF!</v>
      </c>
      <c r="K40" s="29" t="e">
        <f>IF(#REF!&lt;&gt;"N/A",Priority!$C40,"")</f>
        <v>#REF!</v>
      </c>
      <c r="L40" s="31"/>
      <c r="M40" s="29" t="e">
        <f>IF(#REF!&lt;&gt;"N/A",Priority!$C40,"")</f>
        <v>#REF!</v>
      </c>
      <c r="N40" s="29" t="e">
        <f>IF(#REF!&lt;&gt;"N/A",Priority!$C40,"")</f>
        <v>#REF!</v>
      </c>
      <c r="O40" s="29" t="e">
        <f>IF(#REF!&lt;&gt;"N/A",Priority!$C40,"")</f>
        <v>#REF!</v>
      </c>
      <c r="P40" s="29" t="e">
        <f>IF(#REF!&lt;&gt;"N/A",Priority!$C40,"")</f>
        <v>#REF!</v>
      </c>
      <c r="Q40" s="29" t="e">
        <f>IF(#REF!&lt;&gt;"N/A",Priority!$C40,"")</f>
        <v>#REF!</v>
      </c>
      <c r="R40" s="31"/>
      <c r="S40" s="29" t="e">
        <f>IF(#REF!&lt;&gt;"N/A",Priority!$C40,"")</f>
        <v>#REF!</v>
      </c>
      <c r="T40" s="29" t="e">
        <f>IF(#REF!&lt;&gt;"N/A",Priority!$C40,"")</f>
        <v>#REF!</v>
      </c>
      <c r="U40" s="29" t="e">
        <f>IF(#REF!&lt;&gt;"N/A",Priority!$C40,"")</f>
        <v>#REF!</v>
      </c>
      <c r="V40" s="29" t="e">
        <f>IF(#REF!&lt;&gt;"N/A",Priority!$C40,"")</f>
        <v>#REF!</v>
      </c>
      <c r="W40" s="29" t="e">
        <f>IF(#REF!&lt;&gt;"N/A",Priority!$C40,"")</f>
        <v>#REF!</v>
      </c>
      <c r="X40" s="29" t="e">
        <f>IF(#REF!&lt;&gt;"N/A",Priority!$C40,"")</f>
        <v>#REF!</v>
      </c>
      <c r="Y40" s="31"/>
      <c r="Z40" s="29" t="e">
        <f>IF(#REF!&lt;&gt;"N/A",Priority!$C40,"")</f>
        <v>#REF!</v>
      </c>
      <c r="AA40" s="29" t="e">
        <f>IF(#REF!&lt;&gt;"N/A",Priority!$C40,"")</f>
        <v>#REF!</v>
      </c>
      <c r="AB40" s="29" t="e">
        <f>IF(#REF!&lt;&gt;"N/A",Priority!$C40,"")</f>
        <v>#REF!</v>
      </c>
      <c r="AC40" s="29" t="e">
        <f>IF(#REF!&lt;&gt;"N/A",Priority!$C40,"")</f>
        <v>#REF!</v>
      </c>
      <c r="AD40" s="29" t="e">
        <f>IF(#REF!&lt;&gt;"N/A",Priority!$C40,"")</f>
        <v>#REF!</v>
      </c>
      <c r="AE40" s="29" t="e">
        <f>IF(#REF!&lt;&gt;"N/A",Priority!$C40,"")</f>
        <v>#REF!</v>
      </c>
      <c r="AF40" s="29" t="e">
        <f>IF(#REF!&lt;&gt;"N/A",Priority!$C40,"")</f>
        <v>#REF!</v>
      </c>
      <c r="AG40" s="29" t="e">
        <f>IF(#REF!&lt;&gt;"N/A",Priority!$C40,"")</f>
        <v>#REF!</v>
      </c>
      <c r="AH40" s="29" t="e">
        <f>IF(#REF!&lt;&gt;"N/A",Priority!$C40,"")</f>
        <v>#REF!</v>
      </c>
      <c r="AI40" s="29" t="e">
        <f>IF(#REF!&lt;&gt;"N/A",Priority!$C40,"")</f>
        <v>#REF!</v>
      </c>
      <c r="AJ40" s="31"/>
      <c r="AK40" s="29" t="e">
        <f>IF(#REF!&lt;&gt;"N/A",Priority!$C40,"")</f>
        <v>#REF!</v>
      </c>
      <c r="AL40" s="29" t="e">
        <f>IF(#REF!&lt;&gt;"N/A",Priority!$C40,"")</f>
        <v>#REF!</v>
      </c>
      <c r="AM40" s="29" t="e">
        <f>IF(#REF!&lt;&gt;"N/A",Priority!$C40,"")</f>
        <v>#REF!</v>
      </c>
      <c r="AN40" s="29" t="e">
        <f>IF(#REF!&lt;&gt;"N/A",Priority!$C40,"")</f>
        <v>#REF!</v>
      </c>
      <c r="AO40" s="29" t="e">
        <f>IF(#REF!&lt;&gt;"N/A",Priority!$C40,"")</f>
        <v>#REF!</v>
      </c>
      <c r="AP40" s="29" t="e">
        <f>IF(#REF!&lt;&gt;"N/A",Priority!$C40,"")</f>
        <v>#REF!</v>
      </c>
      <c r="AQ40" s="29" t="e">
        <f>IF(#REF!&lt;&gt;"N/A",Priority!$C40,"")</f>
        <v>#REF!</v>
      </c>
      <c r="AR40" s="29" t="e">
        <f>IF(#REF!&lt;&gt;"N/A",Priority!$C40,"")</f>
        <v>#REF!</v>
      </c>
      <c r="AS40" s="29" t="e">
        <f>IF(#REF!&lt;&gt;"N/A",Priority!$C40,"")</f>
        <v>#REF!</v>
      </c>
      <c r="AT40" s="29" t="e">
        <f>IF(#REF!&lt;&gt;"N/A",Priority!$C40,"")</f>
        <v>#REF!</v>
      </c>
      <c r="AU40" s="31"/>
      <c r="AV40" s="29" t="e">
        <f>IF(#REF!&lt;&gt;"N/A",Priority!$C40,"")</f>
        <v>#REF!</v>
      </c>
      <c r="AW40" s="29" t="e">
        <f>IF(#REF!&lt;&gt;"N/A",Priority!$C40,"")</f>
        <v>#REF!</v>
      </c>
      <c r="AX40" s="29" t="e">
        <f>IF(#REF!&lt;&gt;"N/A",Priority!$C40,"")</f>
        <v>#REF!</v>
      </c>
      <c r="AY40" s="29" t="e">
        <f>IF(#REF!&lt;&gt;"N/A",Priority!$C40,"")</f>
        <v>#REF!</v>
      </c>
      <c r="AZ40" s="29" t="e">
        <f>IF(#REF!&lt;&gt;"N/A",Priority!$C40,"")</f>
        <v>#REF!</v>
      </c>
      <c r="BA40" s="29" t="e">
        <f>IF(#REF!&lt;&gt;"N/A",Priority!$C40,"")</f>
        <v>#REF!</v>
      </c>
      <c r="BB40" s="29" t="e">
        <f>IF(#REF!&lt;&gt;"N/A",Priority!$C40,"")</f>
        <v>#REF!</v>
      </c>
      <c r="BC40" s="31"/>
      <c r="BD40" s="29" t="e">
        <f>IF(#REF!&lt;&gt;"N/A",Priority!$C40,"")</f>
        <v>#REF!</v>
      </c>
      <c r="BE40" s="29" t="e">
        <f>IF(#REF!&lt;&gt;"N/A",Priority!$C40,"")</f>
        <v>#REF!</v>
      </c>
      <c r="BF40" s="29" t="e">
        <f>IF(#REF!&lt;&gt;"N/A",Priority!$C40,"")</f>
        <v>#REF!</v>
      </c>
      <c r="BG40" s="29" t="e">
        <f>IF(#REF!&lt;&gt;"N/A",Priority!$C40,"")</f>
        <v>#REF!</v>
      </c>
      <c r="BH40" s="29" t="e">
        <f>IF(#REF!&lt;&gt;"N/A",Priority!$C40,"")</f>
        <v>#REF!</v>
      </c>
      <c r="BI40" s="29" t="e">
        <f>IF(#REF!&lt;&gt;"N/A",Priority!$C40,"")</f>
        <v>#REF!</v>
      </c>
      <c r="BJ40" s="29" t="e">
        <f>IF(#REF!&lt;&gt;"N/A",Priority!$C40,"")</f>
        <v>#REF!</v>
      </c>
      <c r="BK40" s="29" t="e">
        <f>IF(#REF!&lt;&gt;"N/A",Priority!$C40,"")</f>
        <v>#REF!</v>
      </c>
      <c r="BL40" s="29" t="e">
        <f>IF(#REF!&lt;&gt;"N/A",Priority!$C40,"")</f>
        <v>#REF!</v>
      </c>
      <c r="BM40" s="31"/>
      <c r="BN40" s="29" t="e">
        <f>IF(#REF!&lt;&gt;"N/A",Priority!$C40,"")</f>
        <v>#REF!</v>
      </c>
      <c r="BO40" s="29" t="e">
        <f>IF(#REF!&lt;&gt;"N/A",Priority!$C40,"")</f>
        <v>#REF!</v>
      </c>
      <c r="BP40" s="29" t="e">
        <f>IF(#REF!&lt;&gt;"N/A",Priority!$C40,"")</f>
        <v>#REF!</v>
      </c>
      <c r="BQ40" s="29" t="e">
        <f>IF(#REF!&lt;&gt;"N/A",Priority!$C40,"")</f>
        <v>#REF!</v>
      </c>
      <c r="BR40" s="29" t="e">
        <f>IF(#REF!&lt;&gt;"N/A",Priority!$C40,"")</f>
        <v>#REF!</v>
      </c>
      <c r="BS40" s="29" t="e">
        <f>IF(#REF!&lt;&gt;"N/A",Priority!$C40,"")</f>
        <v>#REF!</v>
      </c>
      <c r="BT40" s="29" t="e">
        <f>IF(#REF!&lt;&gt;"N/A",Priority!$C40,"")</f>
        <v>#REF!</v>
      </c>
      <c r="BU40" s="31"/>
      <c r="BV40" s="29" t="e">
        <f>IF(#REF!&lt;&gt;"N/A",Priority!$C40,"")</f>
        <v>#REF!</v>
      </c>
      <c r="BW40" s="29" t="e">
        <f>IF(#REF!&lt;&gt;"N/A",Priority!$C40,"")</f>
        <v>#REF!</v>
      </c>
      <c r="BX40" s="29" t="e">
        <f>IF(#REF!&lt;&gt;"N/A",Priority!$C40,"")</f>
        <v>#REF!</v>
      </c>
      <c r="BY40" s="29" t="e">
        <f>IF(#REF!&lt;&gt;"N/A",Priority!$C40,"")</f>
        <v>#REF!</v>
      </c>
      <c r="BZ40" s="29" t="e">
        <f>IF(#REF!&lt;&gt;"N/A",Priority!$C40,"")</f>
        <v>#REF!</v>
      </c>
      <c r="CA40" s="29" t="e">
        <f>IF(#REF!&lt;&gt;"N/A",Priority!$C40,"")</f>
        <v>#REF!</v>
      </c>
      <c r="CB40" s="31"/>
      <c r="CC40" s="29" t="e">
        <f>IF(#REF!&lt;&gt;"N/A",Priority!$C40,"")</f>
        <v>#REF!</v>
      </c>
      <c r="CD40" s="29" t="e">
        <f>IF(#REF!&lt;&gt;"N/A",Priority!$C40,"")</f>
        <v>#REF!</v>
      </c>
      <c r="CE40" s="29" t="e">
        <f>IF(#REF!&lt;&gt;"N/A",Priority!$C40,"")</f>
        <v>#REF!</v>
      </c>
      <c r="CF40" s="29" t="e">
        <f>IF(#REF!&lt;&gt;"N/A",Priority!$C40,"")</f>
        <v>#REF!</v>
      </c>
    </row>
    <row r="41" spans="1:84" ht="30">
      <c r="A41" s="15" t="e">
        <f>#REF!</f>
        <v>#REF!</v>
      </c>
      <c r="B41" s="15" t="e">
        <f>#REF!</f>
        <v>#REF!</v>
      </c>
      <c r="C41" s="15" t="e">
        <f>#REF!</f>
        <v>#REF!</v>
      </c>
      <c r="D41" s="20" t="s">
        <v>136</v>
      </c>
      <c r="E41" s="30" t="str">
        <f t="shared" si="9"/>
        <v>Pending</v>
      </c>
      <c r="F41" s="30" t="str">
        <f t="shared" si="10"/>
        <v>Pass:  0     /Accept:  0/     Fail:  0/     NT:  0</v>
      </c>
      <c r="G41" s="29" t="e">
        <f>IF(#REF!&lt;&gt;"N/A",Priority!$C41,"")</f>
        <v>#REF!</v>
      </c>
      <c r="H41" s="29" t="e">
        <f>IF(#REF!&lt;&gt;"N/A",Priority!$C41,"")</f>
        <v>#REF!</v>
      </c>
      <c r="I41" s="29" t="e">
        <f>IF(#REF!&lt;&gt;"N/A",Priority!$C41,"")</f>
        <v>#REF!</v>
      </c>
      <c r="J41" s="29" t="e">
        <f>IF(#REF!&lt;&gt;"N/A",Priority!$C41,"")</f>
        <v>#REF!</v>
      </c>
      <c r="K41" s="29" t="e">
        <f>IF(#REF!&lt;&gt;"N/A",Priority!$C41,"")</f>
        <v>#REF!</v>
      </c>
      <c r="L41" s="31"/>
      <c r="M41" s="29" t="e">
        <f>IF(#REF!&lt;&gt;"N/A",Priority!$C41,"")</f>
        <v>#REF!</v>
      </c>
      <c r="N41" s="29" t="e">
        <f>IF(#REF!&lt;&gt;"N/A",Priority!$C41,"")</f>
        <v>#REF!</v>
      </c>
      <c r="O41" s="29" t="e">
        <f>IF(#REF!&lt;&gt;"N/A",Priority!$C41,"")</f>
        <v>#REF!</v>
      </c>
      <c r="P41" s="29" t="e">
        <f>IF(#REF!&lt;&gt;"N/A",Priority!$C41,"")</f>
        <v>#REF!</v>
      </c>
      <c r="Q41" s="29" t="e">
        <f>IF(#REF!&lt;&gt;"N/A",Priority!$C41,"")</f>
        <v>#REF!</v>
      </c>
      <c r="R41" s="31"/>
      <c r="S41" s="29" t="e">
        <f>IF(#REF!&lt;&gt;"N/A",Priority!$C41,"")</f>
        <v>#REF!</v>
      </c>
      <c r="T41" s="29" t="e">
        <f>IF(#REF!&lt;&gt;"N/A",Priority!$C41,"")</f>
        <v>#REF!</v>
      </c>
      <c r="U41" s="29" t="e">
        <f>IF(#REF!&lt;&gt;"N/A",Priority!$C41,"")</f>
        <v>#REF!</v>
      </c>
      <c r="V41" s="29" t="e">
        <f>IF(#REF!&lt;&gt;"N/A",Priority!$C41,"")</f>
        <v>#REF!</v>
      </c>
      <c r="W41" s="29" t="e">
        <f>IF(#REF!&lt;&gt;"N/A",Priority!$C41,"")</f>
        <v>#REF!</v>
      </c>
      <c r="X41" s="29" t="e">
        <f>IF(#REF!&lt;&gt;"N/A",Priority!$C41,"")</f>
        <v>#REF!</v>
      </c>
      <c r="Y41" s="31"/>
      <c r="Z41" s="29" t="e">
        <f>IF(#REF!&lt;&gt;"N/A",Priority!$C41,"")</f>
        <v>#REF!</v>
      </c>
      <c r="AA41" s="29" t="e">
        <f>IF(#REF!&lt;&gt;"N/A",Priority!$C41,"")</f>
        <v>#REF!</v>
      </c>
      <c r="AB41" s="29" t="e">
        <f>IF(#REF!&lt;&gt;"N/A",Priority!$C41,"")</f>
        <v>#REF!</v>
      </c>
      <c r="AC41" s="29" t="e">
        <f>IF(#REF!&lt;&gt;"N/A",Priority!$C41,"")</f>
        <v>#REF!</v>
      </c>
      <c r="AD41" s="29" t="e">
        <f>IF(#REF!&lt;&gt;"N/A",Priority!$C41,"")</f>
        <v>#REF!</v>
      </c>
      <c r="AE41" s="29" t="e">
        <f>IF(#REF!&lt;&gt;"N/A",Priority!$C41,"")</f>
        <v>#REF!</v>
      </c>
      <c r="AF41" s="29" t="e">
        <f>IF(#REF!&lt;&gt;"N/A",Priority!$C41,"")</f>
        <v>#REF!</v>
      </c>
      <c r="AG41" s="29" t="e">
        <f>IF(#REF!&lt;&gt;"N/A",Priority!$C41,"")</f>
        <v>#REF!</v>
      </c>
      <c r="AH41" s="29" t="e">
        <f>IF(#REF!&lt;&gt;"N/A",Priority!$C41,"")</f>
        <v>#REF!</v>
      </c>
      <c r="AI41" s="29" t="e">
        <f>IF(#REF!&lt;&gt;"N/A",Priority!$C41,"")</f>
        <v>#REF!</v>
      </c>
      <c r="AJ41" s="31"/>
      <c r="AK41" s="29" t="e">
        <f>IF(#REF!&lt;&gt;"N/A",Priority!$C41,"")</f>
        <v>#REF!</v>
      </c>
      <c r="AL41" s="29" t="e">
        <f>IF(#REF!&lt;&gt;"N/A",Priority!$C41,"")</f>
        <v>#REF!</v>
      </c>
      <c r="AM41" s="29" t="e">
        <f>IF(#REF!&lt;&gt;"N/A",Priority!$C41,"")</f>
        <v>#REF!</v>
      </c>
      <c r="AN41" s="29" t="e">
        <f>IF(#REF!&lt;&gt;"N/A",Priority!$C41,"")</f>
        <v>#REF!</v>
      </c>
      <c r="AO41" s="29" t="e">
        <f>IF(#REF!&lt;&gt;"N/A",Priority!$C41,"")</f>
        <v>#REF!</v>
      </c>
      <c r="AP41" s="29" t="e">
        <f>IF(#REF!&lt;&gt;"N/A",Priority!$C41,"")</f>
        <v>#REF!</v>
      </c>
      <c r="AQ41" s="29" t="e">
        <f>IF(#REF!&lt;&gt;"N/A",Priority!$C41,"")</f>
        <v>#REF!</v>
      </c>
      <c r="AR41" s="29" t="e">
        <f>IF(#REF!&lt;&gt;"N/A",Priority!$C41,"")</f>
        <v>#REF!</v>
      </c>
      <c r="AS41" s="29" t="e">
        <f>IF(#REF!&lt;&gt;"N/A",Priority!$C41,"")</f>
        <v>#REF!</v>
      </c>
      <c r="AT41" s="29" t="e">
        <f>IF(#REF!&lt;&gt;"N/A",Priority!$C41,"")</f>
        <v>#REF!</v>
      </c>
      <c r="AU41" s="31"/>
      <c r="AV41" s="29" t="e">
        <f>IF(#REF!&lt;&gt;"N/A",Priority!$C41,"")</f>
        <v>#REF!</v>
      </c>
      <c r="AW41" s="29" t="e">
        <f>IF(#REF!&lt;&gt;"N/A",Priority!$C41,"")</f>
        <v>#REF!</v>
      </c>
      <c r="AX41" s="29" t="e">
        <f>IF(#REF!&lt;&gt;"N/A",Priority!$C41,"")</f>
        <v>#REF!</v>
      </c>
      <c r="AY41" s="29" t="e">
        <f>IF(#REF!&lt;&gt;"N/A",Priority!$C41,"")</f>
        <v>#REF!</v>
      </c>
      <c r="AZ41" s="29" t="e">
        <f>IF(#REF!&lt;&gt;"N/A",Priority!$C41,"")</f>
        <v>#REF!</v>
      </c>
      <c r="BA41" s="29" t="e">
        <f>IF(#REF!&lt;&gt;"N/A",Priority!$C41,"")</f>
        <v>#REF!</v>
      </c>
      <c r="BB41" s="29" t="e">
        <f>IF(#REF!&lt;&gt;"N/A",Priority!$C41,"")</f>
        <v>#REF!</v>
      </c>
      <c r="BC41" s="31"/>
      <c r="BD41" s="29" t="e">
        <f>IF(#REF!&lt;&gt;"N/A",Priority!$C41,"")</f>
        <v>#REF!</v>
      </c>
      <c r="BE41" s="29" t="e">
        <f>IF(#REF!&lt;&gt;"N/A",Priority!$C41,"")</f>
        <v>#REF!</v>
      </c>
      <c r="BF41" s="29" t="e">
        <f>IF(#REF!&lt;&gt;"N/A",Priority!$C41,"")</f>
        <v>#REF!</v>
      </c>
      <c r="BG41" s="29" t="e">
        <f>IF(#REF!&lt;&gt;"N/A",Priority!$C41,"")</f>
        <v>#REF!</v>
      </c>
      <c r="BH41" s="29" t="e">
        <f>IF(#REF!&lt;&gt;"N/A",Priority!$C41,"")</f>
        <v>#REF!</v>
      </c>
      <c r="BI41" s="29" t="e">
        <f>IF(#REF!&lt;&gt;"N/A",Priority!$C41,"")</f>
        <v>#REF!</v>
      </c>
      <c r="BJ41" s="29" t="e">
        <f>IF(#REF!&lt;&gt;"N/A",Priority!$C41,"")</f>
        <v>#REF!</v>
      </c>
      <c r="BK41" s="29" t="e">
        <f>IF(#REF!&lt;&gt;"N/A",Priority!$C41,"")</f>
        <v>#REF!</v>
      </c>
      <c r="BL41" s="29" t="e">
        <f>IF(#REF!&lt;&gt;"N/A",Priority!$C41,"")</f>
        <v>#REF!</v>
      </c>
      <c r="BM41" s="31"/>
      <c r="BN41" s="29" t="e">
        <f>IF(#REF!&lt;&gt;"N/A",Priority!$C41,"")</f>
        <v>#REF!</v>
      </c>
      <c r="BO41" s="29" t="e">
        <f>IF(#REF!&lt;&gt;"N/A",Priority!$C41,"")</f>
        <v>#REF!</v>
      </c>
      <c r="BP41" s="29" t="e">
        <f>IF(#REF!&lt;&gt;"N/A",Priority!$C41,"")</f>
        <v>#REF!</v>
      </c>
      <c r="BQ41" s="29" t="e">
        <f>IF(#REF!&lt;&gt;"N/A",Priority!$C41,"")</f>
        <v>#REF!</v>
      </c>
      <c r="BR41" s="29" t="e">
        <f>IF(#REF!&lt;&gt;"N/A",Priority!$C41,"")</f>
        <v>#REF!</v>
      </c>
      <c r="BS41" s="29" t="e">
        <f>IF(#REF!&lt;&gt;"N/A",Priority!$C41,"")</f>
        <v>#REF!</v>
      </c>
      <c r="BT41" s="29" t="e">
        <f>IF(#REF!&lt;&gt;"N/A",Priority!$C41,"")</f>
        <v>#REF!</v>
      </c>
      <c r="BU41" s="31"/>
      <c r="BV41" s="29" t="e">
        <f>IF(#REF!&lt;&gt;"N/A",Priority!$C41,"")</f>
        <v>#REF!</v>
      </c>
      <c r="BW41" s="29" t="e">
        <f>IF(#REF!&lt;&gt;"N/A",Priority!$C41,"")</f>
        <v>#REF!</v>
      </c>
      <c r="BX41" s="29" t="e">
        <f>IF(#REF!&lt;&gt;"N/A",Priority!$C41,"")</f>
        <v>#REF!</v>
      </c>
      <c r="BY41" s="29" t="e">
        <f>IF(#REF!&lt;&gt;"N/A",Priority!$C41,"")</f>
        <v>#REF!</v>
      </c>
      <c r="BZ41" s="29" t="e">
        <f>IF(#REF!&lt;&gt;"N/A",Priority!$C41,"")</f>
        <v>#REF!</v>
      </c>
      <c r="CA41" s="29" t="e">
        <f>IF(#REF!&lt;&gt;"N/A",Priority!$C41,"")</f>
        <v>#REF!</v>
      </c>
      <c r="CB41" s="31"/>
      <c r="CC41" s="29" t="e">
        <f>IF(#REF!&lt;&gt;"N/A",Priority!$C41,"")</f>
        <v>#REF!</v>
      </c>
      <c r="CD41" s="29" t="e">
        <f>IF(#REF!&lt;&gt;"N/A",Priority!$C41,"")</f>
        <v>#REF!</v>
      </c>
      <c r="CE41" s="29" t="e">
        <f>IF(#REF!&lt;&gt;"N/A",Priority!$C41,"")</f>
        <v>#REF!</v>
      </c>
      <c r="CF41" s="29" t="e">
        <f>IF(#REF!&lt;&gt;"N/A",Priority!$C41,"")</f>
        <v>#REF!</v>
      </c>
    </row>
    <row r="42" spans="1:84" ht="30">
      <c r="A42" s="15" t="e">
        <f>#REF!</f>
        <v>#REF!</v>
      </c>
      <c r="B42" s="15" t="e">
        <f>#REF!</f>
        <v>#REF!</v>
      </c>
      <c r="C42" s="15" t="e">
        <f>#REF!</f>
        <v>#REF!</v>
      </c>
      <c r="D42" s="7" t="s">
        <v>170</v>
      </c>
      <c r="E42" s="30" t="str">
        <f t="shared" si="9"/>
        <v>Pending</v>
      </c>
      <c r="F42" s="30" t="str">
        <f t="shared" si="10"/>
        <v>Pass:  0     /Accept:  0/     Fail:  0/     NT:  0</v>
      </c>
      <c r="G42" s="29" t="e">
        <f>IF(#REF!&lt;&gt;"N/A",Priority!$C42,"")</f>
        <v>#REF!</v>
      </c>
      <c r="H42" s="29" t="e">
        <f>IF(#REF!&lt;&gt;"N/A",Priority!$C42,"")</f>
        <v>#REF!</v>
      </c>
      <c r="I42" s="29" t="e">
        <f>IF(#REF!&lt;&gt;"N/A",Priority!$C42,"")</f>
        <v>#REF!</v>
      </c>
      <c r="J42" s="29" t="e">
        <f>IF(#REF!&lt;&gt;"N/A",Priority!$C42,"")</f>
        <v>#REF!</v>
      </c>
      <c r="K42" s="29" t="e">
        <f>IF(#REF!&lt;&gt;"N/A",Priority!$C42,"")</f>
        <v>#REF!</v>
      </c>
      <c r="L42" s="31"/>
      <c r="M42" s="29" t="e">
        <f>IF(#REF!&lt;&gt;"N/A",Priority!$C42,"")</f>
        <v>#REF!</v>
      </c>
      <c r="N42" s="29" t="e">
        <f>IF(#REF!&lt;&gt;"N/A",Priority!$C42,"")</f>
        <v>#REF!</v>
      </c>
      <c r="O42" s="29" t="e">
        <f>IF(#REF!&lt;&gt;"N/A",Priority!$C42,"")</f>
        <v>#REF!</v>
      </c>
      <c r="P42" s="29" t="e">
        <f>IF(#REF!&lt;&gt;"N/A",Priority!$C42,"")</f>
        <v>#REF!</v>
      </c>
      <c r="Q42" s="29" t="e">
        <f>IF(#REF!&lt;&gt;"N/A",Priority!$C42,"")</f>
        <v>#REF!</v>
      </c>
      <c r="R42" s="31"/>
      <c r="S42" s="29" t="e">
        <f>IF(#REF!&lt;&gt;"N/A",Priority!$C42,"")</f>
        <v>#REF!</v>
      </c>
      <c r="T42" s="29" t="e">
        <f>IF(#REF!&lt;&gt;"N/A",Priority!$C42,"")</f>
        <v>#REF!</v>
      </c>
      <c r="U42" s="29" t="e">
        <f>IF(#REF!&lt;&gt;"N/A",Priority!$C42,"")</f>
        <v>#REF!</v>
      </c>
      <c r="V42" s="29" t="e">
        <f>IF(#REF!&lt;&gt;"N/A",Priority!$C42,"")</f>
        <v>#REF!</v>
      </c>
      <c r="W42" s="29" t="e">
        <f>IF(#REF!&lt;&gt;"N/A",Priority!$C42,"")</f>
        <v>#REF!</v>
      </c>
      <c r="X42" s="29" t="e">
        <f>IF(#REF!&lt;&gt;"N/A",Priority!$C42,"")</f>
        <v>#REF!</v>
      </c>
      <c r="Y42" s="31"/>
      <c r="Z42" s="29" t="e">
        <f>IF(#REF!&lt;&gt;"N/A",Priority!$C42,"")</f>
        <v>#REF!</v>
      </c>
      <c r="AA42" s="29" t="e">
        <f>IF(#REF!&lt;&gt;"N/A",Priority!$C42,"")</f>
        <v>#REF!</v>
      </c>
      <c r="AB42" s="29" t="e">
        <f>IF(#REF!&lt;&gt;"N/A",Priority!$C42,"")</f>
        <v>#REF!</v>
      </c>
      <c r="AC42" s="29" t="e">
        <f>IF(#REF!&lt;&gt;"N/A",Priority!$C42,"")</f>
        <v>#REF!</v>
      </c>
      <c r="AD42" s="29" t="e">
        <f>IF(#REF!&lt;&gt;"N/A",Priority!$C42,"")</f>
        <v>#REF!</v>
      </c>
      <c r="AE42" s="29" t="e">
        <f>IF(#REF!&lt;&gt;"N/A",Priority!$C42,"")</f>
        <v>#REF!</v>
      </c>
      <c r="AF42" s="29" t="e">
        <f>IF(#REF!&lt;&gt;"N/A",Priority!$C42,"")</f>
        <v>#REF!</v>
      </c>
      <c r="AG42" s="29" t="e">
        <f>IF(#REF!&lt;&gt;"N/A",Priority!$C42,"")</f>
        <v>#REF!</v>
      </c>
      <c r="AH42" s="29" t="e">
        <f>IF(#REF!&lt;&gt;"N/A",Priority!$C42,"")</f>
        <v>#REF!</v>
      </c>
      <c r="AI42" s="29" t="e">
        <f>IF(#REF!&lt;&gt;"N/A",Priority!$C42,"")</f>
        <v>#REF!</v>
      </c>
      <c r="AJ42" s="31"/>
      <c r="AK42" s="29" t="e">
        <f>IF(#REF!&lt;&gt;"N/A",Priority!$C42,"")</f>
        <v>#REF!</v>
      </c>
      <c r="AL42" s="29" t="e">
        <f>IF(#REF!&lt;&gt;"N/A",Priority!$C42,"")</f>
        <v>#REF!</v>
      </c>
      <c r="AM42" s="29" t="e">
        <f>IF(#REF!&lt;&gt;"N/A",Priority!$C42,"")</f>
        <v>#REF!</v>
      </c>
      <c r="AN42" s="29" t="e">
        <f>IF(#REF!&lt;&gt;"N/A",Priority!$C42,"")</f>
        <v>#REF!</v>
      </c>
      <c r="AO42" s="29" t="e">
        <f>IF(#REF!&lt;&gt;"N/A",Priority!$C42,"")</f>
        <v>#REF!</v>
      </c>
      <c r="AP42" s="29" t="e">
        <f>IF(#REF!&lt;&gt;"N/A",Priority!$C42,"")</f>
        <v>#REF!</v>
      </c>
      <c r="AQ42" s="29" t="e">
        <f>IF(#REF!&lt;&gt;"N/A",Priority!$C42,"")</f>
        <v>#REF!</v>
      </c>
      <c r="AR42" s="29" t="e">
        <f>IF(#REF!&lt;&gt;"N/A",Priority!$C42,"")</f>
        <v>#REF!</v>
      </c>
      <c r="AS42" s="29" t="e">
        <f>IF(#REF!&lt;&gt;"N/A",Priority!$C42,"")</f>
        <v>#REF!</v>
      </c>
      <c r="AT42" s="29" t="e">
        <f>IF(#REF!&lt;&gt;"N/A",Priority!$C42,"")</f>
        <v>#REF!</v>
      </c>
      <c r="AU42" s="31"/>
      <c r="AV42" s="29" t="e">
        <f>IF(#REF!&lt;&gt;"N/A",Priority!$C42,"")</f>
        <v>#REF!</v>
      </c>
      <c r="AW42" s="29" t="e">
        <f>IF(#REF!&lt;&gt;"N/A",Priority!$C42,"")</f>
        <v>#REF!</v>
      </c>
      <c r="AX42" s="29" t="e">
        <f>IF(#REF!&lt;&gt;"N/A",Priority!$C42,"")</f>
        <v>#REF!</v>
      </c>
      <c r="AY42" s="29" t="e">
        <f>IF(#REF!&lt;&gt;"N/A",Priority!$C42,"")</f>
        <v>#REF!</v>
      </c>
      <c r="AZ42" s="29" t="e">
        <f>IF(#REF!&lt;&gt;"N/A",Priority!$C42,"")</f>
        <v>#REF!</v>
      </c>
      <c r="BA42" s="29" t="e">
        <f>IF(#REF!&lt;&gt;"N/A",Priority!$C42,"")</f>
        <v>#REF!</v>
      </c>
      <c r="BB42" s="29" t="e">
        <f>IF(#REF!&lt;&gt;"N/A",Priority!$C42,"")</f>
        <v>#REF!</v>
      </c>
      <c r="BC42" s="31"/>
      <c r="BD42" s="29" t="e">
        <f>IF(#REF!&lt;&gt;"N/A",Priority!$C42,"")</f>
        <v>#REF!</v>
      </c>
      <c r="BE42" s="29" t="e">
        <f>IF(#REF!&lt;&gt;"N/A",Priority!$C42,"")</f>
        <v>#REF!</v>
      </c>
      <c r="BF42" s="29" t="e">
        <f>IF(#REF!&lt;&gt;"N/A",Priority!$C42,"")</f>
        <v>#REF!</v>
      </c>
      <c r="BG42" s="29" t="e">
        <f>IF(#REF!&lt;&gt;"N/A",Priority!$C42,"")</f>
        <v>#REF!</v>
      </c>
      <c r="BH42" s="29" t="e">
        <f>IF(#REF!&lt;&gt;"N/A",Priority!$C42,"")</f>
        <v>#REF!</v>
      </c>
      <c r="BI42" s="29" t="e">
        <f>IF(#REF!&lt;&gt;"N/A",Priority!$C42,"")</f>
        <v>#REF!</v>
      </c>
      <c r="BJ42" s="29" t="e">
        <f>IF(#REF!&lt;&gt;"N/A",Priority!$C42,"")</f>
        <v>#REF!</v>
      </c>
      <c r="BK42" s="29" t="e">
        <f>IF(#REF!&lt;&gt;"N/A",Priority!$C42,"")</f>
        <v>#REF!</v>
      </c>
      <c r="BL42" s="29" t="e">
        <f>IF(#REF!&lt;&gt;"N/A",Priority!$C42,"")</f>
        <v>#REF!</v>
      </c>
      <c r="BM42" s="31"/>
      <c r="BN42" s="29" t="e">
        <f>IF(#REF!&lt;&gt;"N/A",Priority!$C42,"")</f>
        <v>#REF!</v>
      </c>
      <c r="BO42" s="29" t="e">
        <f>IF(#REF!&lt;&gt;"N/A",Priority!$C42,"")</f>
        <v>#REF!</v>
      </c>
      <c r="BP42" s="29" t="e">
        <f>IF(#REF!&lt;&gt;"N/A",Priority!$C42,"")</f>
        <v>#REF!</v>
      </c>
      <c r="BQ42" s="29" t="e">
        <f>IF(#REF!&lt;&gt;"N/A",Priority!$C42,"")</f>
        <v>#REF!</v>
      </c>
      <c r="BR42" s="29" t="e">
        <f>IF(#REF!&lt;&gt;"N/A",Priority!$C42,"")</f>
        <v>#REF!</v>
      </c>
      <c r="BS42" s="29" t="e">
        <f>IF(#REF!&lt;&gt;"N/A",Priority!$C42,"")</f>
        <v>#REF!</v>
      </c>
      <c r="BT42" s="29" t="e">
        <f>IF(#REF!&lt;&gt;"N/A",Priority!$C42,"")</f>
        <v>#REF!</v>
      </c>
      <c r="BU42" s="31"/>
      <c r="BV42" s="29" t="e">
        <f>IF(#REF!&lt;&gt;"N/A",Priority!$C42,"")</f>
        <v>#REF!</v>
      </c>
      <c r="BW42" s="29" t="e">
        <f>IF(#REF!&lt;&gt;"N/A",Priority!$C42,"")</f>
        <v>#REF!</v>
      </c>
      <c r="BX42" s="29" t="e">
        <f>IF(#REF!&lt;&gt;"N/A",Priority!$C42,"")</f>
        <v>#REF!</v>
      </c>
      <c r="BY42" s="29" t="e">
        <f>IF(#REF!&lt;&gt;"N/A",Priority!$C42,"")</f>
        <v>#REF!</v>
      </c>
      <c r="BZ42" s="29" t="e">
        <f>IF(#REF!&lt;&gt;"N/A",Priority!$C42,"")</f>
        <v>#REF!</v>
      </c>
      <c r="CA42" s="29" t="e">
        <f>IF(#REF!&lt;&gt;"N/A",Priority!$C42,"")</f>
        <v>#REF!</v>
      </c>
      <c r="CB42" s="31"/>
      <c r="CC42" s="29" t="e">
        <f>IF(#REF!&lt;&gt;"N/A",Priority!$C42,"")</f>
        <v>#REF!</v>
      </c>
      <c r="CD42" s="29" t="e">
        <f>IF(#REF!&lt;&gt;"N/A",Priority!$C42,"")</f>
        <v>#REF!</v>
      </c>
      <c r="CE42" s="29" t="e">
        <f>IF(#REF!&lt;&gt;"N/A",Priority!$C42,"")</f>
        <v>#REF!</v>
      </c>
      <c r="CF42" s="29" t="e">
        <f>IF(#REF!&lt;&gt;"N/A",Priority!$C42,"")</f>
        <v>#REF!</v>
      </c>
    </row>
    <row r="43" spans="1:84" ht="30">
      <c r="A43" s="15" t="e">
        <f>#REF!</f>
        <v>#REF!</v>
      </c>
      <c r="B43" s="15" t="e">
        <f>#REF!</f>
        <v>#REF!</v>
      </c>
      <c r="C43" s="15" t="e">
        <f>#REF!</f>
        <v>#REF!</v>
      </c>
      <c r="D43" s="7" t="s">
        <v>39</v>
      </c>
      <c r="E43" s="30" t="str">
        <f t="shared" si="9"/>
        <v>Pending</v>
      </c>
      <c r="F43" s="30" t="str">
        <f t="shared" si="10"/>
        <v>Pass:  0     /Accept:  0/     Fail:  0/     NT:  0</v>
      </c>
      <c r="G43" s="29" t="e">
        <f>IF(#REF!&lt;&gt;"N/A",Priority!$C43,"")</f>
        <v>#REF!</v>
      </c>
      <c r="H43" s="29" t="e">
        <f>IF(#REF!&lt;&gt;"N/A",Priority!$C43,"")</f>
        <v>#REF!</v>
      </c>
      <c r="I43" s="29" t="e">
        <f>IF(#REF!&lt;&gt;"N/A",Priority!$C43,"")</f>
        <v>#REF!</v>
      </c>
      <c r="J43" s="29" t="e">
        <f>IF(#REF!&lt;&gt;"N/A",Priority!$C43,"")</f>
        <v>#REF!</v>
      </c>
      <c r="K43" s="29" t="e">
        <f>IF(#REF!&lt;&gt;"N/A",Priority!$C43,"")</f>
        <v>#REF!</v>
      </c>
      <c r="L43" s="31"/>
      <c r="M43" s="29" t="e">
        <f>IF(#REF!&lt;&gt;"N/A",Priority!$C43,"")</f>
        <v>#REF!</v>
      </c>
      <c r="N43" s="29" t="e">
        <f>IF(#REF!&lt;&gt;"N/A",Priority!$C43,"")</f>
        <v>#REF!</v>
      </c>
      <c r="O43" s="29" t="e">
        <f>IF(#REF!&lt;&gt;"N/A",Priority!$C43,"")</f>
        <v>#REF!</v>
      </c>
      <c r="P43" s="29" t="e">
        <f>IF(#REF!&lt;&gt;"N/A",Priority!$C43,"")</f>
        <v>#REF!</v>
      </c>
      <c r="Q43" s="29" t="e">
        <f>IF(#REF!&lt;&gt;"N/A",Priority!$C43,"")</f>
        <v>#REF!</v>
      </c>
      <c r="R43" s="31"/>
      <c r="S43" s="29" t="e">
        <f>IF(#REF!&lt;&gt;"N/A",Priority!$C43,"")</f>
        <v>#REF!</v>
      </c>
      <c r="T43" s="29" t="e">
        <f>IF(#REF!&lt;&gt;"N/A",Priority!$C43,"")</f>
        <v>#REF!</v>
      </c>
      <c r="U43" s="29" t="e">
        <f>IF(#REF!&lt;&gt;"N/A",Priority!$C43,"")</f>
        <v>#REF!</v>
      </c>
      <c r="V43" s="29" t="e">
        <f>IF(#REF!&lt;&gt;"N/A",Priority!$C43,"")</f>
        <v>#REF!</v>
      </c>
      <c r="W43" s="29" t="e">
        <f>IF(#REF!&lt;&gt;"N/A",Priority!$C43,"")</f>
        <v>#REF!</v>
      </c>
      <c r="X43" s="29" t="e">
        <f>IF(#REF!&lt;&gt;"N/A",Priority!$C43,"")</f>
        <v>#REF!</v>
      </c>
      <c r="Y43" s="31"/>
      <c r="Z43" s="29" t="e">
        <f>IF(#REF!&lt;&gt;"N/A",Priority!$C43,"")</f>
        <v>#REF!</v>
      </c>
      <c r="AA43" s="29" t="e">
        <f>IF(#REF!&lt;&gt;"N/A",Priority!$C43,"")</f>
        <v>#REF!</v>
      </c>
      <c r="AB43" s="29" t="e">
        <f>IF(#REF!&lt;&gt;"N/A",Priority!$C43,"")</f>
        <v>#REF!</v>
      </c>
      <c r="AC43" s="29" t="e">
        <f>IF(#REF!&lt;&gt;"N/A",Priority!$C43,"")</f>
        <v>#REF!</v>
      </c>
      <c r="AD43" s="29" t="e">
        <f>IF(#REF!&lt;&gt;"N/A",Priority!$C43,"")</f>
        <v>#REF!</v>
      </c>
      <c r="AE43" s="29" t="e">
        <f>IF(#REF!&lt;&gt;"N/A",Priority!$C43,"")</f>
        <v>#REF!</v>
      </c>
      <c r="AF43" s="29" t="e">
        <f>IF(#REF!&lt;&gt;"N/A",Priority!$C43,"")</f>
        <v>#REF!</v>
      </c>
      <c r="AG43" s="29" t="e">
        <f>IF(#REF!&lt;&gt;"N/A",Priority!$C43,"")</f>
        <v>#REF!</v>
      </c>
      <c r="AH43" s="29" t="e">
        <f>IF(#REF!&lt;&gt;"N/A",Priority!$C43,"")</f>
        <v>#REF!</v>
      </c>
      <c r="AI43" s="29" t="e">
        <f>IF(#REF!&lt;&gt;"N/A",Priority!$C43,"")</f>
        <v>#REF!</v>
      </c>
      <c r="AJ43" s="31"/>
      <c r="AK43" s="29" t="e">
        <f>IF(#REF!&lt;&gt;"N/A",Priority!$C43,"")</f>
        <v>#REF!</v>
      </c>
      <c r="AL43" s="29" t="e">
        <f>IF(#REF!&lt;&gt;"N/A",Priority!$C43,"")</f>
        <v>#REF!</v>
      </c>
      <c r="AM43" s="29" t="e">
        <f>IF(#REF!&lt;&gt;"N/A",Priority!$C43,"")</f>
        <v>#REF!</v>
      </c>
      <c r="AN43" s="29" t="e">
        <f>IF(#REF!&lt;&gt;"N/A",Priority!$C43,"")</f>
        <v>#REF!</v>
      </c>
      <c r="AO43" s="29" t="e">
        <f>IF(#REF!&lt;&gt;"N/A",Priority!$C43,"")</f>
        <v>#REF!</v>
      </c>
      <c r="AP43" s="29" t="e">
        <f>IF(#REF!&lt;&gt;"N/A",Priority!$C43,"")</f>
        <v>#REF!</v>
      </c>
      <c r="AQ43" s="29" t="e">
        <f>IF(#REF!&lt;&gt;"N/A",Priority!$C43,"")</f>
        <v>#REF!</v>
      </c>
      <c r="AR43" s="29" t="e">
        <f>IF(#REF!&lt;&gt;"N/A",Priority!$C43,"")</f>
        <v>#REF!</v>
      </c>
      <c r="AS43" s="29" t="e">
        <f>IF(#REF!&lt;&gt;"N/A",Priority!$C43,"")</f>
        <v>#REF!</v>
      </c>
      <c r="AT43" s="29" t="e">
        <f>IF(#REF!&lt;&gt;"N/A",Priority!$C43,"")</f>
        <v>#REF!</v>
      </c>
      <c r="AU43" s="31"/>
      <c r="AV43" s="29" t="e">
        <f>IF(#REF!&lt;&gt;"N/A",Priority!$C43,"")</f>
        <v>#REF!</v>
      </c>
      <c r="AW43" s="29" t="e">
        <f>IF(#REF!&lt;&gt;"N/A",Priority!$C43,"")</f>
        <v>#REF!</v>
      </c>
      <c r="AX43" s="29" t="e">
        <f>IF(#REF!&lt;&gt;"N/A",Priority!$C43,"")</f>
        <v>#REF!</v>
      </c>
      <c r="AY43" s="29" t="e">
        <f>IF(#REF!&lt;&gt;"N/A",Priority!$C43,"")</f>
        <v>#REF!</v>
      </c>
      <c r="AZ43" s="29" t="e">
        <f>IF(#REF!&lt;&gt;"N/A",Priority!$C43,"")</f>
        <v>#REF!</v>
      </c>
      <c r="BA43" s="29" t="e">
        <f>IF(#REF!&lt;&gt;"N/A",Priority!$C43,"")</f>
        <v>#REF!</v>
      </c>
      <c r="BB43" s="29" t="e">
        <f>IF(#REF!&lt;&gt;"N/A",Priority!$C43,"")</f>
        <v>#REF!</v>
      </c>
      <c r="BC43" s="31"/>
      <c r="BD43" s="29" t="e">
        <f>IF(#REF!&lt;&gt;"N/A",Priority!$C43,"")</f>
        <v>#REF!</v>
      </c>
      <c r="BE43" s="29" t="e">
        <f>IF(#REF!&lt;&gt;"N/A",Priority!$C43,"")</f>
        <v>#REF!</v>
      </c>
      <c r="BF43" s="29" t="e">
        <f>IF(#REF!&lt;&gt;"N/A",Priority!$C43,"")</f>
        <v>#REF!</v>
      </c>
      <c r="BG43" s="29" t="e">
        <f>IF(#REF!&lt;&gt;"N/A",Priority!$C43,"")</f>
        <v>#REF!</v>
      </c>
      <c r="BH43" s="29" t="e">
        <f>IF(#REF!&lt;&gt;"N/A",Priority!$C43,"")</f>
        <v>#REF!</v>
      </c>
      <c r="BI43" s="29" t="e">
        <f>IF(#REF!&lt;&gt;"N/A",Priority!$C43,"")</f>
        <v>#REF!</v>
      </c>
      <c r="BJ43" s="29" t="e">
        <f>IF(#REF!&lt;&gt;"N/A",Priority!$C43,"")</f>
        <v>#REF!</v>
      </c>
      <c r="BK43" s="29" t="e">
        <f>IF(#REF!&lt;&gt;"N/A",Priority!$C43,"")</f>
        <v>#REF!</v>
      </c>
      <c r="BL43" s="29" t="e">
        <f>IF(#REF!&lt;&gt;"N/A",Priority!$C43,"")</f>
        <v>#REF!</v>
      </c>
      <c r="BM43" s="31"/>
      <c r="BN43" s="29" t="e">
        <f>IF(#REF!&lt;&gt;"N/A",Priority!$C43,"")</f>
        <v>#REF!</v>
      </c>
      <c r="BO43" s="29" t="e">
        <f>IF(#REF!&lt;&gt;"N/A",Priority!$C43,"")</f>
        <v>#REF!</v>
      </c>
      <c r="BP43" s="29" t="e">
        <f>IF(#REF!&lt;&gt;"N/A",Priority!$C43,"")</f>
        <v>#REF!</v>
      </c>
      <c r="BQ43" s="29" t="e">
        <f>IF(#REF!&lt;&gt;"N/A",Priority!$C43,"")</f>
        <v>#REF!</v>
      </c>
      <c r="BR43" s="29" t="e">
        <f>IF(#REF!&lt;&gt;"N/A",Priority!$C43,"")</f>
        <v>#REF!</v>
      </c>
      <c r="BS43" s="29" t="e">
        <f>IF(#REF!&lt;&gt;"N/A",Priority!$C43,"")</f>
        <v>#REF!</v>
      </c>
      <c r="BT43" s="29" t="e">
        <f>IF(#REF!&lt;&gt;"N/A",Priority!$C43,"")</f>
        <v>#REF!</v>
      </c>
      <c r="BU43" s="31"/>
      <c r="BV43" s="29" t="e">
        <f>IF(#REF!&lt;&gt;"N/A",Priority!$C43,"")</f>
        <v>#REF!</v>
      </c>
      <c r="BW43" s="29" t="e">
        <f>IF(#REF!&lt;&gt;"N/A",Priority!$C43,"")</f>
        <v>#REF!</v>
      </c>
      <c r="BX43" s="29" t="e">
        <f>IF(#REF!&lt;&gt;"N/A",Priority!$C43,"")</f>
        <v>#REF!</v>
      </c>
      <c r="BY43" s="29" t="e">
        <f>IF(#REF!&lt;&gt;"N/A",Priority!$C43,"")</f>
        <v>#REF!</v>
      </c>
      <c r="BZ43" s="29" t="e">
        <f>IF(#REF!&lt;&gt;"N/A",Priority!$C43,"")</f>
        <v>#REF!</v>
      </c>
      <c r="CA43" s="29" t="e">
        <f>IF(#REF!&lt;&gt;"N/A",Priority!$C43,"")</f>
        <v>#REF!</v>
      </c>
      <c r="CB43" s="31"/>
      <c r="CC43" s="29" t="e">
        <f>IF(#REF!&lt;&gt;"N/A",Priority!$C43,"")</f>
        <v>#REF!</v>
      </c>
      <c r="CD43" s="29" t="e">
        <f>IF(#REF!&lt;&gt;"N/A",Priority!$C43,"")</f>
        <v>#REF!</v>
      </c>
      <c r="CE43" s="29" t="e">
        <f>IF(#REF!&lt;&gt;"N/A",Priority!$C43,"")</f>
        <v>#REF!</v>
      </c>
      <c r="CF43" s="29" t="e">
        <f>IF(#REF!&lt;&gt;"N/A",Priority!$C43,"")</f>
        <v>#REF!</v>
      </c>
    </row>
    <row r="44" spans="1:84" ht="30">
      <c r="A44" s="15" t="e">
        <f>#REF!</f>
        <v>#REF!</v>
      </c>
      <c r="B44" s="15" t="e">
        <f>#REF!</f>
        <v>#REF!</v>
      </c>
      <c r="C44" s="15" t="e">
        <f>#REF!</f>
        <v>#REF!</v>
      </c>
      <c r="D44" s="11" t="s">
        <v>172</v>
      </c>
      <c r="E44" s="30" t="str">
        <f t="shared" si="9"/>
        <v>Pending</v>
      </c>
      <c r="F44" s="30" t="str">
        <f t="shared" si="10"/>
        <v>Pass:  0     /Accept:  0/     Fail:  0/     NT:  0</v>
      </c>
      <c r="G44" s="29" t="e">
        <f>IF(#REF!&lt;&gt;"N/A",Priority!$C44,"")</f>
        <v>#REF!</v>
      </c>
      <c r="H44" s="29" t="e">
        <f>IF(#REF!&lt;&gt;"N/A",Priority!$C44,"")</f>
        <v>#REF!</v>
      </c>
      <c r="I44" s="29" t="e">
        <f>IF(#REF!&lt;&gt;"N/A",Priority!$C44,"")</f>
        <v>#REF!</v>
      </c>
      <c r="J44" s="29" t="e">
        <f>IF(#REF!&lt;&gt;"N/A",Priority!$C44,"")</f>
        <v>#REF!</v>
      </c>
      <c r="K44" s="29" t="e">
        <f>IF(#REF!&lt;&gt;"N/A",Priority!$C44,"")</f>
        <v>#REF!</v>
      </c>
      <c r="L44" s="31"/>
      <c r="M44" s="29" t="e">
        <f>IF(#REF!&lt;&gt;"N/A",Priority!$C44,"")</f>
        <v>#REF!</v>
      </c>
      <c r="N44" s="29" t="e">
        <f>IF(#REF!&lt;&gt;"N/A",Priority!$C44,"")</f>
        <v>#REF!</v>
      </c>
      <c r="O44" s="29" t="e">
        <f>IF(#REF!&lt;&gt;"N/A",Priority!$C44,"")</f>
        <v>#REF!</v>
      </c>
      <c r="P44" s="29" t="e">
        <f>IF(#REF!&lt;&gt;"N/A",Priority!$C44,"")</f>
        <v>#REF!</v>
      </c>
      <c r="Q44" s="29" t="e">
        <f>IF(#REF!&lt;&gt;"N/A",Priority!$C44,"")</f>
        <v>#REF!</v>
      </c>
      <c r="R44" s="31"/>
      <c r="S44" s="29" t="e">
        <f>IF(#REF!&lt;&gt;"N/A",Priority!$C44,"")</f>
        <v>#REF!</v>
      </c>
      <c r="T44" s="29" t="e">
        <f>IF(#REF!&lt;&gt;"N/A",Priority!$C44,"")</f>
        <v>#REF!</v>
      </c>
      <c r="U44" s="29" t="e">
        <f>IF(#REF!&lt;&gt;"N/A",Priority!$C44,"")</f>
        <v>#REF!</v>
      </c>
      <c r="V44" s="29" t="e">
        <f>IF(#REF!&lt;&gt;"N/A",Priority!$C44,"")</f>
        <v>#REF!</v>
      </c>
      <c r="W44" s="29" t="e">
        <f>IF(#REF!&lt;&gt;"N/A",Priority!$C44,"")</f>
        <v>#REF!</v>
      </c>
      <c r="X44" s="29" t="e">
        <f>IF(#REF!&lt;&gt;"N/A",Priority!$C44,"")</f>
        <v>#REF!</v>
      </c>
      <c r="Y44" s="31"/>
      <c r="Z44" s="29" t="e">
        <f>IF(#REF!&lt;&gt;"N/A",Priority!$C44,"")</f>
        <v>#REF!</v>
      </c>
      <c r="AA44" s="29" t="e">
        <f>IF(#REF!&lt;&gt;"N/A",Priority!$C44,"")</f>
        <v>#REF!</v>
      </c>
      <c r="AB44" s="29" t="e">
        <f>IF(#REF!&lt;&gt;"N/A",Priority!$C44,"")</f>
        <v>#REF!</v>
      </c>
      <c r="AC44" s="29" t="e">
        <f>IF(#REF!&lt;&gt;"N/A",Priority!$C44,"")</f>
        <v>#REF!</v>
      </c>
      <c r="AD44" s="29" t="e">
        <f>IF(#REF!&lt;&gt;"N/A",Priority!$C44,"")</f>
        <v>#REF!</v>
      </c>
      <c r="AE44" s="29" t="e">
        <f>IF(#REF!&lt;&gt;"N/A",Priority!$C44,"")</f>
        <v>#REF!</v>
      </c>
      <c r="AF44" s="29" t="e">
        <f>IF(#REF!&lt;&gt;"N/A",Priority!$C44,"")</f>
        <v>#REF!</v>
      </c>
      <c r="AG44" s="29" t="e">
        <f>IF(#REF!&lt;&gt;"N/A",Priority!$C44,"")</f>
        <v>#REF!</v>
      </c>
      <c r="AH44" s="29" t="e">
        <f>IF(#REF!&lt;&gt;"N/A",Priority!$C44,"")</f>
        <v>#REF!</v>
      </c>
      <c r="AI44" s="29" t="e">
        <f>IF(#REF!&lt;&gt;"N/A",Priority!$C44,"")</f>
        <v>#REF!</v>
      </c>
      <c r="AJ44" s="31"/>
      <c r="AK44" s="29" t="e">
        <f>IF(#REF!&lt;&gt;"N/A",Priority!$C44,"")</f>
        <v>#REF!</v>
      </c>
      <c r="AL44" s="29" t="e">
        <f>IF(#REF!&lt;&gt;"N/A",Priority!$C44,"")</f>
        <v>#REF!</v>
      </c>
      <c r="AM44" s="29" t="e">
        <f>IF(#REF!&lt;&gt;"N/A",Priority!$C44,"")</f>
        <v>#REF!</v>
      </c>
      <c r="AN44" s="29" t="e">
        <f>IF(#REF!&lt;&gt;"N/A",Priority!$C44,"")</f>
        <v>#REF!</v>
      </c>
      <c r="AO44" s="29" t="e">
        <f>IF(#REF!&lt;&gt;"N/A",Priority!$C44,"")</f>
        <v>#REF!</v>
      </c>
      <c r="AP44" s="29" t="e">
        <f>IF(#REF!&lt;&gt;"N/A",Priority!$C44,"")</f>
        <v>#REF!</v>
      </c>
      <c r="AQ44" s="29" t="e">
        <f>IF(#REF!&lt;&gt;"N/A",Priority!$C44,"")</f>
        <v>#REF!</v>
      </c>
      <c r="AR44" s="29" t="e">
        <f>IF(#REF!&lt;&gt;"N/A",Priority!$C44,"")</f>
        <v>#REF!</v>
      </c>
      <c r="AS44" s="29" t="e">
        <f>IF(#REF!&lt;&gt;"N/A",Priority!$C44,"")</f>
        <v>#REF!</v>
      </c>
      <c r="AT44" s="29" t="e">
        <f>IF(#REF!&lt;&gt;"N/A",Priority!$C44,"")</f>
        <v>#REF!</v>
      </c>
      <c r="AU44" s="31"/>
      <c r="AV44" s="29" t="e">
        <f>IF(#REF!&lt;&gt;"N/A",Priority!$C44,"")</f>
        <v>#REF!</v>
      </c>
      <c r="AW44" s="29" t="e">
        <f>IF(#REF!&lt;&gt;"N/A",Priority!$C44,"")</f>
        <v>#REF!</v>
      </c>
      <c r="AX44" s="29" t="e">
        <f>IF(#REF!&lt;&gt;"N/A",Priority!$C44,"")</f>
        <v>#REF!</v>
      </c>
      <c r="AY44" s="29" t="e">
        <f>IF(#REF!&lt;&gt;"N/A",Priority!$C44,"")</f>
        <v>#REF!</v>
      </c>
      <c r="AZ44" s="29" t="e">
        <f>IF(#REF!&lt;&gt;"N/A",Priority!$C44,"")</f>
        <v>#REF!</v>
      </c>
      <c r="BA44" s="29" t="e">
        <f>IF(#REF!&lt;&gt;"N/A",Priority!$C44,"")</f>
        <v>#REF!</v>
      </c>
      <c r="BB44" s="29" t="e">
        <f>IF(#REF!&lt;&gt;"N/A",Priority!$C44,"")</f>
        <v>#REF!</v>
      </c>
      <c r="BC44" s="31"/>
      <c r="BD44" s="29" t="e">
        <f>IF(#REF!&lt;&gt;"N/A",Priority!$C44,"")</f>
        <v>#REF!</v>
      </c>
      <c r="BE44" s="29" t="e">
        <f>IF(#REF!&lt;&gt;"N/A",Priority!$C44,"")</f>
        <v>#REF!</v>
      </c>
      <c r="BF44" s="29" t="e">
        <f>IF(#REF!&lt;&gt;"N/A",Priority!$C44,"")</f>
        <v>#REF!</v>
      </c>
      <c r="BG44" s="29" t="e">
        <f>IF(#REF!&lt;&gt;"N/A",Priority!$C44,"")</f>
        <v>#REF!</v>
      </c>
      <c r="BH44" s="29" t="e">
        <f>IF(#REF!&lt;&gt;"N/A",Priority!$C44,"")</f>
        <v>#REF!</v>
      </c>
      <c r="BI44" s="29" t="e">
        <f>IF(#REF!&lt;&gt;"N/A",Priority!$C44,"")</f>
        <v>#REF!</v>
      </c>
      <c r="BJ44" s="29" t="e">
        <f>IF(#REF!&lt;&gt;"N/A",Priority!$C44,"")</f>
        <v>#REF!</v>
      </c>
      <c r="BK44" s="29" t="e">
        <f>IF(#REF!&lt;&gt;"N/A",Priority!$C44,"")</f>
        <v>#REF!</v>
      </c>
      <c r="BL44" s="29" t="e">
        <f>IF(#REF!&lt;&gt;"N/A",Priority!$C44,"")</f>
        <v>#REF!</v>
      </c>
      <c r="BM44" s="31"/>
      <c r="BN44" s="29" t="e">
        <f>IF(#REF!&lt;&gt;"N/A",Priority!$C44,"")</f>
        <v>#REF!</v>
      </c>
      <c r="BO44" s="29" t="e">
        <f>IF(#REF!&lt;&gt;"N/A",Priority!$C44,"")</f>
        <v>#REF!</v>
      </c>
      <c r="BP44" s="29" t="e">
        <f>IF(#REF!&lt;&gt;"N/A",Priority!$C44,"")</f>
        <v>#REF!</v>
      </c>
      <c r="BQ44" s="29" t="e">
        <f>IF(#REF!&lt;&gt;"N/A",Priority!$C44,"")</f>
        <v>#REF!</v>
      </c>
      <c r="BR44" s="29" t="e">
        <f>IF(#REF!&lt;&gt;"N/A",Priority!$C44,"")</f>
        <v>#REF!</v>
      </c>
      <c r="BS44" s="29" t="e">
        <f>IF(#REF!&lt;&gt;"N/A",Priority!$C44,"")</f>
        <v>#REF!</v>
      </c>
      <c r="BT44" s="29" t="e">
        <f>IF(#REF!&lt;&gt;"N/A",Priority!$C44,"")</f>
        <v>#REF!</v>
      </c>
      <c r="BU44" s="31"/>
      <c r="BV44" s="29" t="e">
        <f>IF(#REF!&lt;&gt;"N/A",Priority!$C44,"")</f>
        <v>#REF!</v>
      </c>
      <c r="BW44" s="29" t="e">
        <f>IF(#REF!&lt;&gt;"N/A",Priority!$C44,"")</f>
        <v>#REF!</v>
      </c>
      <c r="BX44" s="29" t="e">
        <f>IF(#REF!&lt;&gt;"N/A",Priority!$C44,"")</f>
        <v>#REF!</v>
      </c>
      <c r="BY44" s="29" t="e">
        <f>IF(#REF!&lt;&gt;"N/A",Priority!$C44,"")</f>
        <v>#REF!</v>
      </c>
      <c r="BZ44" s="29" t="e">
        <f>IF(#REF!&lt;&gt;"N/A",Priority!$C44,"")</f>
        <v>#REF!</v>
      </c>
      <c r="CA44" s="29" t="e">
        <f>IF(#REF!&lt;&gt;"N/A",Priority!$C44,"")</f>
        <v>#REF!</v>
      </c>
      <c r="CB44" s="31"/>
      <c r="CC44" s="29" t="e">
        <f>IF(#REF!&lt;&gt;"N/A",Priority!$C44,"")</f>
        <v>#REF!</v>
      </c>
      <c r="CD44" s="29" t="e">
        <f>IF(#REF!&lt;&gt;"N/A",Priority!$C44,"")</f>
        <v>#REF!</v>
      </c>
      <c r="CE44" s="29" t="e">
        <f>IF(#REF!&lt;&gt;"N/A",Priority!$C44,"")</f>
        <v>#REF!</v>
      </c>
      <c r="CF44" s="29" t="e">
        <f>IF(#REF!&lt;&gt;"N/A",Priority!$C44,"")</f>
        <v>#REF!</v>
      </c>
    </row>
    <row r="45" spans="1:84" ht="15.75">
      <c r="A45" s="4" t="e">
        <f>#REF!</f>
        <v>#REF!</v>
      </c>
      <c r="B45" s="4" t="e">
        <f>#REF!</f>
        <v>#REF!</v>
      </c>
      <c r="C45" s="3"/>
      <c r="D45" s="25"/>
      <c r="E45" s="25"/>
      <c r="F45" s="3"/>
      <c r="G45" s="6"/>
      <c r="H45" s="6"/>
      <c r="I45" s="6"/>
      <c r="J45" s="6"/>
      <c r="K45" s="6"/>
      <c r="L45" s="34"/>
      <c r="M45" s="6"/>
      <c r="N45" s="6"/>
      <c r="O45" s="6"/>
      <c r="P45" s="6"/>
      <c r="Q45" s="6"/>
      <c r="R45" s="34"/>
      <c r="S45" s="6"/>
      <c r="T45" s="6"/>
      <c r="U45" s="6"/>
      <c r="V45" s="6"/>
      <c r="W45" s="6"/>
      <c r="X45" s="6"/>
      <c r="Y45" s="34"/>
      <c r="Z45" s="6"/>
      <c r="AA45" s="6"/>
      <c r="AB45" s="6"/>
      <c r="AC45" s="6"/>
      <c r="AD45" s="6"/>
      <c r="AE45" s="6"/>
      <c r="AF45" s="6"/>
      <c r="AG45" s="6"/>
      <c r="AH45" s="6"/>
      <c r="AI45" s="6"/>
      <c r="AJ45" s="34"/>
      <c r="AK45" s="6"/>
      <c r="AL45" s="6"/>
      <c r="AM45" s="6"/>
      <c r="AN45" s="6"/>
      <c r="AO45" s="6"/>
      <c r="AP45" s="6"/>
      <c r="AQ45" s="6"/>
      <c r="AR45" s="6"/>
      <c r="AS45" s="6"/>
      <c r="AT45" s="6"/>
      <c r="AU45" s="34"/>
      <c r="AV45" s="6"/>
      <c r="AW45" s="6"/>
      <c r="AX45" s="6"/>
      <c r="AY45" s="6"/>
      <c r="AZ45" s="6"/>
      <c r="BA45" s="6"/>
      <c r="BB45" s="6"/>
      <c r="BC45" s="34"/>
      <c r="BD45" s="6"/>
      <c r="BE45" s="6"/>
      <c r="BF45" s="6"/>
      <c r="BG45" s="6"/>
      <c r="BH45" s="6"/>
      <c r="BI45" s="6"/>
      <c r="BJ45" s="6"/>
      <c r="BK45" s="6"/>
      <c r="BL45" s="6"/>
      <c r="BM45" s="34"/>
      <c r="BN45" s="6"/>
      <c r="BO45" s="6"/>
      <c r="BP45" s="6"/>
      <c r="BQ45" s="6"/>
      <c r="BR45" s="6"/>
      <c r="BS45" s="6"/>
      <c r="BT45" s="6"/>
      <c r="BU45" s="34"/>
      <c r="BV45" s="6"/>
      <c r="BW45" s="6"/>
      <c r="BX45" s="6"/>
      <c r="BY45" s="6"/>
      <c r="BZ45" s="6"/>
      <c r="CA45" s="6"/>
      <c r="CB45" s="34"/>
      <c r="CC45" s="6"/>
      <c r="CD45" s="6"/>
      <c r="CE45" s="6"/>
      <c r="CF45" s="6"/>
    </row>
    <row r="46" spans="1:84" ht="30">
      <c r="A46" s="15" t="e">
        <f>#REF!</f>
        <v>#REF!</v>
      </c>
      <c r="B46" s="15" t="e">
        <f>#REF!</f>
        <v>#REF!</v>
      </c>
      <c r="C46" s="15" t="e">
        <f>#REF!</f>
        <v>#REF!</v>
      </c>
      <c r="D46" s="20" t="s">
        <v>136</v>
      </c>
      <c r="E46" s="30" t="str">
        <f t="shared" ref="E46:E57" si="11">IF(COUNTIFS(F46:CF46,"F")+COUNTIFS(F46:CF46,"NT")&gt;0,"In Test",IF(COUNTIFS(F46:CF46,"P")+COUNTIFS(F46:CF46,"A")&gt;0,"Pass","Pending"))</f>
        <v>Pending</v>
      </c>
      <c r="F46" s="30" t="str">
        <f t="shared" ref="F46:F57" si="12" xml:space="preserve"> "Pass:  "&amp; COUNTIFS(G46:CG46,"P")&amp;  "     /Accept:  "&amp; COUNTIFS(G46:CG46,"A")&amp;  "/     Fail:  "&amp; COUNTIFS(G46:CG46,"Fail") &amp;  "/     NT:  "&amp; COUNTIFS(G46:CG46,"NT")</f>
        <v>Pass:  0     /Accept:  0/     Fail:  0/     NT:  0</v>
      </c>
      <c r="G46" s="29" t="e">
        <f>IF(#REF!&lt;&gt;"N/A",Priority!$C46,"")</f>
        <v>#REF!</v>
      </c>
      <c r="H46" s="29" t="e">
        <f>IF(#REF!&lt;&gt;"N/A",Priority!$C46,"")</f>
        <v>#REF!</v>
      </c>
      <c r="I46" s="29" t="e">
        <f>IF(#REF!&lt;&gt;"N/A",Priority!$C46,"")</f>
        <v>#REF!</v>
      </c>
      <c r="J46" s="29" t="e">
        <f>IF(#REF!&lt;&gt;"N/A",Priority!$C46,"")</f>
        <v>#REF!</v>
      </c>
      <c r="K46" s="29" t="e">
        <f>IF(#REF!&lt;&gt;"N/A",Priority!$C46,"")</f>
        <v>#REF!</v>
      </c>
      <c r="L46" s="31"/>
      <c r="M46" s="29" t="e">
        <f>IF(#REF!&lt;&gt;"N/A",Priority!$C46,"")</f>
        <v>#REF!</v>
      </c>
      <c r="N46" s="29" t="e">
        <f>IF(#REF!&lt;&gt;"N/A",Priority!$C46,"")</f>
        <v>#REF!</v>
      </c>
      <c r="O46" s="29" t="e">
        <f>IF(#REF!&lt;&gt;"N/A",Priority!$C46,"")</f>
        <v>#REF!</v>
      </c>
      <c r="P46" s="29" t="e">
        <f>IF(#REF!&lt;&gt;"N/A",Priority!$C46,"")</f>
        <v>#REF!</v>
      </c>
      <c r="Q46" s="29" t="e">
        <f>IF(#REF!&lt;&gt;"N/A",Priority!$C46,"")</f>
        <v>#REF!</v>
      </c>
      <c r="R46" s="31"/>
      <c r="S46" s="29" t="e">
        <f>IF(#REF!&lt;&gt;"N/A",Priority!$C46,"")</f>
        <v>#REF!</v>
      </c>
      <c r="T46" s="29" t="e">
        <f>IF(#REF!&lt;&gt;"N/A",Priority!$C46,"")</f>
        <v>#REF!</v>
      </c>
      <c r="U46" s="29" t="e">
        <f>IF(#REF!&lt;&gt;"N/A",Priority!$C46,"")</f>
        <v>#REF!</v>
      </c>
      <c r="V46" s="29" t="e">
        <f>IF(#REF!&lt;&gt;"N/A",Priority!$C46,"")</f>
        <v>#REF!</v>
      </c>
      <c r="W46" s="29" t="e">
        <f>IF(#REF!&lt;&gt;"N/A",Priority!$C46,"")</f>
        <v>#REF!</v>
      </c>
      <c r="X46" s="29" t="e">
        <f>IF(#REF!&lt;&gt;"N/A",Priority!$C46,"")</f>
        <v>#REF!</v>
      </c>
      <c r="Y46" s="31"/>
      <c r="Z46" s="29" t="e">
        <f>IF(#REF!&lt;&gt;"N/A",Priority!$C46,"")</f>
        <v>#REF!</v>
      </c>
      <c r="AA46" s="29" t="e">
        <f>IF(#REF!&lt;&gt;"N/A",Priority!$C46,"")</f>
        <v>#REF!</v>
      </c>
      <c r="AB46" s="29" t="e">
        <f>IF(#REF!&lt;&gt;"N/A",Priority!$C46,"")</f>
        <v>#REF!</v>
      </c>
      <c r="AC46" s="29" t="e">
        <f>IF(#REF!&lt;&gt;"N/A",Priority!$C46,"")</f>
        <v>#REF!</v>
      </c>
      <c r="AD46" s="29" t="e">
        <f>IF(#REF!&lt;&gt;"N/A",Priority!$C46,"")</f>
        <v>#REF!</v>
      </c>
      <c r="AE46" s="29" t="e">
        <f>IF(#REF!&lt;&gt;"N/A",Priority!$C46,"")</f>
        <v>#REF!</v>
      </c>
      <c r="AF46" s="29" t="e">
        <f>IF(#REF!&lt;&gt;"N/A",Priority!$C46,"")</f>
        <v>#REF!</v>
      </c>
      <c r="AG46" s="29" t="e">
        <f>IF(#REF!&lt;&gt;"N/A",Priority!$C46,"")</f>
        <v>#REF!</v>
      </c>
      <c r="AH46" s="29" t="e">
        <f>IF(#REF!&lt;&gt;"N/A",Priority!$C46,"")</f>
        <v>#REF!</v>
      </c>
      <c r="AI46" s="29" t="e">
        <f>IF(#REF!&lt;&gt;"N/A",Priority!$C46,"")</f>
        <v>#REF!</v>
      </c>
      <c r="AJ46" s="31"/>
      <c r="AK46" s="29" t="e">
        <f>IF(#REF!&lt;&gt;"N/A",Priority!$C46,"")</f>
        <v>#REF!</v>
      </c>
      <c r="AL46" s="29" t="e">
        <f>IF(#REF!&lt;&gt;"N/A",Priority!$C46,"")</f>
        <v>#REF!</v>
      </c>
      <c r="AM46" s="29" t="e">
        <f>IF(#REF!&lt;&gt;"N/A",Priority!$C46,"")</f>
        <v>#REF!</v>
      </c>
      <c r="AN46" s="29" t="e">
        <f>IF(#REF!&lt;&gt;"N/A",Priority!$C46,"")</f>
        <v>#REF!</v>
      </c>
      <c r="AO46" s="29" t="e">
        <f>IF(#REF!&lt;&gt;"N/A",Priority!$C46,"")</f>
        <v>#REF!</v>
      </c>
      <c r="AP46" s="29" t="e">
        <f>IF(#REF!&lt;&gt;"N/A",Priority!$C46,"")</f>
        <v>#REF!</v>
      </c>
      <c r="AQ46" s="29" t="e">
        <f>IF(#REF!&lt;&gt;"N/A",Priority!$C46,"")</f>
        <v>#REF!</v>
      </c>
      <c r="AR46" s="29" t="e">
        <f>IF(#REF!&lt;&gt;"N/A",Priority!$C46,"")</f>
        <v>#REF!</v>
      </c>
      <c r="AS46" s="29" t="e">
        <f>IF(#REF!&lt;&gt;"N/A",Priority!$C46,"")</f>
        <v>#REF!</v>
      </c>
      <c r="AT46" s="29" t="e">
        <f>IF(#REF!&lt;&gt;"N/A",Priority!$C46,"")</f>
        <v>#REF!</v>
      </c>
      <c r="AU46" s="31"/>
      <c r="AV46" s="29" t="e">
        <f>IF(#REF!&lt;&gt;"N/A",Priority!$C46,"")</f>
        <v>#REF!</v>
      </c>
      <c r="AW46" s="29" t="e">
        <f>IF(#REF!&lt;&gt;"N/A",Priority!$C46,"")</f>
        <v>#REF!</v>
      </c>
      <c r="AX46" s="29" t="e">
        <f>IF(#REF!&lt;&gt;"N/A",Priority!$C46,"")</f>
        <v>#REF!</v>
      </c>
      <c r="AY46" s="29" t="e">
        <f>IF(#REF!&lt;&gt;"N/A",Priority!$C46,"")</f>
        <v>#REF!</v>
      </c>
      <c r="AZ46" s="29" t="e">
        <f>IF(#REF!&lt;&gt;"N/A",Priority!$C46,"")</f>
        <v>#REF!</v>
      </c>
      <c r="BA46" s="29" t="e">
        <f>IF(#REF!&lt;&gt;"N/A",Priority!$C46,"")</f>
        <v>#REF!</v>
      </c>
      <c r="BB46" s="29" t="e">
        <f>IF(#REF!&lt;&gt;"N/A",Priority!$C46,"")</f>
        <v>#REF!</v>
      </c>
      <c r="BC46" s="31"/>
      <c r="BD46" s="29" t="e">
        <f>IF(#REF!&lt;&gt;"N/A",Priority!$C46,"")</f>
        <v>#REF!</v>
      </c>
      <c r="BE46" s="29" t="e">
        <f>IF(#REF!&lt;&gt;"N/A",Priority!$C46,"")</f>
        <v>#REF!</v>
      </c>
      <c r="BF46" s="29" t="e">
        <f>IF(#REF!&lt;&gt;"N/A",Priority!$C46,"")</f>
        <v>#REF!</v>
      </c>
      <c r="BG46" s="29" t="e">
        <f>IF(#REF!&lt;&gt;"N/A",Priority!$C46,"")</f>
        <v>#REF!</v>
      </c>
      <c r="BH46" s="29" t="e">
        <f>IF(#REF!&lt;&gt;"N/A",Priority!$C46,"")</f>
        <v>#REF!</v>
      </c>
      <c r="BI46" s="29" t="e">
        <f>IF(#REF!&lt;&gt;"N/A",Priority!$C46,"")</f>
        <v>#REF!</v>
      </c>
      <c r="BJ46" s="29" t="e">
        <f>IF(#REF!&lt;&gt;"N/A",Priority!$C46,"")</f>
        <v>#REF!</v>
      </c>
      <c r="BK46" s="29" t="e">
        <f>IF(#REF!&lt;&gt;"N/A",Priority!$C46,"")</f>
        <v>#REF!</v>
      </c>
      <c r="BL46" s="29" t="e">
        <f>IF(#REF!&lt;&gt;"N/A",Priority!$C46,"")</f>
        <v>#REF!</v>
      </c>
      <c r="BM46" s="31"/>
      <c r="BN46" s="29" t="e">
        <f>IF(#REF!&lt;&gt;"N/A",Priority!$C46,"")</f>
        <v>#REF!</v>
      </c>
      <c r="BO46" s="29" t="e">
        <f>IF(#REF!&lt;&gt;"N/A",Priority!$C46,"")</f>
        <v>#REF!</v>
      </c>
      <c r="BP46" s="29" t="e">
        <f>IF(#REF!&lt;&gt;"N/A",Priority!$C46,"")</f>
        <v>#REF!</v>
      </c>
      <c r="BQ46" s="29" t="e">
        <f>IF(#REF!&lt;&gt;"N/A",Priority!$C46,"")</f>
        <v>#REF!</v>
      </c>
      <c r="BR46" s="29" t="e">
        <f>IF(#REF!&lt;&gt;"N/A",Priority!$C46,"")</f>
        <v>#REF!</v>
      </c>
      <c r="BS46" s="29" t="e">
        <f>IF(#REF!&lt;&gt;"N/A",Priority!$C46,"")</f>
        <v>#REF!</v>
      </c>
      <c r="BT46" s="29" t="e">
        <f>IF(#REF!&lt;&gt;"N/A",Priority!$C46,"")</f>
        <v>#REF!</v>
      </c>
      <c r="BU46" s="31"/>
      <c r="BV46" s="29" t="e">
        <f>IF(#REF!&lt;&gt;"N/A",Priority!$C46,"")</f>
        <v>#REF!</v>
      </c>
      <c r="BW46" s="29" t="e">
        <f>IF(#REF!&lt;&gt;"N/A",Priority!$C46,"")</f>
        <v>#REF!</v>
      </c>
      <c r="BX46" s="29" t="e">
        <f>IF(#REF!&lt;&gt;"N/A",Priority!$C46,"")</f>
        <v>#REF!</v>
      </c>
      <c r="BY46" s="29" t="e">
        <f>IF(#REF!&lt;&gt;"N/A",Priority!$C46,"")</f>
        <v>#REF!</v>
      </c>
      <c r="BZ46" s="29" t="e">
        <f>IF(#REF!&lt;&gt;"N/A",Priority!$C46,"")</f>
        <v>#REF!</v>
      </c>
      <c r="CA46" s="29" t="e">
        <f>IF(#REF!&lt;&gt;"N/A",Priority!$C46,"")</f>
        <v>#REF!</v>
      </c>
      <c r="CB46" s="31"/>
      <c r="CC46" s="29" t="e">
        <f>IF(#REF!&lt;&gt;"N/A",Priority!$C46,"")</f>
        <v>#REF!</v>
      </c>
      <c r="CD46" s="29" t="e">
        <f>IF(#REF!&lt;&gt;"N/A",Priority!$C46,"")</f>
        <v>#REF!</v>
      </c>
      <c r="CE46" s="29" t="e">
        <f>IF(#REF!&lt;&gt;"N/A",Priority!$C46,"")</f>
        <v>#REF!</v>
      </c>
      <c r="CF46" s="29" t="e">
        <f>IF(#REF!&lt;&gt;"N/A",Priority!$C46,"")</f>
        <v>#REF!</v>
      </c>
    </row>
    <row r="47" spans="1:84" ht="30">
      <c r="A47" s="15" t="e">
        <f>#REF!</f>
        <v>#REF!</v>
      </c>
      <c r="B47" s="15" t="e">
        <f>#REF!</f>
        <v>#REF!</v>
      </c>
      <c r="C47" s="15" t="e">
        <f>#REF!</f>
        <v>#REF!</v>
      </c>
      <c r="D47" s="22" t="s">
        <v>119</v>
      </c>
      <c r="E47" s="30" t="str">
        <f t="shared" si="11"/>
        <v>Pending</v>
      </c>
      <c r="F47" s="30" t="str">
        <f t="shared" si="12"/>
        <v>Pass:  0     /Accept:  0/     Fail:  0/     NT:  0</v>
      </c>
      <c r="G47" s="29" t="e">
        <f>IF(#REF!&lt;&gt;"N/A",Priority!$C47,"")</f>
        <v>#REF!</v>
      </c>
      <c r="H47" s="29" t="e">
        <f>IF(#REF!&lt;&gt;"N/A",Priority!$C47,"")</f>
        <v>#REF!</v>
      </c>
      <c r="I47" s="29" t="e">
        <f>IF(#REF!&lt;&gt;"N/A",Priority!$C47,"")</f>
        <v>#REF!</v>
      </c>
      <c r="J47" s="29" t="e">
        <f>IF(#REF!&lt;&gt;"N/A",Priority!$C47,"")</f>
        <v>#REF!</v>
      </c>
      <c r="K47" s="29" t="e">
        <f>IF(#REF!&lt;&gt;"N/A",Priority!$C47,"")</f>
        <v>#REF!</v>
      </c>
      <c r="L47" s="31"/>
      <c r="M47" s="29" t="e">
        <f>IF(#REF!&lt;&gt;"N/A",Priority!$C47,"")</f>
        <v>#REF!</v>
      </c>
      <c r="N47" s="29" t="e">
        <f>IF(#REF!&lt;&gt;"N/A",Priority!$C47,"")</f>
        <v>#REF!</v>
      </c>
      <c r="O47" s="29" t="e">
        <f>IF(#REF!&lt;&gt;"N/A",Priority!$C47,"")</f>
        <v>#REF!</v>
      </c>
      <c r="P47" s="29" t="e">
        <f>IF(#REF!&lt;&gt;"N/A",Priority!$C47,"")</f>
        <v>#REF!</v>
      </c>
      <c r="Q47" s="29" t="e">
        <f>IF(#REF!&lt;&gt;"N/A",Priority!$C47,"")</f>
        <v>#REF!</v>
      </c>
      <c r="R47" s="31"/>
      <c r="S47" s="29" t="e">
        <f>IF(#REF!&lt;&gt;"N/A",Priority!$C47,"")</f>
        <v>#REF!</v>
      </c>
      <c r="T47" s="29" t="e">
        <f>IF(#REF!&lt;&gt;"N/A",Priority!$C47,"")</f>
        <v>#REF!</v>
      </c>
      <c r="U47" s="29" t="e">
        <f>IF(#REF!&lt;&gt;"N/A",Priority!$C47,"")</f>
        <v>#REF!</v>
      </c>
      <c r="V47" s="29" t="e">
        <f>IF(#REF!&lt;&gt;"N/A",Priority!$C47,"")</f>
        <v>#REF!</v>
      </c>
      <c r="W47" s="29" t="e">
        <f>IF(#REF!&lt;&gt;"N/A",Priority!$C47,"")</f>
        <v>#REF!</v>
      </c>
      <c r="X47" s="29" t="e">
        <f>IF(#REF!&lt;&gt;"N/A",Priority!$C47,"")</f>
        <v>#REF!</v>
      </c>
      <c r="Y47" s="31"/>
      <c r="Z47" s="29" t="e">
        <f>IF(#REF!&lt;&gt;"N/A",Priority!$C47,"")</f>
        <v>#REF!</v>
      </c>
      <c r="AA47" s="29" t="e">
        <f>IF(#REF!&lt;&gt;"N/A",Priority!$C47,"")</f>
        <v>#REF!</v>
      </c>
      <c r="AB47" s="29" t="e">
        <f>IF(#REF!&lt;&gt;"N/A",Priority!$C47,"")</f>
        <v>#REF!</v>
      </c>
      <c r="AC47" s="29" t="e">
        <f>IF(#REF!&lt;&gt;"N/A",Priority!$C47,"")</f>
        <v>#REF!</v>
      </c>
      <c r="AD47" s="29" t="e">
        <f>IF(#REF!&lt;&gt;"N/A",Priority!$C47,"")</f>
        <v>#REF!</v>
      </c>
      <c r="AE47" s="29" t="e">
        <f>IF(#REF!&lt;&gt;"N/A",Priority!$C47,"")</f>
        <v>#REF!</v>
      </c>
      <c r="AF47" s="29" t="e">
        <f>IF(#REF!&lt;&gt;"N/A",Priority!$C47,"")</f>
        <v>#REF!</v>
      </c>
      <c r="AG47" s="29" t="e">
        <f>IF(#REF!&lt;&gt;"N/A",Priority!$C47,"")</f>
        <v>#REF!</v>
      </c>
      <c r="AH47" s="29" t="e">
        <f>IF(#REF!&lt;&gt;"N/A",Priority!$C47,"")</f>
        <v>#REF!</v>
      </c>
      <c r="AI47" s="29" t="e">
        <f>IF(#REF!&lt;&gt;"N/A",Priority!$C47,"")</f>
        <v>#REF!</v>
      </c>
      <c r="AJ47" s="31"/>
      <c r="AK47" s="29" t="e">
        <f>IF(#REF!&lt;&gt;"N/A",Priority!$C47,"")</f>
        <v>#REF!</v>
      </c>
      <c r="AL47" s="29" t="e">
        <f>IF(#REF!&lt;&gt;"N/A",Priority!$C47,"")</f>
        <v>#REF!</v>
      </c>
      <c r="AM47" s="29" t="e">
        <f>IF(#REF!&lt;&gt;"N/A",Priority!$C47,"")</f>
        <v>#REF!</v>
      </c>
      <c r="AN47" s="29" t="e">
        <f>IF(#REF!&lt;&gt;"N/A",Priority!$C47,"")</f>
        <v>#REF!</v>
      </c>
      <c r="AO47" s="29" t="e">
        <f>IF(#REF!&lt;&gt;"N/A",Priority!$C47,"")</f>
        <v>#REF!</v>
      </c>
      <c r="AP47" s="29" t="e">
        <f>IF(#REF!&lt;&gt;"N/A",Priority!$C47,"")</f>
        <v>#REF!</v>
      </c>
      <c r="AQ47" s="29" t="e">
        <f>IF(#REF!&lt;&gt;"N/A",Priority!$C47,"")</f>
        <v>#REF!</v>
      </c>
      <c r="AR47" s="29" t="e">
        <f>IF(#REF!&lt;&gt;"N/A",Priority!$C47,"")</f>
        <v>#REF!</v>
      </c>
      <c r="AS47" s="29" t="e">
        <f>IF(#REF!&lt;&gt;"N/A",Priority!$C47,"")</f>
        <v>#REF!</v>
      </c>
      <c r="AT47" s="29" t="e">
        <f>IF(#REF!&lt;&gt;"N/A",Priority!$C47,"")</f>
        <v>#REF!</v>
      </c>
      <c r="AU47" s="31"/>
      <c r="AV47" s="29" t="e">
        <f>IF(#REF!&lt;&gt;"N/A",Priority!$C47,"")</f>
        <v>#REF!</v>
      </c>
      <c r="AW47" s="29" t="e">
        <f>IF(#REF!&lt;&gt;"N/A",Priority!$C47,"")</f>
        <v>#REF!</v>
      </c>
      <c r="AX47" s="29" t="e">
        <f>IF(#REF!&lt;&gt;"N/A",Priority!$C47,"")</f>
        <v>#REF!</v>
      </c>
      <c r="AY47" s="29" t="e">
        <f>IF(#REF!&lt;&gt;"N/A",Priority!$C47,"")</f>
        <v>#REF!</v>
      </c>
      <c r="AZ47" s="29" t="e">
        <f>IF(#REF!&lt;&gt;"N/A",Priority!$C47,"")</f>
        <v>#REF!</v>
      </c>
      <c r="BA47" s="29" t="e">
        <f>IF(#REF!&lt;&gt;"N/A",Priority!$C47,"")</f>
        <v>#REF!</v>
      </c>
      <c r="BB47" s="29" t="e">
        <f>IF(#REF!&lt;&gt;"N/A",Priority!$C47,"")</f>
        <v>#REF!</v>
      </c>
      <c r="BC47" s="31"/>
      <c r="BD47" s="29" t="e">
        <f>IF(#REF!&lt;&gt;"N/A",Priority!$C47,"")</f>
        <v>#REF!</v>
      </c>
      <c r="BE47" s="29" t="e">
        <f>IF(#REF!&lt;&gt;"N/A",Priority!$C47,"")</f>
        <v>#REF!</v>
      </c>
      <c r="BF47" s="29" t="e">
        <f>IF(#REF!&lt;&gt;"N/A",Priority!$C47,"")</f>
        <v>#REF!</v>
      </c>
      <c r="BG47" s="29" t="e">
        <f>IF(#REF!&lt;&gt;"N/A",Priority!$C47,"")</f>
        <v>#REF!</v>
      </c>
      <c r="BH47" s="29" t="e">
        <f>IF(#REF!&lt;&gt;"N/A",Priority!$C47,"")</f>
        <v>#REF!</v>
      </c>
      <c r="BI47" s="29" t="e">
        <f>IF(#REF!&lt;&gt;"N/A",Priority!$C47,"")</f>
        <v>#REF!</v>
      </c>
      <c r="BJ47" s="29" t="e">
        <f>IF(#REF!&lt;&gt;"N/A",Priority!$C47,"")</f>
        <v>#REF!</v>
      </c>
      <c r="BK47" s="29" t="e">
        <f>IF(#REF!&lt;&gt;"N/A",Priority!$C47,"")</f>
        <v>#REF!</v>
      </c>
      <c r="BL47" s="29" t="e">
        <f>IF(#REF!&lt;&gt;"N/A",Priority!$C47,"")</f>
        <v>#REF!</v>
      </c>
      <c r="BM47" s="31"/>
      <c r="BN47" s="29" t="e">
        <f>IF(#REF!&lt;&gt;"N/A",Priority!$C47,"")</f>
        <v>#REF!</v>
      </c>
      <c r="BO47" s="29" t="e">
        <f>IF(#REF!&lt;&gt;"N/A",Priority!$C47,"")</f>
        <v>#REF!</v>
      </c>
      <c r="BP47" s="29" t="e">
        <f>IF(#REF!&lt;&gt;"N/A",Priority!$C47,"")</f>
        <v>#REF!</v>
      </c>
      <c r="BQ47" s="29" t="e">
        <f>IF(#REF!&lt;&gt;"N/A",Priority!$C47,"")</f>
        <v>#REF!</v>
      </c>
      <c r="BR47" s="29" t="e">
        <f>IF(#REF!&lt;&gt;"N/A",Priority!$C47,"")</f>
        <v>#REF!</v>
      </c>
      <c r="BS47" s="29" t="e">
        <f>IF(#REF!&lt;&gt;"N/A",Priority!$C47,"")</f>
        <v>#REF!</v>
      </c>
      <c r="BT47" s="29" t="e">
        <f>IF(#REF!&lt;&gt;"N/A",Priority!$C47,"")</f>
        <v>#REF!</v>
      </c>
      <c r="BU47" s="31"/>
      <c r="BV47" s="29" t="e">
        <f>IF(#REF!&lt;&gt;"N/A",Priority!$C47,"")</f>
        <v>#REF!</v>
      </c>
      <c r="BW47" s="29" t="e">
        <f>IF(#REF!&lt;&gt;"N/A",Priority!$C47,"")</f>
        <v>#REF!</v>
      </c>
      <c r="BX47" s="29" t="e">
        <f>IF(#REF!&lt;&gt;"N/A",Priority!$C47,"")</f>
        <v>#REF!</v>
      </c>
      <c r="BY47" s="29" t="e">
        <f>IF(#REF!&lt;&gt;"N/A",Priority!$C47,"")</f>
        <v>#REF!</v>
      </c>
      <c r="BZ47" s="29" t="e">
        <f>IF(#REF!&lt;&gt;"N/A",Priority!$C47,"")</f>
        <v>#REF!</v>
      </c>
      <c r="CA47" s="29" t="e">
        <f>IF(#REF!&lt;&gt;"N/A",Priority!$C47,"")</f>
        <v>#REF!</v>
      </c>
      <c r="CB47" s="31"/>
      <c r="CC47" s="29" t="e">
        <f>IF(#REF!&lt;&gt;"N/A",Priority!$C47,"")</f>
        <v>#REF!</v>
      </c>
      <c r="CD47" s="29" t="e">
        <f>IF(#REF!&lt;&gt;"N/A",Priority!$C47,"")</f>
        <v>#REF!</v>
      </c>
      <c r="CE47" s="29" t="e">
        <f>IF(#REF!&lt;&gt;"N/A",Priority!$C47,"")</f>
        <v>#REF!</v>
      </c>
      <c r="CF47" s="29" t="e">
        <f>IF(#REF!&lt;&gt;"N/A",Priority!$C47,"")</f>
        <v>#REF!</v>
      </c>
    </row>
    <row r="48" spans="1:84" ht="30">
      <c r="A48" s="15" t="e">
        <f>#REF!</f>
        <v>#REF!</v>
      </c>
      <c r="B48" s="15" t="e">
        <f>#REF!</f>
        <v>#REF!</v>
      </c>
      <c r="C48" s="15" t="e">
        <f>#REF!</f>
        <v>#REF!</v>
      </c>
      <c r="D48" s="20" t="s">
        <v>137</v>
      </c>
      <c r="E48" s="30" t="str">
        <f t="shared" si="11"/>
        <v>Pending</v>
      </c>
      <c r="F48" s="30" t="str">
        <f t="shared" si="12"/>
        <v>Pass:  0     /Accept:  0/     Fail:  0/     NT:  0</v>
      </c>
      <c r="G48" s="29" t="e">
        <f>IF(#REF!&lt;&gt;"N/A",Priority!$C48,"")</f>
        <v>#REF!</v>
      </c>
      <c r="H48" s="29" t="e">
        <f>IF(#REF!&lt;&gt;"N/A",Priority!$C48,"")</f>
        <v>#REF!</v>
      </c>
      <c r="I48" s="29" t="e">
        <f>IF(#REF!&lt;&gt;"N/A",Priority!$C48,"")</f>
        <v>#REF!</v>
      </c>
      <c r="J48" s="29" t="e">
        <f>IF(#REF!&lt;&gt;"N/A",Priority!$C48,"")</f>
        <v>#REF!</v>
      </c>
      <c r="K48" s="29" t="e">
        <f>IF(#REF!&lt;&gt;"N/A",Priority!$C48,"")</f>
        <v>#REF!</v>
      </c>
      <c r="L48" s="31"/>
      <c r="M48" s="29" t="e">
        <f>IF(#REF!&lt;&gt;"N/A",Priority!$C48,"")</f>
        <v>#REF!</v>
      </c>
      <c r="N48" s="29" t="e">
        <f>IF(#REF!&lt;&gt;"N/A",Priority!$C48,"")</f>
        <v>#REF!</v>
      </c>
      <c r="O48" s="29" t="e">
        <f>IF(#REF!&lt;&gt;"N/A",Priority!$C48,"")</f>
        <v>#REF!</v>
      </c>
      <c r="P48" s="29" t="e">
        <f>IF(#REF!&lt;&gt;"N/A",Priority!$C48,"")</f>
        <v>#REF!</v>
      </c>
      <c r="Q48" s="29" t="e">
        <f>IF(#REF!&lt;&gt;"N/A",Priority!$C48,"")</f>
        <v>#REF!</v>
      </c>
      <c r="R48" s="31"/>
      <c r="S48" s="29" t="e">
        <f>IF(#REF!&lt;&gt;"N/A",Priority!$C48,"")</f>
        <v>#REF!</v>
      </c>
      <c r="T48" s="29" t="e">
        <f>IF(#REF!&lt;&gt;"N/A",Priority!$C48,"")</f>
        <v>#REF!</v>
      </c>
      <c r="U48" s="29" t="e">
        <f>IF(#REF!&lt;&gt;"N/A",Priority!$C48,"")</f>
        <v>#REF!</v>
      </c>
      <c r="V48" s="29" t="e">
        <f>IF(#REF!&lt;&gt;"N/A",Priority!$C48,"")</f>
        <v>#REF!</v>
      </c>
      <c r="W48" s="29" t="e">
        <f>IF(#REF!&lt;&gt;"N/A",Priority!$C48,"")</f>
        <v>#REF!</v>
      </c>
      <c r="X48" s="29" t="e">
        <f>IF(#REF!&lt;&gt;"N/A",Priority!$C48,"")</f>
        <v>#REF!</v>
      </c>
      <c r="Y48" s="31"/>
      <c r="Z48" s="29" t="e">
        <f>IF(#REF!&lt;&gt;"N/A",Priority!$C48,"")</f>
        <v>#REF!</v>
      </c>
      <c r="AA48" s="29" t="e">
        <f>IF(#REF!&lt;&gt;"N/A",Priority!$C48,"")</f>
        <v>#REF!</v>
      </c>
      <c r="AB48" s="29" t="e">
        <f>IF(#REF!&lt;&gt;"N/A",Priority!$C48,"")</f>
        <v>#REF!</v>
      </c>
      <c r="AC48" s="29" t="e">
        <f>IF(#REF!&lt;&gt;"N/A",Priority!$C48,"")</f>
        <v>#REF!</v>
      </c>
      <c r="AD48" s="29" t="e">
        <f>IF(#REF!&lt;&gt;"N/A",Priority!$C48,"")</f>
        <v>#REF!</v>
      </c>
      <c r="AE48" s="29" t="e">
        <f>IF(#REF!&lt;&gt;"N/A",Priority!$C48,"")</f>
        <v>#REF!</v>
      </c>
      <c r="AF48" s="29" t="e">
        <f>IF(#REF!&lt;&gt;"N/A",Priority!$C48,"")</f>
        <v>#REF!</v>
      </c>
      <c r="AG48" s="29" t="e">
        <f>IF(#REF!&lt;&gt;"N/A",Priority!$C48,"")</f>
        <v>#REF!</v>
      </c>
      <c r="AH48" s="29" t="e">
        <f>IF(#REF!&lt;&gt;"N/A",Priority!$C48,"")</f>
        <v>#REF!</v>
      </c>
      <c r="AI48" s="29" t="e">
        <f>IF(#REF!&lt;&gt;"N/A",Priority!$C48,"")</f>
        <v>#REF!</v>
      </c>
      <c r="AJ48" s="31"/>
      <c r="AK48" s="29" t="e">
        <f>IF(#REF!&lt;&gt;"N/A",Priority!$C48,"")</f>
        <v>#REF!</v>
      </c>
      <c r="AL48" s="29" t="e">
        <f>IF(#REF!&lt;&gt;"N/A",Priority!$C48,"")</f>
        <v>#REF!</v>
      </c>
      <c r="AM48" s="29" t="e">
        <f>IF(#REF!&lt;&gt;"N/A",Priority!$C48,"")</f>
        <v>#REF!</v>
      </c>
      <c r="AN48" s="29" t="e">
        <f>IF(#REF!&lt;&gt;"N/A",Priority!$C48,"")</f>
        <v>#REF!</v>
      </c>
      <c r="AO48" s="29" t="e">
        <f>IF(#REF!&lt;&gt;"N/A",Priority!$C48,"")</f>
        <v>#REF!</v>
      </c>
      <c r="AP48" s="29" t="e">
        <f>IF(#REF!&lt;&gt;"N/A",Priority!$C48,"")</f>
        <v>#REF!</v>
      </c>
      <c r="AQ48" s="29" t="e">
        <f>IF(#REF!&lt;&gt;"N/A",Priority!$C48,"")</f>
        <v>#REF!</v>
      </c>
      <c r="AR48" s="29" t="e">
        <f>IF(#REF!&lt;&gt;"N/A",Priority!$C48,"")</f>
        <v>#REF!</v>
      </c>
      <c r="AS48" s="29" t="e">
        <f>IF(#REF!&lt;&gt;"N/A",Priority!$C48,"")</f>
        <v>#REF!</v>
      </c>
      <c r="AT48" s="29" t="e">
        <f>IF(#REF!&lt;&gt;"N/A",Priority!$C48,"")</f>
        <v>#REF!</v>
      </c>
      <c r="AU48" s="31"/>
      <c r="AV48" s="29" t="e">
        <f>IF(#REF!&lt;&gt;"N/A",Priority!$C48,"")</f>
        <v>#REF!</v>
      </c>
      <c r="AW48" s="29" t="e">
        <f>IF(#REF!&lt;&gt;"N/A",Priority!$C48,"")</f>
        <v>#REF!</v>
      </c>
      <c r="AX48" s="29" t="e">
        <f>IF(#REF!&lt;&gt;"N/A",Priority!$C48,"")</f>
        <v>#REF!</v>
      </c>
      <c r="AY48" s="29" t="e">
        <f>IF(#REF!&lt;&gt;"N/A",Priority!$C48,"")</f>
        <v>#REF!</v>
      </c>
      <c r="AZ48" s="29" t="e">
        <f>IF(#REF!&lt;&gt;"N/A",Priority!$C48,"")</f>
        <v>#REF!</v>
      </c>
      <c r="BA48" s="29" t="e">
        <f>IF(#REF!&lt;&gt;"N/A",Priority!$C48,"")</f>
        <v>#REF!</v>
      </c>
      <c r="BB48" s="29" t="e">
        <f>IF(#REF!&lt;&gt;"N/A",Priority!$C48,"")</f>
        <v>#REF!</v>
      </c>
      <c r="BC48" s="31"/>
      <c r="BD48" s="29" t="e">
        <f>IF(#REF!&lt;&gt;"N/A",Priority!$C48,"")</f>
        <v>#REF!</v>
      </c>
      <c r="BE48" s="29" t="e">
        <f>IF(#REF!&lt;&gt;"N/A",Priority!$C48,"")</f>
        <v>#REF!</v>
      </c>
      <c r="BF48" s="29" t="e">
        <f>IF(#REF!&lt;&gt;"N/A",Priority!$C48,"")</f>
        <v>#REF!</v>
      </c>
      <c r="BG48" s="29" t="e">
        <f>IF(#REF!&lt;&gt;"N/A",Priority!$C48,"")</f>
        <v>#REF!</v>
      </c>
      <c r="BH48" s="29" t="e">
        <f>IF(#REF!&lt;&gt;"N/A",Priority!$C48,"")</f>
        <v>#REF!</v>
      </c>
      <c r="BI48" s="29" t="e">
        <f>IF(#REF!&lt;&gt;"N/A",Priority!$C48,"")</f>
        <v>#REF!</v>
      </c>
      <c r="BJ48" s="29" t="e">
        <f>IF(#REF!&lt;&gt;"N/A",Priority!$C48,"")</f>
        <v>#REF!</v>
      </c>
      <c r="BK48" s="29" t="e">
        <f>IF(#REF!&lt;&gt;"N/A",Priority!$C48,"")</f>
        <v>#REF!</v>
      </c>
      <c r="BL48" s="29" t="e">
        <f>IF(#REF!&lt;&gt;"N/A",Priority!$C48,"")</f>
        <v>#REF!</v>
      </c>
      <c r="BM48" s="31"/>
      <c r="BN48" s="29" t="e">
        <f>IF(#REF!&lt;&gt;"N/A",Priority!$C48,"")</f>
        <v>#REF!</v>
      </c>
      <c r="BO48" s="29" t="e">
        <f>IF(#REF!&lt;&gt;"N/A",Priority!$C48,"")</f>
        <v>#REF!</v>
      </c>
      <c r="BP48" s="29" t="e">
        <f>IF(#REF!&lt;&gt;"N/A",Priority!$C48,"")</f>
        <v>#REF!</v>
      </c>
      <c r="BQ48" s="29" t="e">
        <f>IF(#REF!&lt;&gt;"N/A",Priority!$C48,"")</f>
        <v>#REF!</v>
      </c>
      <c r="BR48" s="29" t="e">
        <f>IF(#REF!&lt;&gt;"N/A",Priority!$C48,"")</f>
        <v>#REF!</v>
      </c>
      <c r="BS48" s="29" t="e">
        <f>IF(#REF!&lt;&gt;"N/A",Priority!$C48,"")</f>
        <v>#REF!</v>
      </c>
      <c r="BT48" s="29" t="e">
        <f>IF(#REF!&lt;&gt;"N/A",Priority!$C48,"")</f>
        <v>#REF!</v>
      </c>
      <c r="BU48" s="31"/>
      <c r="BV48" s="29" t="e">
        <f>IF(#REF!&lt;&gt;"N/A",Priority!$C48,"")</f>
        <v>#REF!</v>
      </c>
      <c r="BW48" s="29" t="e">
        <f>IF(#REF!&lt;&gt;"N/A",Priority!$C48,"")</f>
        <v>#REF!</v>
      </c>
      <c r="BX48" s="29" t="e">
        <f>IF(#REF!&lt;&gt;"N/A",Priority!$C48,"")</f>
        <v>#REF!</v>
      </c>
      <c r="BY48" s="29" t="e">
        <f>IF(#REF!&lt;&gt;"N/A",Priority!$C48,"")</f>
        <v>#REF!</v>
      </c>
      <c r="BZ48" s="29" t="e">
        <f>IF(#REF!&lt;&gt;"N/A",Priority!$C48,"")</f>
        <v>#REF!</v>
      </c>
      <c r="CA48" s="29" t="e">
        <f>IF(#REF!&lt;&gt;"N/A",Priority!$C48,"")</f>
        <v>#REF!</v>
      </c>
      <c r="CB48" s="31"/>
      <c r="CC48" s="29" t="e">
        <f>IF(#REF!&lt;&gt;"N/A",Priority!$C48,"")</f>
        <v>#REF!</v>
      </c>
      <c r="CD48" s="29" t="e">
        <f>IF(#REF!&lt;&gt;"N/A",Priority!$C48,"")</f>
        <v>#REF!</v>
      </c>
      <c r="CE48" s="29" t="e">
        <f>IF(#REF!&lt;&gt;"N/A",Priority!$C48,"")</f>
        <v>#REF!</v>
      </c>
      <c r="CF48" s="29" t="e">
        <f>IF(#REF!&lt;&gt;"N/A",Priority!$C48,"")</f>
        <v>#REF!</v>
      </c>
    </row>
    <row r="49" spans="1:84" ht="30">
      <c r="A49" s="15" t="e">
        <f>#REF!</f>
        <v>#REF!</v>
      </c>
      <c r="B49" s="15" t="e">
        <f>#REF!</f>
        <v>#REF!</v>
      </c>
      <c r="C49" s="15" t="e">
        <f>#REF!</f>
        <v>#REF!</v>
      </c>
      <c r="D49" s="20" t="s">
        <v>137</v>
      </c>
      <c r="E49" s="30" t="str">
        <f t="shared" si="11"/>
        <v>Pending</v>
      </c>
      <c r="F49" s="30" t="str">
        <f t="shared" si="12"/>
        <v>Pass:  0     /Accept:  0/     Fail:  0/     NT:  0</v>
      </c>
      <c r="G49" s="29" t="e">
        <f>IF(#REF!&lt;&gt;"N/A",Priority!$C49,"")</f>
        <v>#REF!</v>
      </c>
      <c r="H49" s="29" t="e">
        <f>IF(#REF!&lt;&gt;"N/A",Priority!$C49,"")</f>
        <v>#REF!</v>
      </c>
      <c r="I49" s="29" t="e">
        <f>IF(#REF!&lt;&gt;"N/A",Priority!$C49,"")</f>
        <v>#REF!</v>
      </c>
      <c r="J49" s="29" t="e">
        <f>IF(#REF!&lt;&gt;"N/A",Priority!$C49,"")</f>
        <v>#REF!</v>
      </c>
      <c r="K49" s="29" t="e">
        <f>IF(#REF!&lt;&gt;"N/A",Priority!$C49,"")</f>
        <v>#REF!</v>
      </c>
      <c r="L49" s="31"/>
      <c r="M49" s="29" t="e">
        <f>IF(#REF!&lt;&gt;"N/A",Priority!$C49,"")</f>
        <v>#REF!</v>
      </c>
      <c r="N49" s="29" t="e">
        <f>IF(#REF!&lt;&gt;"N/A",Priority!$C49,"")</f>
        <v>#REF!</v>
      </c>
      <c r="O49" s="29" t="e">
        <f>IF(#REF!&lt;&gt;"N/A",Priority!$C49,"")</f>
        <v>#REF!</v>
      </c>
      <c r="P49" s="29" t="e">
        <f>IF(#REF!&lt;&gt;"N/A",Priority!$C49,"")</f>
        <v>#REF!</v>
      </c>
      <c r="Q49" s="29" t="e">
        <f>IF(#REF!&lt;&gt;"N/A",Priority!$C49,"")</f>
        <v>#REF!</v>
      </c>
      <c r="R49" s="31"/>
      <c r="S49" s="29" t="e">
        <f>IF(#REF!&lt;&gt;"N/A",Priority!$C49,"")</f>
        <v>#REF!</v>
      </c>
      <c r="T49" s="29" t="e">
        <f>IF(#REF!&lt;&gt;"N/A",Priority!$C49,"")</f>
        <v>#REF!</v>
      </c>
      <c r="U49" s="29" t="e">
        <f>IF(#REF!&lt;&gt;"N/A",Priority!$C49,"")</f>
        <v>#REF!</v>
      </c>
      <c r="V49" s="29" t="e">
        <f>IF(#REF!&lt;&gt;"N/A",Priority!$C49,"")</f>
        <v>#REF!</v>
      </c>
      <c r="W49" s="29" t="e">
        <f>IF(#REF!&lt;&gt;"N/A",Priority!$C49,"")</f>
        <v>#REF!</v>
      </c>
      <c r="X49" s="29" t="e">
        <f>IF(#REF!&lt;&gt;"N/A",Priority!$C49,"")</f>
        <v>#REF!</v>
      </c>
      <c r="Y49" s="31"/>
      <c r="Z49" s="29" t="e">
        <f>IF(#REF!&lt;&gt;"N/A",Priority!$C49,"")</f>
        <v>#REF!</v>
      </c>
      <c r="AA49" s="29" t="e">
        <f>IF(#REF!&lt;&gt;"N/A",Priority!$C49,"")</f>
        <v>#REF!</v>
      </c>
      <c r="AB49" s="29" t="e">
        <f>IF(#REF!&lt;&gt;"N/A",Priority!$C49,"")</f>
        <v>#REF!</v>
      </c>
      <c r="AC49" s="29" t="e">
        <f>IF(#REF!&lt;&gt;"N/A",Priority!$C49,"")</f>
        <v>#REF!</v>
      </c>
      <c r="AD49" s="29" t="e">
        <f>IF(#REF!&lt;&gt;"N/A",Priority!$C49,"")</f>
        <v>#REF!</v>
      </c>
      <c r="AE49" s="29" t="e">
        <f>IF(#REF!&lt;&gt;"N/A",Priority!$C49,"")</f>
        <v>#REF!</v>
      </c>
      <c r="AF49" s="29" t="e">
        <f>IF(#REF!&lt;&gt;"N/A",Priority!$C49,"")</f>
        <v>#REF!</v>
      </c>
      <c r="AG49" s="29" t="e">
        <f>IF(#REF!&lt;&gt;"N/A",Priority!$C49,"")</f>
        <v>#REF!</v>
      </c>
      <c r="AH49" s="29" t="e">
        <f>IF(#REF!&lt;&gt;"N/A",Priority!$C49,"")</f>
        <v>#REF!</v>
      </c>
      <c r="AI49" s="29" t="e">
        <f>IF(#REF!&lt;&gt;"N/A",Priority!$C49,"")</f>
        <v>#REF!</v>
      </c>
      <c r="AJ49" s="31"/>
      <c r="AK49" s="29" t="e">
        <f>IF(#REF!&lt;&gt;"N/A",Priority!$C49,"")</f>
        <v>#REF!</v>
      </c>
      <c r="AL49" s="29" t="e">
        <f>IF(#REF!&lt;&gt;"N/A",Priority!$C49,"")</f>
        <v>#REF!</v>
      </c>
      <c r="AM49" s="29" t="e">
        <f>IF(#REF!&lt;&gt;"N/A",Priority!$C49,"")</f>
        <v>#REF!</v>
      </c>
      <c r="AN49" s="29" t="e">
        <f>IF(#REF!&lt;&gt;"N/A",Priority!$C49,"")</f>
        <v>#REF!</v>
      </c>
      <c r="AO49" s="29" t="e">
        <f>IF(#REF!&lt;&gt;"N/A",Priority!$C49,"")</f>
        <v>#REF!</v>
      </c>
      <c r="AP49" s="29" t="e">
        <f>IF(#REF!&lt;&gt;"N/A",Priority!$C49,"")</f>
        <v>#REF!</v>
      </c>
      <c r="AQ49" s="29" t="e">
        <f>IF(#REF!&lt;&gt;"N/A",Priority!$C49,"")</f>
        <v>#REF!</v>
      </c>
      <c r="AR49" s="29" t="e">
        <f>IF(#REF!&lt;&gt;"N/A",Priority!$C49,"")</f>
        <v>#REF!</v>
      </c>
      <c r="AS49" s="29" t="e">
        <f>IF(#REF!&lt;&gt;"N/A",Priority!$C49,"")</f>
        <v>#REF!</v>
      </c>
      <c r="AT49" s="29" t="e">
        <f>IF(#REF!&lt;&gt;"N/A",Priority!$C49,"")</f>
        <v>#REF!</v>
      </c>
      <c r="AU49" s="31"/>
      <c r="AV49" s="29" t="e">
        <f>IF(#REF!&lt;&gt;"N/A",Priority!$C49,"")</f>
        <v>#REF!</v>
      </c>
      <c r="AW49" s="29" t="e">
        <f>IF(#REF!&lt;&gt;"N/A",Priority!$C49,"")</f>
        <v>#REF!</v>
      </c>
      <c r="AX49" s="29" t="e">
        <f>IF(#REF!&lt;&gt;"N/A",Priority!$C49,"")</f>
        <v>#REF!</v>
      </c>
      <c r="AY49" s="29" t="e">
        <f>IF(#REF!&lt;&gt;"N/A",Priority!$C49,"")</f>
        <v>#REF!</v>
      </c>
      <c r="AZ49" s="29" t="e">
        <f>IF(#REF!&lt;&gt;"N/A",Priority!$C49,"")</f>
        <v>#REF!</v>
      </c>
      <c r="BA49" s="29" t="e">
        <f>IF(#REF!&lt;&gt;"N/A",Priority!$C49,"")</f>
        <v>#REF!</v>
      </c>
      <c r="BB49" s="29" t="e">
        <f>IF(#REF!&lt;&gt;"N/A",Priority!$C49,"")</f>
        <v>#REF!</v>
      </c>
      <c r="BC49" s="31"/>
      <c r="BD49" s="29" t="e">
        <f>IF(#REF!&lt;&gt;"N/A",Priority!$C49,"")</f>
        <v>#REF!</v>
      </c>
      <c r="BE49" s="29" t="e">
        <f>IF(#REF!&lt;&gt;"N/A",Priority!$C49,"")</f>
        <v>#REF!</v>
      </c>
      <c r="BF49" s="29" t="e">
        <f>IF(#REF!&lt;&gt;"N/A",Priority!$C49,"")</f>
        <v>#REF!</v>
      </c>
      <c r="BG49" s="29" t="e">
        <f>IF(#REF!&lt;&gt;"N/A",Priority!$C49,"")</f>
        <v>#REF!</v>
      </c>
      <c r="BH49" s="29" t="e">
        <f>IF(#REF!&lt;&gt;"N/A",Priority!$C49,"")</f>
        <v>#REF!</v>
      </c>
      <c r="BI49" s="29" t="e">
        <f>IF(#REF!&lt;&gt;"N/A",Priority!$C49,"")</f>
        <v>#REF!</v>
      </c>
      <c r="BJ49" s="29" t="e">
        <f>IF(#REF!&lt;&gt;"N/A",Priority!$C49,"")</f>
        <v>#REF!</v>
      </c>
      <c r="BK49" s="29" t="e">
        <f>IF(#REF!&lt;&gt;"N/A",Priority!$C49,"")</f>
        <v>#REF!</v>
      </c>
      <c r="BL49" s="29" t="e">
        <f>IF(#REF!&lt;&gt;"N/A",Priority!$C49,"")</f>
        <v>#REF!</v>
      </c>
      <c r="BM49" s="31"/>
      <c r="BN49" s="29" t="e">
        <f>IF(#REF!&lt;&gt;"N/A",Priority!$C49,"")</f>
        <v>#REF!</v>
      </c>
      <c r="BO49" s="29" t="e">
        <f>IF(#REF!&lt;&gt;"N/A",Priority!$C49,"")</f>
        <v>#REF!</v>
      </c>
      <c r="BP49" s="29" t="e">
        <f>IF(#REF!&lt;&gt;"N/A",Priority!$C49,"")</f>
        <v>#REF!</v>
      </c>
      <c r="BQ49" s="29" t="e">
        <f>IF(#REF!&lt;&gt;"N/A",Priority!$C49,"")</f>
        <v>#REF!</v>
      </c>
      <c r="BR49" s="29" t="e">
        <f>IF(#REF!&lt;&gt;"N/A",Priority!$C49,"")</f>
        <v>#REF!</v>
      </c>
      <c r="BS49" s="29" t="e">
        <f>IF(#REF!&lt;&gt;"N/A",Priority!$C49,"")</f>
        <v>#REF!</v>
      </c>
      <c r="BT49" s="29" t="e">
        <f>IF(#REF!&lt;&gt;"N/A",Priority!$C49,"")</f>
        <v>#REF!</v>
      </c>
      <c r="BU49" s="31"/>
      <c r="BV49" s="29" t="e">
        <f>IF(#REF!&lt;&gt;"N/A",Priority!$C49,"")</f>
        <v>#REF!</v>
      </c>
      <c r="BW49" s="29" t="e">
        <f>IF(#REF!&lt;&gt;"N/A",Priority!$C49,"")</f>
        <v>#REF!</v>
      </c>
      <c r="BX49" s="29" t="e">
        <f>IF(#REF!&lt;&gt;"N/A",Priority!$C49,"")</f>
        <v>#REF!</v>
      </c>
      <c r="BY49" s="29" t="e">
        <f>IF(#REF!&lt;&gt;"N/A",Priority!$C49,"")</f>
        <v>#REF!</v>
      </c>
      <c r="BZ49" s="29" t="e">
        <f>IF(#REF!&lt;&gt;"N/A",Priority!$C49,"")</f>
        <v>#REF!</v>
      </c>
      <c r="CA49" s="29" t="e">
        <f>IF(#REF!&lt;&gt;"N/A",Priority!$C49,"")</f>
        <v>#REF!</v>
      </c>
      <c r="CB49" s="31"/>
      <c r="CC49" s="29" t="e">
        <f>IF(#REF!&lt;&gt;"N/A",Priority!$C49,"")</f>
        <v>#REF!</v>
      </c>
      <c r="CD49" s="29" t="e">
        <f>IF(#REF!&lt;&gt;"N/A",Priority!$C49,"")</f>
        <v>#REF!</v>
      </c>
      <c r="CE49" s="29" t="e">
        <f>IF(#REF!&lt;&gt;"N/A",Priority!$C49,"")</f>
        <v>#REF!</v>
      </c>
      <c r="CF49" s="29" t="e">
        <f>IF(#REF!&lt;&gt;"N/A",Priority!$C49,"")</f>
        <v>#REF!</v>
      </c>
    </row>
    <row r="50" spans="1:84" ht="30">
      <c r="A50" s="15" t="e">
        <f>#REF!</f>
        <v>#REF!</v>
      </c>
      <c r="B50" s="15" t="e">
        <f>#REF!</f>
        <v>#REF!</v>
      </c>
      <c r="C50" s="15" t="e">
        <f>#REF!</f>
        <v>#REF!</v>
      </c>
      <c r="D50" s="24" t="s">
        <v>41</v>
      </c>
      <c r="E50" s="30" t="str">
        <f t="shared" si="11"/>
        <v>Pending</v>
      </c>
      <c r="F50" s="30" t="str">
        <f t="shared" si="12"/>
        <v>Pass:  0     /Accept:  0/     Fail:  0/     NT:  0</v>
      </c>
      <c r="G50" s="29" t="e">
        <f>IF(#REF!&lt;&gt;"N/A",Priority!$C50,"")</f>
        <v>#REF!</v>
      </c>
      <c r="H50" s="29" t="e">
        <f>IF(#REF!&lt;&gt;"N/A",Priority!$C50,"")</f>
        <v>#REF!</v>
      </c>
      <c r="I50" s="29" t="e">
        <f>IF(#REF!&lt;&gt;"N/A",Priority!$C50,"")</f>
        <v>#REF!</v>
      </c>
      <c r="J50" s="29" t="e">
        <f>IF(#REF!&lt;&gt;"N/A",Priority!$C50,"")</f>
        <v>#REF!</v>
      </c>
      <c r="K50" s="29" t="e">
        <f>IF(#REF!&lt;&gt;"N/A",Priority!$C50,"")</f>
        <v>#REF!</v>
      </c>
      <c r="L50" s="31"/>
      <c r="M50" s="29" t="e">
        <f>IF(#REF!&lt;&gt;"N/A",Priority!$C50,"")</f>
        <v>#REF!</v>
      </c>
      <c r="N50" s="29" t="e">
        <f>IF(#REF!&lt;&gt;"N/A",Priority!$C50,"")</f>
        <v>#REF!</v>
      </c>
      <c r="O50" s="29" t="e">
        <f>IF(#REF!&lt;&gt;"N/A",Priority!$C50,"")</f>
        <v>#REF!</v>
      </c>
      <c r="P50" s="29" t="e">
        <f>IF(#REF!&lt;&gt;"N/A",Priority!$C50,"")</f>
        <v>#REF!</v>
      </c>
      <c r="Q50" s="29" t="e">
        <f>IF(#REF!&lt;&gt;"N/A",Priority!$C50,"")</f>
        <v>#REF!</v>
      </c>
      <c r="R50" s="31"/>
      <c r="S50" s="29" t="e">
        <f>IF(#REF!&lt;&gt;"N/A",Priority!$C50,"")</f>
        <v>#REF!</v>
      </c>
      <c r="T50" s="29" t="e">
        <f>IF(#REF!&lt;&gt;"N/A",Priority!$C50,"")</f>
        <v>#REF!</v>
      </c>
      <c r="U50" s="29" t="e">
        <f>IF(#REF!&lt;&gt;"N/A",Priority!$C50,"")</f>
        <v>#REF!</v>
      </c>
      <c r="V50" s="29" t="e">
        <f>IF(#REF!&lt;&gt;"N/A",Priority!$C50,"")</f>
        <v>#REF!</v>
      </c>
      <c r="W50" s="29" t="e">
        <f>IF(#REF!&lt;&gt;"N/A",Priority!$C50,"")</f>
        <v>#REF!</v>
      </c>
      <c r="X50" s="29" t="e">
        <f>IF(#REF!&lt;&gt;"N/A",Priority!$C50,"")</f>
        <v>#REF!</v>
      </c>
      <c r="Y50" s="31"/>
      <c r="Z50" s="29" t="e">
        <f>IF(#REF!&lt;&gt;"N/A",Priority!$C50,"")</f>
        <v>#REF!</v>
      </c>
      <c r="AA50" s="29" t="e">
        <f>IF(#REF!&lt;&gt;"N/A",Priority!$C50,"")</f>
        <v>#REF!</v>
      </c>
      <c r="AB50" s="29" t="e">
        <f>IF(#REF!&lt;&gt;"N/A",Priority!$C50,"")</f>
        <v>#REF!</v>
      </c>
      <c r="AC50" s="29" t="e">
        <f>IF(#REF!&lt;&gt;"N/A",Priority!$C50,"")</f>
        <v>#REF!</v>
      </c>
      <c r="AD50" s="29" t="e">
        <f>IF(#REF!&lt;&gt;"N/A",Priority!$C50,"")</f>
        <v>#REF!</v>
      </c>
      <c r="AE50" s="29" t="e">
        <f>IF(#REF!&lt;&gt;"N/A",Priority!$C50,"")</f>
        <v>#REF!</v>
      </c>
      <c r="AF50" s="29" t="e">
        <f>IF(#REF!&lt;&gt;"N/A",Priority!$C50,"")</f>
        <v>#REF!</v>
      </c>
      <c r="AG50" s="29" t="e">
        <f>IF(#REF!&lt;&gt;"N/A",Priority!$C50,"")</f>
        <v>#REF!</v>
      </c>
      <c r="AH50" s="29" t="e">
        <f>IF(#REF!&lt;&gt;"N/A",Priority!$C50,"")</f>
        <v>#REF!</v>
      </c>
      <c r="AI50" s="29" t="e">
        <f>IF(#REF!&lt;&gt;"N/A",Priority!$C50,"")</f>
        <v>#REF!</v>
      </c>
      <c r="AJ50" s="31"/>
      <c r="AK50" s="29" t="e">
        <f>IF(#REF!&lt;&gt;"N/A",Priority!$C50,"")</f>
        <v>#REF!</v>
      </c>
      <c r="AL50" s="29" t="e">
        <f>IF(#REF!&lt;&gt;"N/A",Priority!$C50,"")</f>
        <v>#REF!</v>
      </c>
      <c r="AM50" s="29" t="e">
        <f>IF(#REF!&lt;&gt;"N/A",Priority!$C50,"")</f>
        <v>#REF!</v>
      </c>
      <c r="AN50" s="29" t="e">
        <f>IF(#REF!&lt;&gt;"N/A",Priority!$C50,"")</f>
        <v>#REF!</v>
      </c>
      <c r="AO50" s="29" t="e">
        <f>IF(#REF!&lt;&gt;"N/A",Priority!$C50,"")</f>
        <v>#REF!</v>
      </c>
      <c r="AP50" s="29" t="e">
        <f>IF(#REF!&lt;&gt;"N/A",Priority!$C50,"")</f>
        <v>#REF!</v>
      </c>
      <c r="AQ50" s="29" t="e">
        <f>IF(#REF!&lt;&gt;"N/A",Priority!$C50,"")</f>
        <v>#REF!</v>
      </c>
      <c r="AR50" s="29" t="e">
        <f>IF(#REF!&lt;&gt;"N/A",Priority!$C50,"")</f>
        <v>#REF!</v>
      </c>
      <c r="AS50" s="29" t="e">
        <f>IF(#REF!&lt;&gt;"N/A",Priority!$C50,"")</f>
        <v>#REF!</v>
      </c>
      <c r="AT50" s="29" t="e">
        <f>IF(#REF!&lt;&gt;"N/A",Priority!$C50,"")</f>
        <v>#REF!</v>
      </c>
      <c r="AU50" s="31"/>
      <c r="AV50" s="29" t="e">
        <f>IF(#REF!&lt;&gt;"N/A",Priority!$C50,"")</f>
        <v>#REF!</v>
      </c>
      <c r="AW50" s="29" t="e">
        <f>IF(#REF!&lt;&gt;"N/A",Priority!$C50,"")</f>
        <v>#REF!</v>
      </c>
      <c r="AX50" s="29" t="e">
        <f>IF(#REF!&lt;&gt;"N/A",Priority!$C50,"")</f>
        <v>#REF!</v>
      </c>
      <c r="AY50" s="29" t="e">
        <f>IF(#REF!&lt;&gt;"N/A",Priority!$C50,"")</f>
        <v>#REF!</v>
      </c>
      <c r="AZ50" s="29" t="e">
        <f>IF(#REF!&lt;&gt;"N/A",Priority!$C50,"")</f>
        <v>#REF!</v>
      </c>
      <c r="BA50" s="29" t="e">
        <f>IF(#REF!&lt;&gt;"N/A",Priority!$C50,"")</f>
        <v>#REF!</v>
      </c>
      <c r="BB50" s="29" t="e">
        <f>IF(#REF!&lt;&gt;"N/A",Priority!$C50,"")</f>
        <v>#REF!</v>
      </c>
      <c r="BC50" s="31"/>
      <c r="BD50" s="29" t="e">
        <f>IF(#REF!&lt;&gt;"N/A",Priority!$C50,"")</f>
        <v>#REF!</v>
      </c>
      <c r="BE50" s="29" t="e">
        <f>IF(#REF!&lt;&gt;"N/A",Priority!$C50,"")</f>
        <v>#REF!</v>
      </c>
      <c r="BF50" s="29" t="e">
        <f>IF(#REF!&lt;&gt;"N/A",Priority!$C50,"")</f>
        <v>#REF!</v>
      </c>
      <c r="BG50" s="29" t="e">
        <f>IF(#REF!&lt;&gt;"N/A",Priority!$C50,"")</f>
        <v>#REF!</v>
      </c>
      <c r="BH50" s="29" t="e">
        <f>IF(#REF!&lt;&gt;"N/A",Priority!$C50,"")</f>
        <v>#REF!</v>
      </c>
      <c r="BI50" s="29" t="e">
        <f>IF(#REF!&lt;&gt;"N/A",Priority!$C50,"")</f>
        <v>#REF!</v>
      </c>
      <c r="BJ50" s="29" t="e">
        <f>IF(#REF!&lt;&gt;"N/A",Priority!$C50,"")</f>
        <v>#REF!</v>
      </c>
      <c r="BK50" s="29" t="e">
        <f>IF(#REF!&lt;&gt;"N/A",Priority!$C50,"")</f>
        <v>#REF!</v>
      </c>
      <c r="BL50" s="29" t="e">
        <f>IF(#REF!&lt;&gt;"N/A",Priority!$C50,"")</f>
        <v>#REF!</v>
      </c>
      <c r="BM50" s="31"/>
      <c r="BN50" s="29" t="e">
        <f>IF(#REF!&lt;&gt;"N/A",Priority!$C50,"")</f>
        <v>#REF!</v>
      </c>
      <c r="BO50" s="29" t="e">
        <f>IF(#REF!&lt;&gt;"N/A",Priority!$C50,"")</f>
        <v>#REF!</v>
      </c>
      <c r="BP50" s="29" t="e">
        <f>IF(#REF!&lt;&gt;"N/A",Priority!$C50,"")</f>
        <v>#REF!</v>
      </c>
      <c r="BQ50" s="29" t="e">
        <f>IF(#REF!&lt;&gt;"N/A",Priority!$C50,"")</f>
        <v>#REF!</v>
      </c>
      <c r="BR50" s="29" t="e">
        <f>IF(#REF!&lt;&gt;"N/A",Priority!$C50,"")</f>
        <v>#REF!</v>
      </c>
      <c r="BS50" s="29" t="e">
        <f>IF(#REF!&lt;&gt;"N/A",Priority!$C50,"")</f>
        <v>#REF!</v>
      </c>
      <c r="BT50" s="29" t="e">
        <f>IF(#REF!&lt;&gt;"N/A",Priority!$C50,"")</f>
        <v>#REF!</v>
      </c>
      <c r="BU50" s="31"/>
      <c r="BV50" s="29" t="e">
        <f>IF(#REF!&lt;&gt;"N/A",Priority!$C50,"")</f>
        <v>#REF!</v>
      </c>
      <c r="BW50" s="29" t="e">
        <f>IF(#REF!&lt;&gt;"N/A",Priority!$C50,"")</f>
        <v>#REF!</v>
      </c>
      <c r="BX50" s="29" t="e">
        <f>IF(#REF!&lt;&gt;"N/A",Priority!$C50,"")</f>
        <v>#REF!</v>
      </c>
      <c r="BY50" s="29" t="e">
        <f>IF(#REF!&lt;&gt;"N/A",Priority!$C50,"")</f>
        <v>#REF!</v>
      </c>
      <c r="BZ50" s="29" t="e">
        <f>IF(#REF!&lt;&gt;"N/A",Priority!$C50,"")</f>
        <v>#REF!</v>
      </c>
      <c r="CA50" s="29" t="e">
        <f>IF(#REF!&lt;&gt;"N/A",Priority!$C50,"")</f>
        <v>#REF!</v>
      </c>
      <c r="CB50" s="31"/>
      <c r="CC50" s="29" t="e">
        <f>IF(#REF!&lt;&gt;"N/A",Priority!$C50,"")</f>
        <v>#REF!</v>
      </c>
      <c r="CD50" s="29" t="e">
        <f>IF(#REF!&lt;&gt;"N/A",Priority!$C50,"")</f>
        <v>#REF!</v>
      </c>
      <c r="CE50" s="29" t="e">
        <f>IF(#REF!&lt;&gt;"N/A",Priority!$C50,"")</f>
        <v>#REF!</v>
      </c>
      <c r="CF50" s="29" t="e">
        <f>IF(#REF!&lt;&gt;"N/A",Priority!$C50,"")</f>
        <v>#REF!</v>
      </c>
    </row>
    <row r="51" spans="1:84" ht="30">
      <c r="A51" s="15" t="e">
        <f>#REF!</f>
        <v>#REF!</v>
      </c>
      <c r="B51" s="15" t="e">
        <f>#REF!</f>
        <v>#REF!</v>
      </c>
      <c r="C51" s="15" t="e">
        <f>#REF!</f>
        <v>#REF!</v>
      </c>
      <c r="D51" s="22" t="s">
        <v>119</v>
      </c>
      <c r="E51" s="30" t="str">
        <f t="shared" si="11"/>
        <v>Pending</v>
      </c>
      <c r="F51" s="30" t="str">
        <f t="shared" si="12"/>
        <v>Pass:  0     /Accept:  0/     Fail:  0/     NT:  0</v>
      </c>
      <c r="G51" s="29" t="e">
        <f>IF(#REF!&lt;&gt;"N/A",Priority!$C51,"")</f>
        <v>#REF!</v>
      </c>
      <c r="H51" s="29" t="e">
        <f>IF(#REF!&lt;&gt;"N/A",Priority!$C51,"")</f>
        <v>#REF!</v>
      </c>
      <c r="I51" s="29" t="e">
        <f>IF(#REF!&lt;&gt;"N/A",Priority!$C51,"")</f>
        <v>#REF!</v>
      </c>
      <c r="J51" s="29" t="e">
        <f>IF(#REF!&lt;&gt;"N/A",Priority!$C51,"")</f>
        <v>#REF!</v>
      </c>
      <c r="K51" s="29" t="e">
        <f>IF(#REF!&lt;&gt;"N/A",Priority!$C51,"")</f>
        <v>#REF!</v>
      </c>
      <c r="L51" s="31"/>
      <c r="M51" s="29" t="e">
        <f>IF(#REF!&lt;&gt;"N/A",Priority!$C51,"")</f>
        <v>#REF!</v>
      </c>
      <c r="N51" s="29" t="e">
        <f>IF(#REF!&lt;&gt;"N/A",Priority!$C51,"")</f>
        <v>#REF!</v>
      </c>
      <c r="O51" s="29" t="e">
        <f>IF(#REF!&lt;&gt;"N/A",Priority!$C51,"")</f>
        <v>#REF!</v>
      </c>
      <c r="P51" s="29" t="e">
        <f>IF(#REF!&lt;&gt;"N/A",Priority!$C51,"")</f>
        <v>#REF!</v>
      </c>
      <c r="Q51" s="29" t="e">
        <f>IF(#REF!&lt;&gt;"N/A",Priority!$C51,"")</f>
        <v>#REF!</v>
      </c>
      <c r="R51" s="31"/>
      <c r="S51" s="29" t="e">
        <f>IF(#REF!&lt;&gt;"N/A",Priority!$C51,"")</f>
        <v>#REF!</v>
      </c>
      <c r="T51" s="29" t="e">
        <f>IF(#REF!&lt;&gt;"N/A",Priority!$C51,"")</f>
        <v>#REF!</v>
      </c>
      <c r="U51" s="29" t="e">
        <f>IF(#REF!&lt;&gt;"N/A",Priority!$C51,"")</f>
        <v>#REF!</v>
      </c>
      <c r="V51" s="29" t="e">
        <f>IF(#REF!&lt;&gt;"N/A",Priority!$C51,"")</f>
        <v>#REF!</v>
      </c>
      <c r="W51" s="29" t="e">
        <f>IF(#REF!&lt;&gt;"N/A",Priority!$C51,"")</f>
        <v>#REF!</v>
      </c>
      <c r="X51" s="29" t="e">
        <f>IF(#REF!&lt;&gt;"N/A",Priority!$C51,"")</f>
        <v>#REF!</v>
      </c>
      <c r="Y51" s="31"/>
      <c r="Z51" s="29" t="e">
        <f>IF(#REF!&lt;&gt;"N/A",Priority!$C51,"")</f>
        <v>#REF!</v>
      </c>
      <c r="AA51" s="29" t="e">
        <f>IF(#REF!&lt;&gt;"N/A",Priority!$C51,"")</f>
        <v>#REF!</v>
      </c>
      <c r="AB51" s="29" t="e">
        <f>IF(#REF!&lt;&gt;"N/A",Priority!$C51,"")</f>
        <v>#REF!</v>
      </c>
      <c r="AC51" s="29" t="e">
        <f>IF(#REF!&lt;&gt;"N/A",Priority!$C51,"")</f>
        <v>#REF!</v>
      </c>
      <c r="AD51" s="29" t="e">
        <f>IF(#REF!&lt;&gt;"N/A",Priority!$C51,"")</f>
        <v>#REF!</v>
      </c>
      <c r="AE51" s="29" t="e">
        <f>IF(#REF!&lt;&gt;"N/A",Priority!$C51,"")</f>
        <v>#REF!</v>
      </c>
      <c r="AF51" s="29" t="e">
        <f>IF(#REF!&lt;&gt;"N/A",Priority!$C51,"")</f>
        <v>#REF!</v>
      </c>
      <c r="AG51" s="29" t="e">
        <f>IF(#REF!&lt;&gt;"N/A",Priority!$C51,"")</f>
        <v>#REF!</v>
      </c>
      <c r="AH51" s="29" t="e">
        <f>IF(#REF!&lt;&gt;"N/A",Priority!$C51,"")</f>
        <v>#REF!</v>
      </c>
      <c r="AI51" s="29" t="e">
        <f>IF(#REF!&lt;&gt;"N/A",Priority!$C51,"")</f>
        <v>#REF!</v>
      </c>
      <c r="AJ51" s="31"/>
      <c r="AK51" s="29" t="e">
        <f>IF(#REF!&lt;&gt;"N/A",Priority!$C51,"")</f>
        <v>#REF!</v>
      </c>
      <c r="AL51" s="29" t="e">
        <f>IF(#REF!&lt;&gt;"N/A",Priority!$C51,"")</f>
        <v>#REF!</v>
      </c>
      <c r="AM51" s="29" t="e">
        <f>IF(#REF!&lt;&gt;"N/A",Priority!$C51,"")</f>
        <v>#REF!</v>
      </c>
      <c r="AN51" s="29" t="e">
        <f>IF(#REF!&lt;&gt;"N/A",Priority!$C51,"")</f>
        <v>#REF!</v>
      </c>
      <c r="AO51" s="29" t="e">
        <f>IF(#REF!&lt;&gt;"N/A",Priority!$C51,"")</f>
        <v>#REF!</v>
      </c>
      <c r="AP51" s="29" t="e">
        <f>IF(#REF!&lt;&gt;"N/A",Priority!$C51,"")</f>
        <v>#REF!</v>
      </c>
      <c r="AQ51" s="29" t="e">
        <f>IF(#REF!&lt;&gt;"N/A",Priority!$C51,"")</f>
        <v>#REF!</v>
      </c>
      <c r="AR51" s="29" t="e">
        <f>IF(#REF!&lt;&gt;"N/A",Priority!$C51,"")</f>
        <v>#REF!</v>
      </c>
      <c r="AS51" s="29" t="e">
        <f>IF(#REF!&lt;&gt;"N/A",Priority!$C51,"")</f>
        <v>#REF!</v>
      </c>
      <c r="AT51" s="29" t="e">
        <f>IF(#REF!&lt;&gt;"N/A",Priority!$C51,"")</f>
        <v>#REF!</v>
      </c>
      <c r="AU51" s="31"/>
      <c r="AV51" s="29" t="e">
        <f>IF(#REF!&lt;&gt;"N/A",Priority!$C51,"")</f>
        <v>#REF!</v>
      </c>
      <c r="AW51" s="29" t="e">
        <f>IF(#REF!&lt;&gt;"N/A",Priority!$C51,"")</f>
        <v>#REF!</v>
      </c>
      <c r="AX51" s="29" t="e">
        <f>IF(#REF!&lt;&gt;"N/A",Priority!$C51,"")</f>
        <v>#REF!</v>
      </c>
      <c r="AY51" s="29" t="e">
        <f>IF(#REF!&lt;&gt;"N/A",Priority!$C51,"")</f>
        <v>#REF!</v>
      </c>
      <c r="AZ51" s="29" t="e">
        <f>IF(#REF!&lt;&gt;"N/A",Priority!$C51,"")</f>
        <v>#REF!</v>
      </c>
      <c r="BA51" s="29" t="e">
        <f>IF(#REF!&lt;&gt;"N/A",Priority!$C51,"")</f>
        <v>#REF!</v>
      </c>
      <c r="BB51" s="29" t="e">
        <f>IF(#REF!&lt;&gt;"N/A",Priority!$C51,"")</f>
        <v>#REF!</v>
      </c>
      <c r="BC51" s="31"/>
      <c r="BD51" s="29" t="e">
        <f>IF(#REF!&lt;&gt;"N/A",Priority!$C51,"")</f>
        <v>#REF!</v>
      </c>
      <c r="BE51" s="29" t="e">
        <f>IF(#REF!&lt;&gt;"N/A",Priority!$C51,"")</f>
        <v>#REF!</v>
      </c>
      <c r="BF51" s="29" t="e">
        <f>IF(#REF!&lt;&gt;"N/A",Priority!$C51,"")</f>
        <v>#REF!</v>
      </c>
      <c r="BG51" s="29" t="e">
        <f>IF(#REF!&lt;&gt;"N/A",Priority!$C51,"")</f>
        <v>#REF!</v>
      </c>
      <c r="BH51" s="29" t="e">
        <f>IF(#REF!&lt;&gt;"N/A",Priority!$C51,"")</f>
        <v>#REF!</v>
      </c>
      <c r="BI51" s="29" t="e">
        <f>IF(#REF!&lt;&gt;"N/A",Priority!$C51,"")</f>
        <v>#REF!</v>
      </c>
      <c r="BJ51" s="29" t="e">
        <f>IF(#REF!&lt;&gt;"N/A",Priority!$C51,"")</f>
        <v>#REF!</v>
      </c>
      <c r="BK51" s="29" t="e">
        <f>IF(#REF!&lt;&gt;"N/A",Priority!$C51,"")</f>
        <v>#REF!</v>
      </c>
      <c r="BL51" s="29" t="e">
        <f>IF(#REF!&lt;&gt;"N/A",Priority!$C51,"")</f>
        <v>#REF!</v>
      </c>
      <c r="BM51" s="31"/>
      <c r="BN51" s="29" t="e">
        <f>IF(#REF!&lt;&gt;"N/A",Priority!$C51,"")</f>
        <v>#REF!</v>
      </c>
      <c r="BO51" s="29" t="e">
        <f>IF(#REF!&lt;&gt;"N/A",Priority!$C51,"")</f>
        <v>#REF!</v>
      </c>
      <c r="BP51" s="29" t="e">
        <f>IF(#REF!&lt;&gt;"N/A",Priority!$C51,"")</f>
        <v>#REF!</v>
      </c>
      <c r="BQ51" s="29" t="e">
        <f>IF(#REF!&lt;&gt;"N/A",Priority!$C51,"")</f>
        <v>#REF!</v>
      </c>
      <c r="BR51" s="29" t="e">
        <f>IF(#REF!&lt;&gt;"N/A",Priority!$C51,"")</f>
        <v>#REF!</v>
      </c>
      <c r="BS51" s="29" t="e">
        <f>IF(#REF!&lt;&gt;"N/A",Priority!$C51,"")</f>
        <v>#REF!</v>
      </c>
      <c r="BT51" s="29" t="e">
        <f>IF(#REF!&lt;&gt;"N/A",Priority!$C51,"")</f>
        <v>#REF!</v>
      </c>
      <c r="BU51" s="31"/>
      <c r="BV51" s="29" t="e">
        <f>IF(#REF!&lt;&gt;"N/A",Priority!$C51,"")</f>
        <v>#REF!</v>
      </c>
      <c r="BW51" s="29" t="e">
        <f>IF(#REF!&lt;&gt;"N/A",Priority!$C51,"")</f>
        <v>#REF!</v>
      </c>
      <c r="BX51" s="29" t="e">
        <f>IF(#REF!&lt;&gt;"N/A",Priority!$C51,"")</f>
        <v>#REF!</v>
      </c>
      <c r="BY51" s="29" t="e">
        <f>IF(#REF!&lt;&gt;"N/A",Priority!$C51,"")</f>
        <v>#REF!</v>
      </c>
      <c r="BZ51" s="29" t="e">
        <f>IF(#REF!&lt;&gt;"N/A",Priority!$C51,"")</f>
        <v>#REF!</v>
      </c>
      <c r="CA51" s="29" t="e">
        <f>IF(#REF!&lt;&gt;"N/A",Priority!$C51,"")</f>
        <v>#REF!</v>
      </c>
      <c r="CB51" s="31"/>
      <c r="CC51" s="29" t="e">
        <f>IF(#REF!&lt;&gt;"N/A",Priority!$C51,"")</f>
        <v>#REF!</v>
      </c>
      <c r="CD51" s="29" t="e">
        <f>IF(#REF!&lt;&gt;"N/A",Priority!$C51,"")</f>
        <v>#REF!</v>
      </c>
      <c r="CE51" s="29" t="e">
        <f>IF(#REF!&lt;&gt;"N/A",Priority!$C51,"")</f>
        <v>#REF!</v>
      </c>
      <c r="CF51" s="29" t="e">
        <f>IF(#REF!&lt;&gt;"N/A",Priority!$C51,"")</f>
        <v>#REF!</v>
      </c>
    </row>
    <row r="52" spans="1:84" ht="30">
      <c r="A52" s="15" t="e">
        <f>#REF!</f>
        <v>#REF!</v>
      </c>
      <c r="B52" s="15" t="e">
        <f>#REF!</f>
        <v>#REF!</v>
      </c>
      <c r="C52" s="15" t="e">
        <f>#REF!</f>
        <v>#REF!</v>
      </c>
      <c r="D52" s="22" t="s">
        <v>178</v>
      </c>
      <c r="E52" s="30" t="str">
        <f t="shared" si="11"/>
        <v>Pending</v>
      </c>
      <c r="F52" s="30" t="str">
        <f t="shared" si="12"/>
        <v>Pass:  0     /Accept:  0/     Fail:  0/     NT:  0</v>
      </c>
      <c r="G52" s="29" t="s">
        <v>41</v>
      </c>
      <c r="H52" s="29" t="s">
        <v>41</v>
      </c>
      <c r="I52" s="29" t="s">
        <v>41</v>
      </c>
      <c r="J52" s="29" t="s">
        <v>41</v>
      </c>
      <c r="K52" s="29" t="s">
        <v>41</v>
      </c>
      <c r="L52" s="31"/>
      <c r="M52" s="29" t="s">
        <v>41</v>
      </c>
      <c r="N52" s="29" t="s">
        <v>41</v>
      </c>
      <c r="O52" s="29" t="s">
        <v>41</v>
      </c>
      <c r="P52" s="29" t="s">
        <v>41</v>
      </c>
      <c r="Q52" s="29" t="s">
        <v>41</v>
      </c>
      <c r="R52" s="31"/>
      <c r="S52" s="29" t="s">
        <v>41</v>
      </c>
      <c r="T52" s="29" t="s">
        <v>41</v>
      </c>
      <c r="U52" s="29" t="s">
        <v>41</v>
      </c>
      <c r="V52" s="29" t="s">
        <v>41</v>
      </c>
      <c r="W52" s="29" t="s">
        <v>41</v>
      </c>
      <c r="X52" s="29" t="s">
        <v>41</v>
      </c>
      <c r="Y52" s="31"/>
      <c r="Z52" s="29" t="s">
        <v>41</v>
      </c>
      <c r="AA52" s="29" t="s">
        <v>41</v>
      </c>
      <c r="AB52" s="29" t="s">
        <v>41</v>
      </c>
      <c r="AC52" s="29" t="s">
        <v>41</v>
      </c>
      <c r="AD52" s="29" t="s">
        <v>41</v>
      </c>
      <c r="AE52" s="29" t="s">
        <v>41</v>
      </c>
      <c r="AF52" s="29" t="s">
        <v>41</v>
      </c>
      <c r="AG52" s="29" t="s">
        <v>41</v>
      </c>
      <c r="AH52" s="29" t="e">
        <f>IF(#REF!&lt;&gt;"N/A",Priority!$C52,"")</f>
        <v>#REF!</v>
      </c>
      <c r="AI52" s="29" t="e">
        <f>IF(#REF!&lt;&gt;"N/A",Priority!$C52,"")</f>
        <v>#REF!</v>
      </c>
      <c r="AJ52" s="31"/>
      <c r="AK52" s="29" t="s">
        <v>41</v>
      </c>
      <c r="AL52" s="29" t="s">
        <v>41</v>
      </c>
      <c r="AM52" s="29" t="s">
        <v>41</v>
      </c>
      <c r="AN52" s="29" t="s">
        <v>41</v>
      </c>
      <c r="AO52" s="29" t="s">
        <v>41</v>
      </c>
      <c r="AP52" s="29" t="s">
        <v>41</v>
      </c>
      <c r="AQ52" s="29" t="s">
        <v>41</v>
      </c>
      <c r="AR52" s="29" t="s">
        <v>41</v>
      </c>
      <c r="AS52" s="29" t="s">
        <v>41</v>
      </c>
      <c r="AT52" s="29" t="s">
        <v>41</v>
      </c>
      <c r="AU52" s="31"/>
      <c r="AV52" s="29" t="e">
        <f>IF(#REF!&lt;&gt;"N/A",Priority!$C52,"")</f>
        <v>#REF!</v>
      </c>
      <c r="AW52" s="29" t="e">
        <f>IF(#REF!&lt;&gt;"N/A",Priority!$C52,"")</f>
        <v>#REF!</v>
      </c>
      <c r="AX52" s="29" t="e">
        <f>IF(#REF!&lt;&gt;"N/A",Priority!$C52,"")</f>
        <v>#REF!</v>
      </c>
      <c r="AY52" s="29" t="e">
        <f>IF(#REF!&lt;&gt;"N/A",Priority!$C52,"")</f>
        <v>#REF!</v>
      </c>
      <c r="AZ52" s="29" t="e">
        <f>IF(#REF!&lt;&gt;"N/A",Priority!$C52,"")</f>
        <v>#REF!</v>
      </c>
      <c r="BA52" s="29" t="e">
        <f>IF(#REF!&lt;&gt;"N/A",Priority!$C52,"")</f>
        <v>#REF!</v>
      </c>
      <c r="BB52" s="29" t="e">
        <f>IF(#REF!&lt;&gt;"N/A",Priority!$C52,"")</f>
        <v>#REF!</v>
      </c>
      <c r="BC52" s="31"/>
      <c r="BD52" s="29" t="s">
        <v>41</v>
      </c>
      <c r="BE52" s="29" t="s">
        <v>41</v>
      </c>
      <c r="BF52" s="29" t="s">
        <v>41</v>
      </c>
      <c r="BG52" s="29" t="s">
        <v>41</v>
      </c>
      <c r="BH52" s="29" t="s">
        <v>41</v>
      </c>
      <c r="BI52" s="29" t="s">
        <v>41</v>
      </c>
      <c r="BJ52" s="29" t="s">
        <v>41</v>
      </c>
      <c r="BK52" s="29" t="s">
        <v>41</v>
      </c>
      <c r="BL52" s="29" t="s">
        <v>41</v>
      </c>
      <c r="BM52" s="31"/>
      <c r="BN52" s="29" t="s">
        <v>41</v>
      </c>
      <c r="BO52" s="29" t="s">
        <v>41</v>
      </c>
      <c r="BP52" s="29" t="s">
        <v>41</v>
      </c>
      <c r="BQ52" s="29" t="s">
        <v>41</v>
      </c>
      <c r="BR52" s="29" t="s">
        <v>41</v>
      </c>
      <c r="BS52" s="29" t="s">
        <v>41</v>
      </c>
      <c r="BT52" s="29" t="s">
        <v>41</v>
      </c>
      <c r="BU52" s="31"/>
      <c r="BV52" s="29" t="s">
        <v>41</v>
      </c>
      <c r="BW52" s="29" t="s">
        <v>41</v>
      </c>
      <c r="BX52" s="29" t="s">
        <v>41</v>
      </c>
      <c r="BY52" s="29" t="s">
        <v>41</v>
      </c>
      <c r="BZ52" s="29" t="s">
        <v>41</v>
      </c>
      <c r="CA52" s="29" t="s">
        <v>41</v>
      </c>
      <c r="CB52" s="31"/>
      <c r="CC52" s="29" t="s">
        <v>41</v>
      </c>
      <c r="CD52" s="29" t="s">
        <v>41</v>
      </c>
      <c r="CE52" s="29" t="s">
        <v>41</v>
      </c>
      <c r="CF52" s="29" t="s">
        <v>41</v>
      </c>
    </row>
    <row r="53" spans="1:84" ht="30">
      <c r="A53" s="15" t="e">
        <f>#REF!</f>
        <v>#REF!</v>
      </c>
      <c r="B53" s="15" t="e">
        <f>#REF!</f>
        <v>#REF!</v>
      </c>
      <c r="C53" s="15" t="e">
        <f>#REF!</f>
        <v>#REF!</v>
      </c>
      <c r="D53" s="22" t="s">
        <v>178</v>
      </c>
      <c r="E53" s="30" t="str">
        <f t="shared" si="11"/>
        <v>Pending</v>
      </c>
      <c r="F53" s="30" t="str">
        <f t="shared" si="12"/>
        <v>Pass:  0     /Accept:  0/     Fail:  0/     NT:  0</v>
      </c>
      <c r="G53" s="29" t="e">
        <f>IF(#REF!&lt;&gt;"N/A",Priority!$C53,"")</f>
        <v>#REF!</v>
      </c>
      <c r="H53" s="29" t="e">
        <f>IF(#REF!&lt;&gt;"N/A",Priority!$C53,"")</f>
        <v>#REF!</v>
      </c>
      <c r="I53" s="29" t="e">
        <f>IF(#REF!&lt;&gt;"N/A",Priority!$C53,"")</f>
        <v>#REF!</v>
      </c>
      <c r="J53" s="29" t="e">
        <f>IF(#REF!&lt;&gt;"N/A",Priority!$C53,"")</f>
        <v>#REF!</v>
      </c>
      <c r="K53" s="29" t="e">
        <f>IF(#REF!&lt;&gt;"N/A",Priority!$C53,"")</f>
        <v>#REF!</v>
      </c>
      <c r="L53" s="31"/>
      <c r="M53" s="29" t="e">
        <f>IF(#REF!&lt;&gt;"N/A",Priority!$C53,"")</f>
        <v>#REF!</v>
      </c>
      <c r="N53" s="29" t="e">
        <f>IF(#REF!&lt;&gt;"N/A",Priority!$C53,"")</f>
        <v>#REF!</v>
      </c>
      <c r="O53" s="29" t="e">
        <f>IF(#REF!&lt;&gt;"N/A",Priority!$C53,"")</f>
        <v>#REF!</v>
      </c>
      <c r="P53" s="29" t="e">
        <f>IF(#REF!&lt;&gt;"N/A",Priority!$C53,"")</f>
        <v>#REF!</v>
      </c>
      <c r="Q53" s="29" t="e">
        <f>IF(#REF!&lt;&gt;"N/A",Priority!$C53,"")</f>
        <v>#REF!</v>
      </c>
      <c r="R53" s="31"/>
      <c r="S53" s="29" t="e">
        <f>IF(#REF!&lt;&gt;"N/A",Priority!$C53,"")</f>
        <v>#REF!</v>
      </c>
      <c r="T53" s="29" t="e">
        <f>IF(#REF!&lt;&gt;"N/A",Priority!$C53,"")</f>
        <v>#REF!</v>
      </c>
      <c r="U53" s="29" t="e">
        <f>IF(#REF!&lt;&gt;"N/A",Priority!$C53,"")</f>
        <v>#REF!</v>
      </c>
      <c r="V53" s="29" t="e">
        <f>IF(#REF!&lt;&gt;"N/A",Priority!$C53,"")</f>
        <v>#REF!</v>
      </c>
      <c r="W53" s="29" t="e">
        <f>IF(#REF!&lt;&gt;"N/A",Priority!$C53,"")</f>
        <v>#REF!</v>
      </c>
      <c r="X53" s="29" t="e">
        <f>IF(#REF!&lt;&gt;"N/A",Priority!$C53,"")</f>
        <v>#REF!</v>
      </c>
      <c r="Y53" s="31"/>
      <c r="Z53" s="29" t="e">
        <f>IF(#REF!&lt;&gt;"N/A",Priority!$C53,"")</f>
        <v>#REF!</v>
      </c>
      <c r="AA53" s="29" t="e">
        <f>IF(#REF!&lt;&gt;"N/A",Priority!$C53,"")</f>
        <v>#REF!</v>
      </c>
      <c r="AB53" s="29" t="e">
        <f>IF(#REF!&lt;&gt;"N/A",Priority!$C53,"")</f>
        <v>#REF!</v>
      </c>
      <c r="AC53" s="29" t="e">
        <f>IF(#REF!&lt;&gt;"N/A",Priority!$C53,"")</f>
        <v>#REF!</v>
      </c>
      <c r="AD53" s="29" t="e">
        <f>IF(#REF!&lt;&gt;"N/A",Priority!$C53,"")</f>
        <v>#REF!</v>
      </c>
      <c r="AE53" s="29" t="e">
        <f>IF(#REF!&lt;&gt;"N/A",Priority!$C53,"")</f>
        <v>#REF!</v>
      </c>
      <c r="AF53" s="29" t="e">
        <f>IF(#REF!&lt;&gt;"N/A",Priority!$C53,"")</f>
        <v>#REF!</v>
      </c>
      <c r="AG53" s="29" t="e">
        <f>IF(#REF!&lt;&gt;"N/A",Priority!$C53,"")</f>
        <v>#REF!</v>
      </c>
      <c r="AH53" s="29" t="e">
        <f>IF(#REF!&lt;&gt;"N/A",Priority!$C53,"")</f>
        <v>#REF!</v>
      </c>
      <c r="AI53" s="29" t="e">
        <f>IF(#REF!&lt;&gt;"N/A",Priority!$C53,"")</f>
        <v>#REF!</v>
      </c>
      <c r="AJ53" s="31"/>
      <c r="AK53" s="29" t="e">
        <f>IF(#REF!&lt;&gt;"N/A",Priority!$C53,"")</f>
        <v>#REF!</v>
      </c>
      <c r="AL53" s="29" t="e">
        <f>IF(#REF!&lt;&gt;"N/A",Priority!$C53,"")</f>
        <v>#REF!</v>
      </c>
      <c r="AM53" s="29" t="e">
        <f>IF(#REF!&lt;&gt;"N/A",Priority!$C53,"")</f>
        <v>#REF!</v>
      </c>
      <c r="AN53" s="29" t="e">
        <f>IF(#REF!&lt;&gt;"N/A",Priority!$C53,"")</f>
        <v>#REF!</v>
      </c>
      <c r="AO53" s="29" t="e">
        <f>IF(#REF!&lt;&gt;"N/A",Priority!$C53,"")</f>
        <v>#REF!</v>
      </c>
      <c r="AP53" s="29" t="e">
        <f>IF(#REF!&lt;&gt;"N/A",Priority!$C53,"")</f>
        <v>#REF!</v>
      </c>
      <c r="AQ53" s="29" t="e">
        <f>IF(#REF!&lt;&gt;"N/A",Priority!$C53,"")</f>
        <v>#REF!</v>
      </c>
      <c r="AR53" s="29" t="e">
        <f>IF(#REF!&lt;&gt;"N/A",Priority!$C53,"")</f>
        <v>#REF!</v>
      </c>
      <c r="AS53" s="29" t="e">
        <f>IF(#REF!&lt;&gt;"N/A",Priority!$C53,"")</f>
        <v>#REF!</v>
      </c>
      <c r="AT53" s="29" t="e">
        <f>IF(#REF!&lt;&gt;"N/A",Priority!$C53,"")</f>
        <v>#REF!</v>
      </c>
      <c r="AU53" s="31"/>
      <c r="AV53" s="29" t="e">
        <f>IF(#REF!&lt;&gt;"N/A",Priority!$C53,"")</f>
        <v>#REF!</v>
      </c>
      <c r="AW53" s="29" t="e">
        <f>IF(#REF!&lt;&gt;"N/A",Priority!$C53,"")</f>
        <v>#REF!</v>
      </c>
      <c r="AX53" s="29" t="e">
        <f>IF(#REF!&lt;&gt;"N/A",Priority!$C53,"")</f>
        <v>#REF!</v>
      </c>
      <c r="AY53" s="29" t="e">
        <f>IF(#REF!&lt;&gt;"N/A",Priority!$C53,"")</f>
        <v>#REF!</v>
      </c>
      <c r="AZ53" s="29" t="e">
        <f>IF(#REF!&lt;&gt;"N/A",Priority!$C53,"")</f>
        <v>#REF!</v>
      </c>
      <c r="BA53" s="29" t="e">
        <f>IF(#REF!&lt;&gt;"N/A",Priority!$C53,"")</f>
        <v>#REF!</v>
      </c>
      <c r="BB53" s="29" t="e">
        <f>IF(#REF!&lt;&gt;"N/A",Priority!$C53,"")</f>
        <v>#REF!</v>
      </c>
      <c r="BC53" s="31"/>
      <c r="BD53" s="29" t="e">
        <f>IF(#REF!&lt;&gt;"N/A",Priority!$C53,"")</f>
        <v>#REF!</v>
      </c>
      <c r="BE53" s="29" t="e">
        <f>IF(#REF!&lt;&gt;"N/A",Priority!$C53,"")</f>
        <v>#REF!</v>
      </c>
      <c r="BF53" s="29" t="e">
        <f>IF(#REF!&lt;&gt;"N/A",Priority!$C53,"")</f>
        <v>#REF!</v>
      </c>
      <c r="BG53" s="29" t="e">
        <f>IF(#REF!&lt;&gt;"N/A",Priority!$C53,"")</f>
        <v>#REF!</v>
      </c>
      <c r="BH53" s="29" t="e">
        <f>IF(#REF!&lt;&gt;"N/A",Priority!$C53,"")</f>
        <v>#REF!</v>
      </c>
      <c r="BI53" s="29" t="e">
        <f>IF(#REF!&lt;&gt;"N/A",Priority!$C53,"")</f>
        <v>#REF!</v>
      </c>
      <c r="BJ53" s="29" t="e">
        <f>IF(#REF!&lt;&gt;"N/A",Priority!$C53,"")</f>
        <v>#REF!</v>
      </c>
      <c r="BK53" s="29" t="e">
        <f>IF(#REF!&lt;&gt;"N/A",Priority!$C53,"")</f>
        <v>#REF!</v>
      </c>
      <c r="BL53" s="29" t="e">
        <f>IF(#REF!&lt;&gt;"N/A",Priority!$C53,"")</f>
        <v>#REF!</v>
      </c>
      <c r="BM53" s="31"/>
      <c r="BN53" s="29" t="e">
        <f>IF(#REF!&lt;&gt;"N/A",Priority!$C53,"")</f>
        <v>#REF!</v>
      </c>
      <c r="BO53" s="29" t="e">
        <f>IF(#REF!&lt;&gt;"N/A",Priority!$C53,"")</f>
        <v>#REF!</v>
      </c>
      <c r="BP53" s="29" t="e">
        <f>IF(#REF!&lt;&gt;"N/A",Priority!$C53,"")</f>
        <v>#REF!</v>
      </c>
      <c r="BQ53" s="29" t="e">
        <f>IF(#REF!&lt;&gt;"N/A",Priority!$C53,"")</f>
        <v>#REF!</v>
      </c>
      <c r="BR53" s="29" t="e">
        <f>IF(#REF!&lt;&gt;"N/A",Priority!$C53,"")</f>
        <v>#REF!</v>
      </c>
      <c r="BS53" s="29" t="e">
        <f>IF(#REF!&lt;&gt;"N/A",Priority!$C53,"")</f>
        <v>#REF!</v>
      </c>
      <c r="BT53" s="29" t="e">
        <f>IF(#REF!&lt;&gt;"N/A",Priority!$C53,"")</f>
        <v>#REF!</v>
      </c>
      <c r="BU53" s="31"/>
      <c r="BV53" s="29" t="e">
        <f>IF(#REF!&lt;&gt;"N/A",Priority!$C53,"")</f>
        <v>#REF!</v>
      </c>
      <c r="BW53" s="29" t="e">
        <f>IF(#REF!&lt;&gt;"N/A",Priority!$C53,"")</f>
        <v>#REF!</v>
      </c>
      <c r="BX53" s="29" t="e">
        <f>IF(#REF!&lt;&gt;"N/A",Priority!$C53,"")</f>
        <v>#REF!</v>
      </c>
      <c r="BY53" s="29" t="e">
        <f>IF(#REF!&lt;&gt;"N/A",Priority!$C53,"")</f>
        <v>#REF!</v>
      </c>
      <c r="BZ53" s="29" t="e">
        <f>IF(#REF!&lt;&gt;"N/A",Priority!$C53,"")</f>
        <v>#REF!</v>
      </c>
      <c r="CA53" s="29" t="e">
        <f>IF(#REF!&lt;&gt;"N/A",Priority!$C53,"")</f>
        <v>#REF!</v>
      </c>
      <c r="CB53" s="31"/>
      <c r="CC53" s="29" t="e">
        <f>IF(#REF!&lt;&gt;"N/A",Priority!$C53,"")</f>
        <v>#REF!</v>
      </c>
      <c r="CD53" s="29" t="e">
        <f>IF(#REF!&lt;&gt;"N/A",Priority!$C53,"")</f>
        <v>#REF!</v>
      </c>
      <c r="CE53" s="29" t="e">
        <f>IF(#REF!&lt;&gt;"N/A",Priority!$C53,"")</f>
        <v>#REF!</v>
      </c>
      <c r="CF53" s="29" t="e">
        <f>IF(#REF!&lt;&gt;"N/A",Priority!$C53,"")</f>
        <v>#REF!</v>
      </c>
    </row>
    <row r="54" spans="1:84" ht="30">
      <c r="A54" s="15" t="e">
        <f>#REF!</f>
        <v>#REF!</v>
      </c>
      <c r="B54" s="15" t="e">
        <f>#REF!</f>
        <v>#REF!</v>
      </c>
      <c r="C54" s="15" t="e">
        <f>#REF!</f>
        <v>#REF!</v>
      </c>
      <c r="D54" s="22" t="s">
        <v>117</v>
      </c>
      <c r="E54" s="30" t="str">
        <f t="shared" si="11"/>
        <v>Pending</v>
      </c>
      <c r="F54" s="30" t="str">
        <f t="shared" si="12"/>
        <v>Pass:  0     /Accept:  0/     Fail:  0/     NT:  0</v>
      </c>
      <c r="G54" s="29" t="e">
        <f>IF(#REF!&lt;&gt;"N/A",Priority!$C54,"")</f>
        <v>#REF!</v>
      </c>
      <c r="H54" s="29" t="e">
        <f>IF(#REF!&lt;&gt;"N/A",Priority!$C54,"")</f>
        <v>#REF!</v>
      </c>
      <c r="I54" s="29" t="e">
        <f>IF(#REF!&lt;&gt;"N/A",Priority!$C54,"")</f>
        <v>#REF!</v>
      </c>
      <c r="J54" s="29" t="e">
        <f>IF(#REF!&lt;&gt;"N/A",Priority!$C54,"")</f>
        <v>#REF!</v>
      </c>
      <c r="K54" s="29" t="e">
        <f>IF(#REF!&lt;&gt;"N/A",Priority!$C54,"")</f>
        <v>#REF!</v>
      </c>
      <c r="L54" s="31"/>
      <c r="M54" s="29" t="e">
        <f>IF(#REF!&lt;&gt;"N/A",Priority!$C54,"")</f>
        <v>#REF!</v>
      </c>
      <c r="N54" s="29" t="e">
        <f>IF(#REF!&lt;&gt;"N/A",Priority!$C54,"")</f>
        <v>#REF!</v>
      </c>
      <c r="O54" s="29" t="e">
        <f>IF(#REF!&lt;&gt;"N/A",Priority!$C54,"")</f>
        <v>#REF!</v>
      </c>
      <c r="P54" s="29" t="e">
        <f>IF(#REF!&lt;&gt;"N/A",Priority!$C54,"")</f>
        <v>#REF!</v>
      </c>
      <c r="Q54" s="29" t="e">
        <f>IF(#REF!&lt;&gt;"N/A",Priority!$C54,"")</f>
        <v>#REF!</v>
      </c>
      <c r="R54" s="31"/>
      <c r="S54" s="29" t="e">
        <f>IF(#REF!&lt;&gt;"N/A",Priority!$C54,"")</f>
        <v>#REF!</v>
      </c>
      <c r="T54" s="29" t="e">
        <f>IF(#REF!&lt;&gt;"N/A",Priority!$C54,"")</f>
        <v>#REF!</v>
      </c>
      <c r="U54" s="29" t="e">
        <f>IF(#REF!&lt;&gt;"N/A",Priority!$C54,"")</f>
        <v>#REF!</v>
      </c>
      <c r="V54" s="29" t="e">
        <f>IF(#REF!&lt;&gt;"N/A",Priority!$C54,"")</f>
        <v>#REF!</v>
      </c>
      <c r="W54" s="29" t="e">
        <f>IF(#REF!&lt;&gt;"N/A",Priority!$C54,"")</f>
        <v>#REF!</v>
      </c>
      <c r="X54" s="29" t="e">
        <f>IF(#REF!&lt;&gt;"N/A",Priority!$C54,"")</f>
        <v>#REF!</v>
      </c>
      <c r="Y54" s="31"/>
      <c r="Z54" s="29" t="e">
        <f>IF(#REF!&lt;&gt;"N/A",Priority!$C54,"")</f>
        <v>#REF!</v>
      </c>
      <c r="AA54" s="29" t="e">
        <f>IF(#REF!&lt;&gt;"N/A",Priority!$C54,"")</f>
        <v>#REF!</v>
      </c>
      <c r="AB54" s="29" t="e">
        <f>IF(#REF!&lt;&gt;"N/A",Priority!$C54,"")</f>
        <v>#REF!</v>
      </c>
      <c r="AC54" s="29" t="e">
        <f>IF(#REF!&lt;&gt;"N/A",Priority!$C54,"")</f>
        <v>#REF!</v>
      </c>
      <c r="AD54" s="29" t="e">
        <f>IF(#REF!&lt;&gt;"N/A",Priority!$C54,"")</f>
        <v>#REF!</v>
      </c>
      <c r="AE54" s="29" t="e">
        <f>IF(#REF!&lt;&gt;"N/A",Priority!$C54,"")</f>
        <v>#REF!</v>
      </c>
      <c r="AF54" s="29" t="e">
        <f>IF(#REF!&lt;&gt;"N/A",Priority!$C54,"")</f>
        <v>#REF!</v>
      </c>
      <c r="AG54" s="29" t="e">
        <f>IF(#REF!&lt;&gt;"N/A",Priority!$C54,"")</f>
        <v>#REF!</v>
      </c>
      <c r="AH54" s="29" t="e">
        <f>IF(#REF!&lt;&gt;"N/A",Priority!$C54,"")</f>
        <v>#REF!</v>
      </c>
      <c r="AI54" s="29" t="e">
        <f>IF(#REF!&lt;&gt;"N/A",Priority!$C54,"")</f>
        <v>#REF!</v>
      </c>
      <c r="AJ54" s="31"/>
      <c r="AK54" s="29" t="e">
        <f>IF(#REF!&lt;&gt;"N/A",Priority!$C54,"")</f>
        <v>#REF!</v>
      </c>
      <c r="AL54" s="29" t="e">
        <f>IF(#REF!&lt;&gt;"N/A",Priority!$C54,"")</f>
        <v>#REF!</v>
      </c>
      <c r="AM54" s="29" t="e">
        <f>IF(#REF!&lt;&gt;"N/A",Priority!$C54,"")</f>
        <v>#REF!</v>
      </c>
      <c r="AN54" s="29" t="e">
        <f>IF(#REF!&lt;&gt;"N/A",Priority!$C54,"")</f>
        <v>#REF!</v>
      </c>
      <c r="AO54" s="29" t="e">
        <f>IF(#REF!&lt;&gt;"N/A",Priority!$C54,"")</f>
        <v>#REF!</v>
      </c>
      <c r="AP54" s="29" t="e">
        <f>IF(#REF!&lt;&gt;"N/A",Priority!$C54,"")</f>
        <v>#REF!</v>
      </c>
      <c r="AQ54" s="29" t="e">
        <f>IF(#REF!&lt;&gt;"N/A",Priority!$C54,"")</f>
        <v>#REF!</v>
      </c>
      <c r="AR54" s="29" t="e">
        <f>IF(#REF!&lt;&gt;"N/A",Priority!$C54,"")</f>
        <v>#REF!</v>
      </c>
      <c r="AS54" s="29" t="e">
        <f>IF(#REF!&lt;&gt;"N/A",Priority!$C54,"")</f>
        <v>#REF!</v>
      </c>
      <c r="AT54" s="29" t="e">
        <f>IF(#REF!&lt;&gt;"N/A",Priority!$C54,"")</f>
        <v>#REF!</v>
      </c>
      <c r="AU54" s="31"/>
      <c r="AV54" s="29" t="e">
        <f>IF(#REF!&lt;&gt;"N/A",Priority!$C54,"")</f>
        <v>#REF!</v>
      </c>
      <c r="AW54" s="29" t="e">
        <f>IF(#REF!&lt;&gt;"N/A",Priority!$C54,"")</f>
        <v>#REF!</v>
      </c>
      <c r="AX54" s="29" t="e">
        <f>IF(#REF!&lt;&gt;"N/A",Priority!$C54,"")</f>
        <v>#REF!</v>
      </c>
      <c r="AY54" s="29" t="e">
        <f>IF(#REF!&lt;&gt;"N/A",Priority!$C54,"")</f>
        <v>#REF!</v>
      </c>
      <c r="AZ54" s="29" t="e">
        <f>IF(#REF!&lt;&gt;"N/A",Priority!$C54,"")</f>
        <v>#REF!</v>
      </c>
      <c r="BA54" s="29" t="e">
        <f>IF(#REF!&lt;&gt;"N/A",Priority!$C54,"")</f>
        <v>#REF!</v>
      </c>
      <c r="BB54" s="29" t="e">
        <f>IF(#REF!&lt;&gt;"N/A",Priority!$C54,"")</f>
        <v>#REF!</v>
      </c>
      <c r="BC54" s="31"/>
      <c r="BD54" s="29" t="e">
        <f>IF(#REF!&lt;&gt;"N/A",Priority!$C54,"")</f>
        <v>#REF!</v>
      </c>
      <c r="BE54" s="29" t="e">
        <f>IF(#REF!&lt;&gt;"N/A",Priority!$C54,"")</f>
        <v>#REF!</v>
      </c>
      <c r="BF54" s="29" t="e">
        <f>IF(#REF!&lt;&gt;"N/A",Priority!$C54,"")</f>
        <v>#REF!</v>
      </c>
      <c r="BG54" s="29" t="e">
        <f>IF(#REF!&lt;&gt;"N/A",Priority!$C54,"")</f>
        <v>#REF!</v>
      </c>
      <c r="BH54" s="29" t="e">
        <f>IF(#REF!&lt;&gt;"N/A",Priority!$C54,"")</f>
        <v>#REF!</v>
      </c>
      <c r="BI54" s="29" t="e">
        <f>IF(#REF!&lt;&gt;"N/A",Priority!$C54,"")</f>
        <v>#REF!</v>
      </c>
      <c r="BJ54" s="29" t="e">
        <f>IF(#REF!&lt;&gt;"N/A",Priority!$C54,"")</f>
        <v>#REF!</v>
      </c>
      <c r="BK54" s="29" t="e">
        <f>IF(#REF!&lt;&gt;"N/A",Priority!$C54,"")</f>
        <v>#REF!</v>
      </c>
      <c r="BL54" s="29" t="e">
        <f>IF(#REF!&lt;&gt;"N/A",Priority!$C54,"")</f>
        <v>#REF!</v>
      </c>
      <c r="BM54" s="31"/>
      <c r="BN54" s="29" t="e">
        <f>IF(#REF!&lt;&gt;"N/A",Priority!$C54,"")</f>
        <v>#REF!</v>
      </c>
      <c r="BO54" s="29" t="e">
        <f>IF(#REF!&lt;&gt;"N/A",Priority!$C54,"")</f>
        <v>#REF!</v>
      </c>
      <c r="BP54" s="29" t="e">
        <f>IF(#REF!&lt;&gt;"N/A",Priority!$C54,"")</f>
        <v>#REF!</v>
      </c>
      <c r="BQ54" s="29" t="e">
        <f>IF(#REF!&lt;&gt;"N/A",Priority!$C54,"")</f>
        <v>#REF!</v>
      </c>
      <c r="BR54" s="29" t="e">
        <f>IF(#REF!&lt;&gt;"N/A",Priority!$C54,"")</f>
        <v>#REF!</v>
      </c>
      <c r="BS54" s="29" t="e">
        <f>IF(#REF!&lt;&gt;"N/A",Priority!$C54,"")</f>
        <v>#REF!</v>
      </c>
      <c r="BT54" s="29" t="e">
        <f>IF(#REF!&lt;&gt;"N/A",Priority!$C54,"")</f>
        <v>#REF!</v>
      </c>
      <c r="BU54" s="31"/>
      <c r="BV54" s="29" t="e">
        <f>IF(#REF!&lt;&gt;"N/A",Priority!$C54,"")</f>
        <v>#REF!</v>
      </c>
      <c r="BW54" s="29" t="e">
        <f>IF(#REF!&lt;&gt;"N/A",Priority!$C54,"")</f>
        <v>#REF!</v>
      </c>
      <c r="BX54" s="29" t="e">
        <f>IF(#REF!&lt;&gt;"N/A",Priority!$C54,"")</f>
        <v>#REF!</v>
      </c>
      <c r="BY54" s="29" t="e">
        <f>IF(#REF!&lt;&gt;"N/A",Priority!$C54,"")</f>
        <v>#REF!</v>
      </c>
      <c r="BZ54" s="29" t="e">
        <f>IF(#REF!&lt;&gt;"N/A",Priority!$C54,"")</f>
        <v>#REF!</v>
      </c>
      <c r="CA54" s="29" t="e">
        <f>IF(#REF!&lt;&gt;"N/A",Priority!$C54,"")</f>
        <v>#REF!</v>
      </c>
      <c r="CB54" s="31"/>
      <c r="CC54" s="29" t="e">
        <f>IF(#REF!&lt;&gt;"N/A",Priority!$C54,"")</f>
        <v>#REF!</v>
      </c>
      <c r="CD54" s="29" t="e">
        <f>IF(#REF!&lt;&gt;"N/A",Priority!$C54,"")</f>
        <v>#REF!</v>
      </c>
      <c r="CE54" s="29" t="e">
        <f>IF(#REF!&lt;&gt;"N/A",Priority!$C54,"")</f>
        <v>#REF!</v>
      </c>
      <c r="CF54" s="29" t="e">
        <f>IF(#REF!&lt;&gt;"N/A",Priority!$C54,"")</f>
        <v>#REF!</v>
      </c>
    </row>
    <row r="55" spans="1:84" ht="30">
      <c r="A55" s="15" t="e">
        <f>#REF!</f>
        <v>#REF!</v>
      </c>
      <c r="B55" s="15" t="e">
        <f>#REF!</f>
        <v>#REF!</v>
      </c>
      <c r="C55" s="15" t="e">
        <f>#REF!</f>
        <v>#REF!</v>
      </c>
      <c r="D55" s="22" t="s">
        <v>178</v>
      </c>
      <c r="E55" s="30" t="str">
        <f t="shared" si="11"/>
        <v>Pending</v>
      </c>
      <c r="F55" s="30" t="str">
        <f t="shared" si="12"/>
        <v>Pass:  0     /Accept:  0/     Fail:  0/     NT:  0</v>
      </c>
      <c r="G55" s="29" t="e">
        <f>IF(#REF!&lt;&gt;"N/A",Priority!$C55,"")</f>
        <v>#REF!</v>
      </c>
      <c r="H55" s="29" t="e">
        <f>IF(#REF!&lt;&gt;"N/A",Priority!$C55,"")</f>
        <v>#REF!</v>
      </c>
      <c r="I55" s="29" t="e">
        <f>IF(#REF!&lt;&gt;"N/A",Priority!$C55,"")</f>
        <v>#REF!</v>
      </c>
      <c r="J55" s="29" t="e">
        <f>IF(#REF!&lt;&gt;"N/A",Priority!$C55,"")</f>
        <v>#REF!</v>
      </c>
      <c r="K55" s="29" t="e">
        <f>IF(#REF!&lt;&gt;"N/A",Priority!$C55,"")</f>
        <v>#REF!</v>
      </c>
      <c r="L55" s="31"/>
      <c r="M55" s="29" t="e">
        <f>IF(#REF!&lt;&gt;"N/A",Priority!$C55,"")</f>
        <v>#REF!</v>
      </c>
      <c r="N55" s="29" t="e">
        <f>IF(#REF!&lt;&gt;"N/A",Priority!$C55,"")</f>
        <v>#REF!</v>
      </c>
      <c r="O55" s="29" t="e">
        <f>IF(#REF!&lt;&gt;"N/A",Priority!$C55,"")</f>
        <v>#REF!</v>
      </c>
      <c r="P55" s="29" t="e">
        <f>IF(#REF!&lt;&gt;"N/A",Priority!$C55,"")</f>
        <v>#REF!</v>
      </c>
      <c r="Q55" s="29" t="e">
        <f>IF(#REF!&lt;&gt;"N/A",Priority!$C55,"")</f>
        <v>#REF!</v>
      </c>
      <c r="R55" s="31"/>
      <c r="S55" s="29" t="e">
        <f>IF(#REF!&lt;&gt;"N/A",Priority!$C55,"")</f>
        <v>#REF!</v>
      </c>
      <c r="T55" s="29" t="e">
        <f>IF(#REF!&lt;&gt;"N/A",Priority!$C55,"")</f>
        <v>#REF!</v>
      </c>
      <c r="U55" s="29" t="e">
        <f>IF(#REF!&lt;&gt;"N/A",Priority!$C55,"")</f>
        <v>#REF!</v>
      </c>
      <c r="V55" s="29" t="e">
        <f>IF(#REF!&lt;&gt;"N/A",Priority!$C55,"")</f>
        <v>#REF!</v>
      </c>
      <c r="W55" s="29" t="e">
        <f>IF(#REF!&lt;&gt;"N/A",Priority!$C55,"")</f>
        <v>#REF!</v>
      </c>
      <c r="X55" s="29" t="e">
        <f>IF(#REF!&lt;&gt;"N/A",Priority!$C55,"")</f>
        <v>#REF!</v>
      </c>
      <c r="Y55" s="31"/>
      <c r="Z55" s="29" t="e">
        <f>IF(#REF!&lt;&gt;"N/A",Priority!$C55,"")</f>
        <v>#REF!</v>
      </c>
      <c r="AA55" s="29" t="e">
        <f>IF(#REF!&lt;&gt;"N/A",Priority!$C55,"")</f>
        <v>#REF!</v>
      </c>
      <c r="AB55" s="29" t="e">
        <f>IF(#REF!&lt;&gt;"N/A",Priority!$C55,"")</f>
        <v>#REF!</v>
      </c>
      <c r="AC55" s="29" t="e">
        <f>IF(#REF!&lt;&gt;"N/A",Priority!$C55,"")</f>
        <v>#REF!</v>
      </c>
      <c r="AD55" s="29" t="e">
        <f>IF(#REF!&lt;&gt;"N/A",Priority!$C55,"")</f>
        <v>#REF!</v>
      </c>
      <c r="AE55" s="29" t="e">
        <f>IF(#REF!&lt;&gt;"N/A",Priority!$C55,"")</f>
        <v>#REF!</v>
      </c>
      <c r="AF55" s="29" t="e">
        <f>IF(#REF!&lt;&gt;"N/A",Priority!$C55,"")</f>
        <v>#REF!</v>
      </c>
      <c r="AG55" s="29" t="e">
        <f>IF(#REF!&lt;&gt;"N/A",Priority!$C55,"")</f>
        <v>#REF!</v>
      </c>
      <c r="AH55" s="29" t="e">
        <f>IF(#REF!&lt;&gt;"N/A",Priority!$C55,"")</f>
        <v>#REF!</v>
      </c>
      <c r="AI55" s="29" t="e">
        <f>IF(#REF!&lt;&gt;"N/A",Priority!$C55,"")</f>
        <v>#REF!</v>
      </c>
      <c r="AJ55" s="31"/>
      <c r="AK55" s="29" t="e">
        <f>IF(#REF!&lt;&gt;"N/A",Priority!$C55,"")</f>
        <v>#REF!</v>
      </c>
      <c r="AL55" s="29" t="e">
        <f>IF(#REF!&lt;&gt;"N/A",Priority!$C55,"")</f>
        <v>#REF!</v>
      </c>
      <c r="AM55" s="29" t="e">
        <f>IF(#REF!&lt;&gt;"N/A",Priority!$C55,"")</f>
        <v>#REF!</v>
      </c>
      <c r="AN55" s="29" t="e">
        <f>IF(#REF!&lt;&gt;"N/A",Priority!$C55,"")</f>
        <v>#REF!</v>
      </c>
      <c r="AO55" s="29" t="e">
        <f>IF(#REF!&lt;&gt;"N/A",Priority!$C55,"")</f>
        <v>#REF!</v>
      </c>
      <c r="AP55" s="29" t="e">
        <f>IF(#REF!&lt;&gt;"N/A",Priority!$C55,"")</f>
        <v>#REF!</v>
      </c>
      <c r="AQ55" s="29" t="e">
        <f>IF(#REF!&lt;&gt;"N/A",Priority!$C55,"")</f>
        <v>#REF!</v>
      </c>
      <c r="AR55" s="29" t="e">
        <f>IF(#REF!&lt;&gt;"N/A",Priority!$C55,"")</f>
        <v>#REF!</v>
      </c>
      <c r="AS55" s="29" t="e">
        <f>IF(#REF!&lt;&gt;"N/A",Priority!$C55,"")</f>
        <v>#REF!</v>
      </c>
      <c r="AT55" s="29" t="e">
        <f>IF(#REF!&lt;&gt;"N/A",Priority!$C55,"")</f>
        <v>#REF!</v>
      </c>
      <c r="AU55" s="31"/>
      <c r="AV55" s="29" t="e">
        <f>IF(#REF!&lt;&gt;"N/A",Priority!$C55,"")</f>
        <v>#REF!</v>
      </c>
      <c r="AW55" s="29" t="e">
        <f>IF(#REF!&lt;&gt;"N/A",Priority!$C55,"")</f>
        <v>#REF!</v>
      </c>
      <c r="AX55" s="29" t="e">
        <f>IF(#REF!&lt;&gt;"N/A",Priority!$C55,"")</f>
        <v>#REF!</v>
      </c>
      <c r="AY55" s="29" t="e">
        <f>IF(#REF!&lt;&gt;"N/A",Priority!$C55,"")</f>
        <v>#REF!</v>
      </c>
      <c r="AZ55" s="29" t="e">
        <f>IF(#REF!&lt;&gt;"N/A",Priority!$C55,"")</f>
        <v>#REF!</v>
      </c>
      <c r="BA55" s="29" t="e">
        <f>IF(#REF!&lt;&gt;"N/A",Priority!$C55,"")</f>
        <v>#REF!</v>
      </c>
      <c r="BB55" s="29" t="e">
        <f>IF(#REF!&lt;&gt;"N/A",Priority!$C55,"")</f>
        <v>#REF!</v>
      </c>
      <c r="BC55" s="31"/>
      <c r="BD55" s="29" t="e">
        <f>IF(#REF!&lt;&gt;"N/A",Priority!$C55,"")</f>
        <v>#REF!</v>
      </c>
      <c r="BE55" s="29" t="e">
        <f>IF(#REF!&lt;&gt;"N/A",Priority!$C55,"")</f>
        <v>#REF!</v>
      </c>
      <c r="BF55" s="29" t="e">
        <f>IF(#REF!&lt;&gt;"N/A",Priority!$C55,"")</f>
        <v>#REF!</v>
      </c>
      <c r="BG55" s="29" t="e">
        <f>IF(#REF!&lt;&gt;"N/A",Priority!$C55,"")</f>
        <v>#REF!</v>
      </c>
      <c r="BH55" s="29" t="e">
        <f>IF(#REF!&lt;&gt;"N/A",Priority!$C55,"")</f>
        <v>#REF!</v>
      </c>
      <c r="BI55" s="29" t="e">
        <f>IF(#REF!&lt;&gt;"N/A",Priority!$C55,"")</f>
        <v>#REF!</v>
      </c>
      <c r="BJ55" s="29" t="e">
        <f>IF(#REF!&lt;&gt;"N/A",Priority!$C55,"")</f>
        <v>#REF!</v>
      </c>
      <c r="BK55" s="29" t="e">
        <f>IF(#REF!&lt;&gt;"N/A",Priority!$C55,"")</f>
        <v>#REF!</v>
      </c>
      <c r="BL55" s="29" t="e">
        <f>IF(#REF!&lt;&gt;"N/A",Priority!$C55,"")</f>
        <v>#REF!</v>
      </c>
      <c r="BM55" s="31"/>
      <c r="BN55" s="29" t="e">
        <f>IF(#REF!&lt;&gt;"N/A",Priority!$C55,"")</f>
        <v>#REF!</v>
      </c>
      <c r="BO55" s="29" t="e">
        <f>IF(#REF!&lt;&gt;"N/A",Priority!$C55,"")</f>
        <v>#REF!</v>
      </c>
      <c r="BP55" s="29" t="e">
        <f>IF(#REF!&lt;&gt;"N/A",Priority!$C55,"")</f>
        <v>#REF!</v>
      </c>
      <c r="BQ55" s="29" t="e">
        <f>IF(#REF!&lt;&gt;"N/A",Priority!$C55,"")</f>
        <v>#REF!</v>
      </c>
      <c r="BR55" s="29" t="e">
        <f>IF(#REF!&lt;&gt;"N/A",Priority!$C55,"")</f>
        <v>#REF!</v>
      </c>
      <c r="BS55" s="29" t="e">
        <f>IF(#REF!&lt;&gt;"N/A",Priority!$C55,"")</f>
        <v>#REF!</v>
      </c>
      <c r="BT55" s="29" t="e">
        <f>IF(#REF!&lt;&gt;"N/A",Priority!$C55,"")</f>
        <v>#REF!</v>
      </c>
      <c r="BU55" s="31"/>
      <c r="BV55" s="29" t="e">
        <f>IF(#REF!&lt;&gt;"N/A",Priority!$C55,"")</f>
        <v>#REF!</v>
      </c>
      <c r="BW55" s="29" t="e">
        <f>IF(#REF!&lt;&gt;"N/A",Priority!$C55,"")</f>
        <v>#REF!</v>
      </c>
      <c r="BX55" s="29" t="e">
        <f>IF(#REF!&lt;&gt;"N/A",Priority!$C55,"")</f>
        <v>#REF!</v>
      </c>
      <c r="BY55" s="29" t="e">
        <f>IF(#REF!&lt;&gt;"N/A",Priority!$C55,"")</f>
        <v>#REF!</v>
      </c>
      <c r="BZ55" s="29" t="e">
        <f>IF(#REF!&lt;&gt;"N/A",Priority!$C55,"")</f>
        <v>#REF!</v>
      </c>
      <c r="CA55" s="29" t="e">
        <f>IF(#REF!&lt;&gt;"N/A",Priority!$C55,"")</f>
        <v>#REF!</v>
      </c>
      <c r="CB55" s="31"/>
      <c r="CC55" s="29" t="e">
        <f>IF(#REF!&lt;&gt;"N/A",Priority!$C55,"")</f>
        <v>#REF!</v>
      </c>
      <c r="CD55" s="29" t="e">
        <f>IF(#REF!&lt;&gt;"N/A",Priority!$C55,"")</f>
        <v>#REF!</v>
      </c>
      <c r="CE55" s="29" t="e">
        <f>IF(#REF!&lt;&gt;"N/A",Priority!$C55,"")</f>
        <v>#REF!</v>
      </c>
      <c r="CF55" s="29" t="e">
        <f>IF(#REF!&lt;&gt;"N/A",Priority!$C55,"")</f>
        <v>#REF!</v>
      </c>
    </row>
    <row r="56" spans="1:84" ht="30">
      <c r="A56" s="15" t="e">
        <f>#REF!</f>
        <v>#REF!</v>
      </c>
      <c r="B56" s="15" t="e">
        <f>#REF!</f>
        <v>#REF!</v>
      </c>
      <c r="C56" s="15" t="e">
        <f>#REF!</f>
        <v>#REF!</v>
      </c>
      <c r="D56" s="24" t="s">
        <v>41</v>
      </c>
      <c r="E56" s="30" t="str">
        <f t="shared" si="11"/>
        <v>Pending</v>
      </c>
      <c r="F56" s="30" t="str">
        <f t="shared" si="12"/>
        <v>Pass:  0     /Accept:  0/     Fail:  0/     NT:  0</v>
      </c>
      <c r="G56" s="29" t="e">
        <f>IF(#REF!&lt;&gt;"N/A",Priority!$C56,"")</f>
        <v>#REF!</v>
      </c>
      <c r="H56" s="29" t="e">
        <f>IF(#REF!&lt;&gt;"N/A",Priority!$C56,"")</f>
        <v>#REF!</v>
      </c>
      <c r="I56" s="29" t="e">
        <f>IF(#REF!&lt;&gt;"N/A",Priority!$C56,"")</f>
        <v>#REF!</v>
      </c>
      <c r="J56" s="29" t="e">
        <f>IF(#REF!&lt;&gt;"N/A",Priority!$C56,"")</f>
        <v>#REF!</v>
      </c>
      <c r="K56" s="29" t="e">
        <f>IF(#REF!&lt;&gt;"N/A",Priority!$C56,"")</f>
        <v>#REF!</v>
      </c>
      <c r="L56" s="31"/>
      <c r="M56" s="29" t="e">
        <f>IF(#REF!&lt;&gt;"N/A",Priority!$C56,"")</f>
        <v>#REF!</v>
      </c>
      <c r="N56" s="29" t="e">
        <f>IF(#REF!&lt;&gt;"N/A",Priority!$C56,"")</f>
        <v>#REF!</v>
      </c>
      <c r="O56" s="29" t="e">
        <f>IF(#REF!&lt;&gt;"N/A",Priority!$C56,"")</f>
        <v>#REF!</v>
      </c>
      <c r="P56" s="29" t="e">
        <f>IF(#REF!&lt;&gt;"N/A",Priority!$C56,"")</f>
        <v>#REF!</v>
      </c>
      <c r="Q56" s="29" t="e">
        <f>IF(#REF!&lt;&gt;"N/A",Priority!$C56,"")</f>
        <v>#REF!</v>
      </c>
      <c r="R56" s="31"/>
      <c r="S56" s="29" t="e">
        <f>IF(#REF!&lt;&gt;"N/A",Priority!$C56,"")</f>
        <v>#REF!</v>
      </c>
      <c r="T56" s="29" t="e">
        <f>IF(#REF!&lt;&gt;"N/A",Priority!$C56,"")</f>
        <v>#REF!</v>
      </c>
      <c r="U56" s="29" t="e">
        <f>IF(#REF!&lt;&gt;"N/A",Priority!$C56,"")</f>
        <v>#REF!</v>
      </c>
      <c r="V56" s="29" t="e">
        <f>IF(#REF!&lt;&gt;"N/A",Priority!$C56,"")</f>
        <v>#REF!</v>
      </c>
      <c r="W56" s="29" t="e">
        <f>IF(#REF!&lt;&gt;"N/A",Priority!$C56,"")</f>
        <v>#REF!</v>
      </c>
      <c r="X56" s="29" t="e">
        <f>IF(#REF!&lt;&gt;"N/A",Priority!$C56,"")</f>
        <v>#REF!</v>
      </c>
      <c r="Y56" s="31"/>
      <c r="Z56" s="29" t="e">
        <f>IF(#REF!&lt;&gt;"N/A",Priority!$C56,"")</f>
        <v>#REF!</v>
      </c>
      <c r="AA56" s="29" t="e">
        <f>IF(#REF!&lt;&gt;"N/A",Priority!$C56,"")</f>
        <v>#REF!</v>
      </c>
      <c r="AB56" s="29" t="e">
        <f>IF(#REF!&lt;&gt;"N/A",Priority!$C56,"")</f>
        <v>#REF!</v>
      </c>
      <c r="AC56" s="29" t="e">
        <f>IF(#REF!&lt;&gt;"N/A",Priority!$C56,"")</f>
        <v>#REF!</v>
      </c>
      <c r="AD56" s="29" t="e">
        <f>IF(#REF!&lt;&gt;"N/A",Priority!$C56,"")</f>
        <v>#REF!</v>
      </c>
      <c r="AE56" s="29" t="e">
        <f>IF(#REF!&lt;&gt;"N/A",Priority!$C56,"")</f>
        <v>#REF!</v>
      </c>
      <c r="AF56" s="29" t="e">
        <f>IF(#REF!&lt;&gt;"N/A",Priority!$C56,"")</f>
        <v>#REF!</v>
      </c>
      <c r="AG56" s="29" t="e">
        <f>IF(#REF!&lt;&gt;"N/A",Priority!$C56,"")</f>
        <v>#REF!</v>
      </c>
      <c r="AH56" s="29" t="e">
        <f>IF(#REF!&lt;&gt;"N/A",Priority!$C56,"")</f>
        <v>#REF!</v>
      </c>
      <c r="AI56" s="29" t="e">
        <f>IF(#REF!&lt;&gt;"N/A",Priority!$C56,"")</f>
        <v>#REF!</v>
      </c>
      <c r="AJ56" s="31"/>
      <c r="AK56" s="29" t="e">
        <f>IF(#REF!&lt;&gt;"N/A",Priority!$C56,"")</f>
        <v>#REF!</v>
      </c>
      <c r="AL56" s="29" t="e">
        <f>IF(#REF!&lt;&gt;"N/A",Priority!$C56,"")</f>
        <v>#REF!</v>
      </c>
      <c r="AM56" s="29" t="e">
        <f>IF(#REF!&lt;&gt;"N/A",Priority!$C56,"")</f>
        <v>#REF!</v>
      </c>
      <c r="AN56" s="29" t="e">
        <f>IF(#REF!&lt;&gt;"N/A",Priority!$C56,"")</f>
        <v>#REF!</v>
      </c>
      <c r="AO56" s="29" t="e">
        <f>IF(#REF!&lt;&gt;"N/A",Priority!$C56,"")</f>
        <v>#REF!</v>
      </c>
      <c r="AP56" s="29" t="e">
        <f>IF(#REF!&lt;&gt;"N/A",Priority!$C56,"")</f>
        <v>#REF!</v>
      </c>
      <c r="AQ56" s="29" t="e">
        <f>IF(#REF!&lt;&gt;"N/A",Priority!$C56,"")</f>
        <v>#REF!</v>
      </c>
      <c r="AR56" s="29" t="e">
        <f>IF(#REF!&lt;&gt;"N/A",Priority!$C56,"")</f>
        <v>#REF!</v>
      </c>
      <c r="AS56" s="29" t="e">
        <f>IF(#REF!&lt;&gt;"N/A",Priority!$C56,"")</f>
        <v>#REF!</v>
      </c>
      <c r="AT56" s="29" t="e">
        <f>IF(#REF!&lt;&gt;"N/A",Priority!$C56,"")</f>
        <v>#REF!</v>
      </c>
      <c r="AU56" s="31"/>
      <c r="AV56" s="29" t="e">
        <f>IF(#REF!&lt;&gt;"N/A",Priority!$C56,"")</f>
        <v>#REF!</v>
      </c>
      <c r="AW56" s="29" t="e">
        <f>IF(#REF!&lt;&gt;"N/A",Priority!$C56,"")</f>
        <v>#REF!</v>
      </c>
      <c r="AX56" s="29" t="e">
        <f>IF(#REF!&lt;&gt;"N/A",Priority!$C56,"")</f>
        <v>#REF!</v>
      </c>
      <c r="AY56" s="29" t="e">
        <f>IF(#REF!&lt;&gt;"N/A",Priority!$C56,"")</f>
        <v>#REF!</v>
      </c>
      <c r="AZ56" s="29" t="e">
        <f>IF(#REF!&lt;&gt;"N/A",Priority!$C56,"")</f>
        <v>#REF!</v>
      </c>
      <c r="BA56" s="29" t="e">
        <f>IF(#REF!&lt;&gt;"N/A",Priority!$C56,"")</f>
        <v>#REF!</v>
      </c>
      <c r="BB56" s="29" t="e">
        <f>IF(#REF!&lt;&gt;"N/A",Priority!$C56,"")</f>
        <v>#REF!</v>
      </c>
      <c r="BC56" s="31"/>
      <c r="BD56" s="29" t="e">
        <f>IF(#REF!&lt;&gt;"N/A",Priority!$C56,"")</f>
        <v>#REF!</v>
      </c>
      <c r="BE56" s="29" t="e">
        <f>IF(#REF!&lt;&gt;"N/A",Priority!$C56,"")</f>
        <v>#REF!</v>
      </c>
      <c r="BF56" s="29" t="e">
        <f>IF(#REF!&lt;&gt;"N/A",Priority!$C56,"")</f>
        <v>#REF!</v>
      </c>
      <c r="BG56" s="29" t="e">
        <f>IF(#REF!&lt;&gt;"N/A",Priority!$C56,"")</f>
        <v>#REF!</v>
      </c>
      <c r="BH56" s="29" t="e">
        <f>IF(#REF!&lt;&gt;"N/A",Priority!$C56,"")</f>
        <v>#REF!</v>
      </c>
      <c r="BI56" s="29" t="e">
        <f>IF(#REF!&lt;&gt;"N/A",Priority!$C56,"")</f>
        <v>#REF!</v>
      </c>
      <c r="BJ56" s="29" t="e">
        <f>IF(#REF!&lt;&gt;"N/A",Priority!$C56,"")</f>
        <v>#REF!</v>
      </c>
      <c r="BK56" s="29" t="e">
        <f>IF(#REF!&lt;&gt;"N/A",Priority!$C56,"")</f>
        <v>#REF!</v>
      </c>
      <c r="BL56" s="29" t="e">
        <f>IF(#REF!&lt;&gt;"N/A",Priority!$C56,"")</f>
        <v>#REF!</v>
      </c>
      <c r="BM56" s="31"/>
      <c r="BN56" s="29" t="e">
        <f>IF(#REF!&lt;&gt;"N/A",Priority!$C56,"")</f>
        <v>#REF!</v>
      </c>
      <c r="BO56" s="29" t="e">
        <f>IF(#REF!&lt;&gt;"N/A",Priority!$C56,"")</f>
        <v>#REF!</v>
      </c>
      <c r="BP56" s="29" t="e">
        <f>IF(#REF!&lt;&gt;"N/A",Priority!$C56,"")</f>
        <v>#REF!</v>
      </c>
      <c r="BQ56" s="29" t="e">
        <f>IF(#REF!&lt;&gt;"N/A",Priority!$C56,"")</f>
        <v>#REF!</v>
      </c>
      <c r="BR56" s="29" t="e">
        <f>IF(#REF!&lt;&gt;"N/A",Priority!$C56,"")</f>
        <v>#REF!</v>
      </c>
      <c r="BS56" s="29" t="e">
        <f>IF(#REF!&lt;&gt;"N/A",Priority!$C56,"")</f>
        <v>#REF!</v>
      </c>
      <c r="BT56" s="29" t="e">
        <f>IF(#REF!&lt;&gt;"N/A",Priority!$C56,"")</f>
        <v>#REF!</v>
      </c>
      <c r="BU56" s="31"/>
      <c r="BV56" s="29" t="e">
        <f>IF(#REF!&lt;&gt;"N/A",Priority!$C56,"")</f>
        <v>#REF!</v>
      </c>
      <c r="BW56" s="29" t="e">
        <f>IF(#REF!&lt;&gt;"N/A",Priority!$C56,"")</f>
        <v>#REF!</v>
      </c>
      <c r="BX56" s="29" t="e">
        <f>IF(#REF!&lt;&gt;"N/A",Priority!$C56,"")</f>
        <v>#REF!</v>
      </c>
      <c r="BY56" s="29" t="e">
        <f>IF(#REF!&lt;&gt;"N/A",Priority!$C56,"")</f>
        <v>#REF!</v>
      </c>
      <c r="BZ56" s="29" t="e">
        <f>IF(#REF!&lt;&gt;"N/A",Priority!$C56,"")</f>
        <v>#REF!</v>
      </c>
      <c r="CA56" s="29" t="e">
        <f>IF(#REF!&lt;&gt;"N/A",Priority!$C56,"")</f>
        <v>#REF!</v>
      </c>
      <c r="CB56" s="31"/>
      <c r="CC56" s="29" t="e">
        <f>IF(#REF!&lt;&gt;"N/A",Priority!$C56,"")</f>
        <v>#REF!</v>
      </c>
      <c r="CD56" s="29" t="e">
        <f>IF(#REF!&lt;&gt;"N/A",Priority!$C56,"")</f>
        <v>#REF!</v>
      </c>
      <c r="CE56" s="29" t="e">
        <f>IF(#REF!&lt;&gt;"N/A",Priority!$C56,"")</f>
        <v>#REF!</v>
      </c>
      <c r="CF56" s="29" t="e">
        <f>IF(#REF!&lt;&gt;"N/A",Priority!$C56,"")</f>
        <v>#REF!</v>
      </c>
    </row>
    <row r="57" spans="1:84" ht="30">
      <c r="A57" s="15" t="e">
        <f>#REF!</f>
        <v>#REF!</v>
      </c>
      <c r="B57" s="15" t="e">
        <f>#REF!</f>
        <v>#REF!</v>
      </c>
      <c r="C57" s="15" t="e">
        <f>#REF!</f>
        <v>#REF!</v>
      </c>
      <c r="D57" s="22" t="s">
        <v>178</v>
      </c>
      <c r="E57" s="30" t="str">
        <f t="shared" si="11"/>
        <v>Pending</v>
      </c>
      <c r="F57" s="30" t="str">
        <f t="shared" si="12"/>
        <v>Pass:  0     /Accept:  0/     Fail:  0/     NT:  0</v>
      </c>
      <c r="G57" s="29" t="e">
        <f>IF(#REF!&lt;&gt;"N/A",Priority!$C57,"")</f>
        <v>#REF!</v>
      </c>
      <c r="H57" s="29" t="e">
        <f>IF(#REF!&lt;&gt;"N/A",Priority!$C57,"")</f>
        <v>#REF!</v>
      </c>
      <c r="I57" s="29" t="e">
        <f>IF(#REF!&lt;&gt;"N/A",Priority!$C57,"")</f>
        <v>#REF!</v>
      </c>
      <c r="J57" s="29" t="e">
        <f>IF(#REF!&lt;&gt;"N/A",Priority!$C57,"")</f>
        <v>#REF!</v>
      </c>
      <c r="K57" s="29" t="e">
        <f>IF(#REF!&lt;&gt;"N/A",Priority!$C57,"")</f>
        <v>#REF!</v>
      </c>
      <c r="L57" s="31"/>
      <c r="M57" s="29" t="e">
        <f>IF(#REF!&lt;&gt;"N/A",Priority!$C57,"")</f>
        <v>#REF!</v>
      </c>
      <c r="N57" s="29" t="e">
        <f>IF(#REF!&lt;&gt;"N/A",Priority!$C57,"")</f>
        <v>#REF!</v>
      </c>
      <c r="O57" s="29" t="e">
        <f>IF(#REF!&lt;&gt;"N/A",Priority!$C57,"")</f>
        <v>#REF!</v>
      </c>
      <c r="P57" s="29" t="e">
        <f>IF(#REF!&lt;&gt;"N/A",Priority!$C57,"")</f>
        <v>#REF!</v>
      </c>
      <c r="Q57" s="29" t="e">
        <f>IF(#REF!&lt;&gt;"N/A",Priority!$C57,"")</f>
        <v>#REF!</v>
      </c>
      <c r="R57" s="31"/>
      <c r="S57" s="29" t="e">
        <f>IF(#REF!&lt;&gt;"N/A",Priority!$C57,"")</f>
        <v>#REF!</v>
      </c>
      <c r="T57" s="29" t="e">
        <f>IF(#REF!&lt;&gt;"N/A",Priority!$C57,"")</f>
        <v>#REF!</v>
      </c>
      <c r="U57" s="29" t="e">
        <f>IF(#REF!&lt;&gt;"N/A",Priority!$C57,"")</f>
        <v>#REF!</v>
      </c>
      <c r="V57" s="29" t="e">
        <f>IF(#REF!&lt;&gt;"N/A",Priority!$C57,"")</f>
        <v>#REF!</v>
      </c>
      <c r="W57" s="29" t="e">
        <f>IF(#REF!&lt;&gt;"N/A",Priority!$C57,"")</f>
        <v>#REF!</v>
      </c>
      <c r="X57" s="29" t="e">
        <f>IF(#REF!&lt;&gt;"N/A",Priority!$C57,"")</f>
        <v>#REF!</v>
      </c>
      <c r="Y57" s="31"/>
      <c r="Z57" s="29" t="e">
        <f>IF(#REF!&lt;&gt;"N/A",Priority!$C57,"")</f>
        <v>#REF!</v>
      </c>
      <c r="AA57" s="29" t="e">
        <f>IF(#REF!&lt;&gt;"N/A",Priority!$C57,"")</f>
        <v>#REF!</v>
      </c>
      <c r="AB57" s="29" t="e">
        <f>IF(#REF!&lt;&gt;"N/A",Priority!$C57,"")</f>
        <v>#REF!</v>
      </c>
      <c r="AC57" s="29" t="e">
        <f>IF(#REF!&lt;&gt;"N/A",Priority!$C57,"")</f>
        <v>#REF!</v>
      </c>
      <c r="AD57" s="29" t="e">
        <f>IF(#REF!&lt;&gt;"N/A",Priority!$C57,"")</f>
        <v>#REF!</v>
      </c>
      <c r="AE57" s="29" t="e">
        <f>IF(#REF!&lt;&gt;"N/A",Priority!$C57,"")</f>
        <v>#REF!</v>
      </c>
      <c r="AF57" s="29" t="e">
        <f>IF(#REF!&lt;&gt;"N/A",Priority!$C57,"")</f>
        <v>#REF!</v>
      </c>
      <c r="AG57" s="29" t="e">
        <f>IF(#REF!&lt;&gt;"N/A",Priority!$C57,"")</f>
        <v>#REF!</v>
      </c>
      <c r="AH57" s="29" t="e">
        <f>IF(#REF!&lt;&gt;"N/A",Priority!$C57,"")</f>
        <v>#REF!</v>
      </c>
      <c r="AI57" s="29" t="e">
        <f>IF(#REF!&lt;&gt;"N/A",Priority!$C57,"")</f>
        <v>#REF!</v>
      </c>
      <c r="AJ57" s="31"/>
      <c r="AK57" s="29" t="e">
        <f>IF(#REF!&lt;&gt;"N/A",Priority!$C57,"")</f>
        <v>#REF!</v>
      </c>
      <c r="AL57" s="29" t="e">
        <f>IF(#REF!&lt;&gt;"N/A",Priority!$C57,"")</f>
        <v>#REF!</v>
      </c>
      <c r="AM57" s="29" t="e">
        <f>IF(#REF!&lt;&gt;"N/A",Priority!$C57,"")</f>
        <v>#REF!</v>
      </c>
      <c r="AN57" s="29" t="e">
        <f>IF(#REF!&lt;&gt;"N/A",Priority!$C57,"")</f>
        <v>#REF!</v>
      </c>
      <c r="AO57" s="29" t="e">
        <f>IF(#REF!&lt;&gt;"N/A",Priority!$C57,"")</f>
        <v>#REF!</v>
      </c>
      <c r="AP57" s="29" t="e">
        <f>IF(#REF!&lt;&gt;"N/A",Priority!$C57,"")</f>
        <v>#REF!</v>
      </c>
      <c r="AQ57" s="29" t="e">
        <f>IF(#REF!&lt;&gt;"N/A",Priority!$C57,"")</f>
        <v>#REF!</v>
      </c>
      <c r="AR57" s="29" t="e">
        <f>IF(#REF!&lt;&gt;"N/A",Priority!$C57,"")</f>
        <v>#REF!</v>
      </c>
      <c r="AS57" s="29" t="e">
        <f>IF(#REF!&lt;&gt;"N/A",Priority!$C57,"")</f>
        <v>#REF!</v>
      </c>
      <c r="AT57" s="29" t="e">
        <f>IF(#REF!&lt;&gt;"N/A",Priority!$C57,"")</f>
        <v>#REF!</v>
      </c>
      <c r="AU57" s="31"/>
      <c r="AV57" s="29" t="e">
        <f>IF(#REF!&lt;&gt;"N/A",Priority!$C57,"")</f>
        <v>#REF!</v>
      </c>
      <c r="AW57" s="29" t="e">
        <f>IF(#REF!&lt;&gt;"N/A",Priority!$C57,"")</f>
        <v>#REF!</v>
      </c>
      <c r="AX57" s="29" t="e">
        <f>IF(#REF!&lt;&gt;"N/A",Priority!$C57,"")</f>
        <v>#REF!</v>
      </c>
      <c r="AY57" s="29" t="e">
        <f>IF(#REF!&lt;&gt;"N/A",Priority!$C57,"")</f>
        <v>#REF!</v>
      </c>
      <c r="AZ57" s="29" t="e">
        <f>IF(#REF!&lt;&gt;"N/A",Priority!$C57,"")</f>
        <v>#REF!</v>
      </c>
      <c r="BA57" s="29" t="e">
        <f>IF(#REF!&lt;&gt;"N/A",Priority!$C57,"")</f>
        <v>#REF!</v>
      </c>
      <c r="BB57" s="29" t="e">
        <f>IF(#REF!&lt;&gt;"N/A",Priority!$C57,"")</f>
        <v>#REF!</v>
      </c>
      <c r="BC57" s="31"/>
      <c r="BD57" s="29" t="e">
        <f>IF(#REF!&lt;&gt;"N/A",Priority!$C57,"")</f>
        <v>#REF!</v>
      </c>
      <c r="BE57" s="29" t="e">
        <f>IF(#REF!&lt;&gt;"N/A",Priority!$C57,"")</f>
        <v>#REF!</v>
      </c>
      <c r="BF57" s="29" t="e">
        <f>IF(#REF!&lt;&gt;"N/A",Priority!$C57,"")</f>
        <v>#REF!</v>
      </c>
      <c r="BG57" s="29" t="e">
        <f>IF(#REF!&lt;&gt;"N/A",Priority!$C57,"")</f>
        <v>#REF!</v>
      </c>
      <c r="BH57" s="29" t="e">
        <f>IF(#REF!&lt;&gt;"N/A",Priority!$C57,"")</f>
        <v>#REF!</v>
      </c>
      <c r="BI57" s="29" t="e">
        <f>IF(#REF!&lt;&gt;"N/A",Priority!$C57,"")</f>
        <v>#REF!</v>
      </c>
      <c r="BJ57" s="29" t="e">
        <f>IF(#REF!&lt;&gt;"N/A",Priority!$C57,"")</f>
        <v>#REF!</v>
      </c>
      <c r="BK57" s="29" t="e">
        <f>IF(#REF!&lt;&gt;"N/A",Priority!$C57,"")</f>
        <v>#REF!</v>
      </c>
      <c r="BL57" s="29" t="e">
        <f>IF(#REF!&lt;&gt;"N/A",Priority!$C57,"")</f>
        <v>#REF!</v>
      </c>
      <c r="BM57" s="31"/>
      <c r="BN57" s="29" t="e">
        <f>IF(#REF!&lt;&gt;"N/A",Priority!$C57,"")</f>
        <v>#REF!</v>
      </c>
      <c r="BO57" s="29" t="e">
        <f>IF(#REF!&lt;&gt;"N/A",Priority!$C57,"")</f>
        <v>#REF!</v>
      </c>
      <c r="BP57" s="29" t="e">
        <f>IF(#REF!&lt;&gt;"N/A",Priority!$C57,"")</f>
        <v>#REF!</v>
      </c>
      <c r="BQ57" s="29" t="e">
        <f>IF(#REF!&lt;&gt;"N/A",Priority!$C57,"")</f>
        <v>#REF!</v>
      </c>
      <c r="BR57" s="29" t="e">
        <f>IF(#REF!&lt;&gt;"N/A",Priority!$C57,"")</f>
        <v>#REF!</v>
      </c>
      <c r="BS57" s="29" t="e">
        <f>IF(#REF!&lt;&gt;"N/A",Priority!$C57,"")</f>
        <v>#REF!</v>
      </c>
      <c r="BT57" s="29" t="e">
        <f>IF(#REF!&lt;&gt;"N/A",Priority!$C57,"")</f>
        <v>#REF!</v>
      </c>
      <c r="BU57" s="31"/>
      <c r="BV57" s="29" t="e">
        <f>IF(#REF!&lt;&gt;"N/A",Priority!$C57,"")</f>
        <v>#REF!</v>
      </c>
      <c r="BW57" s="29" t="e">
        <f>IF(#REF!&lt;&gt;"N/A",Priority!$C57,"")</f>
        <v>#REF!</v>
      </c>
      <c r="BX57" s="29" t="e">
        <f>IF(#REF!&lt;&gt;"N/A",Priority!$C57,"")</f>
        <v>#REF!</v>
      </c>
      <c r="BY57" s="29" t="e">
        <f>IF(#REF!&lt;&gt;"N/A",Priority!$C57,"")</f>
        <v>#REF!</v>
      </c>
      <c r="BZ57" s="29" t="e">
        <f>IF(#REF!&lt;&gt;"N/A",Priority!$C57,"")</f>
        <v>#REF!</v>
      </c>
      <c r="CA57" s="29" t="e">
        <f>IF(#REF!&lt;&gt;"N/A",Priority!$C57,"")</f>
        <v>#REF!</v>
      </c>
      <c r="CB57" s="31"/>
      <c r="CC57" s="29" t="e">
        <f>IF(#REF!&lt;&gt;"N/A",Priority!$C57,"")</f>
        <v>#REF!</v>
      </c>
      <c r="CD57" s="29" t="e">
        <f>IF(#REF!&lt;&gt;"N/A",Priority!$C57,"")</f>
        <v>#REF!</v>
      </c>
      <c r="CE57" s="29" t="e">
        <f>IF(#REF!&lt;&gt;"N/A",Priority!$C57,"")</f>
        <v>#REF!</v>
      </c>
      <c r="CF57" s="29" t="e">
        <f>IF(#REF!&lt;&gt;"N/A",Priority!$C57,"")</f>
        <v>#REF!</v>
      </c>
    </row>
    <row r="58" spans="1:84" ht="15.75">
      <c r="A58" s="4" t="e">
        <f>#REF!</f>
        <v>#REF!</v>
      </c>
      <c r="B58" s="4" t="e">
        <f>#REF!</f>
        <v>#REF!</v>
      </c>
      <c r="C58" s="2"/>
      <c r="D58" s="19"/>
      <c r="E58" s="19"/>
      <c r="F58" s="6"/>
      <c r="G58" s="6"/>
      <c r="H58" s="6"/>
      <c r="I58" s="6"/>
      <c r="J58" s="6"/>
      <c r="K58" s="6"/>
      <c r="L58" s="34"/>
      <c r="M58" s="6"/>
      <c r="N58" s="6"/>
      <c r="O58" s="6"/>
      <c r="P58" s="6"/>
      <c r="Q58" s="6"/>
      <c r="R58" s="34"/>
      <c r="S58" s="6"/>
      <c r="T58" s="6"/>
      <c r="U58" s="6"/>
      <c r="V58" s="6"/>
      <c r="W58" s="6"/>
      <c r="X58" s="6"/>
      <c r="Y58" s="34"/>
      <c r="Z58" s="6"/>
      <c r="AA58" s="6"/>
      <c r="AB58" s="6"/>
      <c r="AC58" s="6"/>
      <c r="AD58" s="6"/>
      <c r="AE58" s="6"/>
      <c r="AF58" s="6"/>
      <c r="AG58" s="6"/>
      <c r="AH58" s="6"/>
      <c r="AI58" s="6"/>
      <c r="AJ58" s="34"/>
      <c r="AK58" s="6"/>
      <c r="AL58" s="6"/>
      <c r="AM58" s="6"/>
      <c r="AN58" s="6"/>
      <c r="AO58" s="6"/>
      <c r="AP58" s="6"/>
      <c r="AQ58" s="6"/>
      <c r="AR58" s="6"/>
      <c r="AS58" s="6"/>
      <c r="AT58" s="6"/>
      <c r="AU58" s="34"/>
      <c r="AV58" s="6"/>
      <c r="AW58" s="6"/>
      <c r="AX58" s="6"/>
      <c r="AY58" s="6"/>
      <c r="AZ58" s="6"/>
      <c r="BA58" s="6"/>
      <c r="BB58" s="6"/>
      <c r="BC58" s="34"/>
      <c r="BD58" s="6"/>
      <c r="BE58" s="6"/>
      <c r="BF58" s="6"/>
      <c r="BG58" s="6"/>
      <c r="BH58" s="6"/>
      <c r="BI58" s="6"/>
      <c r="BJ58" s="6"/>
      <c r="BK58" s="6"/>
      <c r="BL58" s="6"/>
      <c r="BM58" s="34"/>
      <c r="BN58" s="6"/>
      <c r="BO58" s="6"/>
      <c r="BP58" s="6"/>
      <c r="BQ58" s="6"/>
      <c r="BR58" s="6"/>
      <c r="BS58" s="6"/>
      <c r="BT58" s="6"/>
      <c r="BU58" s="34"/>
      <c r="BV58" s="6"/>
      <c r="BW58" s="6"/>
      <c r="BX58" s="6"/>
      <c r="BY58" s="6"/>
      <c r="BZ58" s="6"/>
      <c r="CA58" s="6"/>
      <c r="CB58" s="34"/>
      <c r="CC58" s="6"/>
      <c r="CD58" s="6"/>
      <c r="CE58" s="6"/>
      <c r="CF58" s="6"/>
    </row>
    <row r="59" spans="1:84" ht="30">
      <c r="A59" s="15" t="e">
        <f>#REF!</f>
        <v>#REF!</v>
      </c>
      <c r="B59" s="15" t="e">
        <f>#REF!</f>
        <v>#REF!</v>
      </c>
      <c r="C59" s="15" t="e">
        <f>#REF!</f>
        <v>#REF!</v>
      </c>
      <c r="D59" s="22" t="s">
        <v>46</v>
      </c>
      <c r="E59" s="30" t="str">
        <f t="shared" ref="E59:E71" si="13">IF(COUNTIFS(F59:CF59,"F")+COUNTIFS(F59:CF59,"NT")&gt;0,"In Test",IF(COUNTIFS(F59:CF59,"P")+COUNTIFS(F59:CF59,"A")&gt;0,"Pass","Pending"))</f>
        <v>Pending</v>
      </c>
      <c r="F59" s="30" t="str">
        <f t="shared" ref="F59:F71" si="14" xml:space="preserve"> "Pass:  "&amp; COUNTIFS(G59:CG59,"P")&amp;  "     /Accept:  "&amp; COUNTIFS(G59:CG59,"A")&amp;  "/     Fail:  "&amp; COUNTIFS(G59:CG59,"Fail") &amp;  "/     NT:  "&amp; COUNTIFS(G59:CG59,"NT")</f>
        <v>Pass:  0     /Accept:  0/     Fail:  0/     NT:  0</v>
      </c>
      <c r="G59" s="29" t="e">
        <f>IF(#REF!&lt;&gt;"N/A",Priority!$C59,"")</f>
        <v>#REF!</v>
      </c>
      <c r="H59" s="29" t="e">
        <f>IF(#REF!&lt;&gt;"N/A",Priority!$C59,"")</f>
        <v>#REF!</v>
      </c>
      <c r="I59" s="29" t="e">
        <f>IF(#REF!&lt;&gt;"N/A",Priority!$C59,"")</f>
        <v>#REF!</v>
      </c>
      <c r="J59" s="29" t="e">
        <f>IF(#REF!&lt;&gt;"N/A",Priority!$C59,"")</f>
        <v>#REF!</v>
      </c>
      <c r="K59" s="29" t="e">
        <f>IF(#REF!&lt;&gt;"N/A",Priority!$C59,"")</f>
        <v>#REF!</v>
      </c>
      <c r="L59" s="31"/>
      <c r="M59" s="29" t="e">
        <f>IF(#REF!&lt;&gt;"N/A",Priority!$C59,"")</f>
        <v>#REF!</v>
      </c>
      <c r="N59" s="29" t="e">
        <f>IF(#REF!&lt;&gt;"N/A",Priority!$C59,"")</f>
        <v>#REF!</v>
      </c>
      <c r="O59" s="29" t="e">
        <f>IF(#REF!&lt;&gt;"N/A",Priority!$C59,"")</f>
        <v>#REF!</v>
      </c>
      <c r="P59" s="29" t="e">
        <f>IF(#REF!&lt;&gt;"N/A",Priority!$C59,"")</f>
        <v>#REF!</v>
      </c>
      <c r="Q59" s="29" t="e">
        <f>IF(#REF!&lt;&gt;"N/A",Priority!$C59,"")</f>
        <v>#REF!</v>
      </c>
      <c r="R59" s="31"/>
      <c r="S59" s="29" t="e">
        <f>IF(#REF!&lt;&gt;"N/A",Priority!$C59,"")</f>
        <v>#REF!</v>
      </c>
      <c r="T59" s="29" t="e">
        <f>IF(#REF!&lt;&gt;"N/A",Priority!$C59,"")</f>
        <v>#REF!</v>
      </c>
      <c r="U59" s="29" t="e">
        <f>IF(#REF!&lt;&gt;"N/A",Priority!$C59,"")</f>
        <v>#REF!</v>
      </c>
      <c r="V59" s="29" t="e">
        <f>IF(#REF!&lt;&gt;"N/A",Priority!$C59,"")</f>
        <v>#REF!</v>
      </c>
      <c r="W59" s="29" t="e">
        <f>IF(#REF!&lt;&gt;"N/A",Priority!$C59,"")</f>
        <v>#REF!</v>
      </c>
      <c r="X59" s="29" t="e">
        <f>IF(#REF!&lt;&gt;"N/A",Priority!$C59,"")</f>
        <v>#REF!</v>
      </c>
      <c r="Y59" s="31"/>
      <c r="Z59" s="29" t="e">
        <f>IF(#REF!&lt;&gt;"N/A",Priority!$C59,"")</f>
        <v>#REF!</v>
      </c>
      <c r="AA59" s="29" t="e">
        <f>IF(#REF!&lt;&gt;"N/A",Priority!$C59,"")</f>
        <v>#REF!</v>
      </c>
      <c r="AB59" s="29" t="e">
        <f>IF(#REF!&lt;&gt;"N/A",Priority!$C59,"")</f>
        <v>#REF!</v>
      </c>
      <c r="AC59" s="29" t="e">
        <f>IF(#REF!&lt;&gt;"N/A",Priority!$C59,"")</f>
        <v>#REF!</v>
      </c>
      <c r="AD59" s="29" t="e">
        <f>IF(#REF!&lt;&gt;"N/A",Priority!$C59,"")</f>
        <v>#REF!</v>
      </c>
      <c r="AE59" s="29" t="e">
        <f>IF(#REF!&lt;&gt;"N/A",Priority!$C59,"")</f>
        <v>#REF!</v>
      </c>
      <c r="AF59" s="29" t="e">
        <f>IF(#REF!&lt;&gt;"N/A",Priority!$C59,"")</f>
        <v>#REF!</v>
      </c>
      <c r="AG59" s="29" t="e">
        <f>IF(#REF!&lt;&gt;"N/A",Priority!$C59,"")</f>
        <v>#REF!</v>
      </c>
      <c r="AH59" s="29" t="e">
        <f>IF(#REF!&lt;&gt;"N/A",Priority!$C59,"")</f>
        <v>#REF!</v>
      </c>
      <c r="AI59" s="29" t="e">
        <f>IF(#REF!&lt;&gt;"N/A",Priority!$C59,"")</f>
        <v>#REF!</v>
      </c>
      <c r="AJ59" s="31"/>
      <c r="AK59" s="29" t="e">
        <f>IF(#REF!&lt;&gt;"N/A",Priority!$C59,"")</f>
        <v>#REF!</v>
      </c>
      <c r="AL59" s="29" t="e">
        <f>IF(#REF!&lt;&gt;"N/A",Priority!$C59,"")</f>
        <v>#REF!</v>
      </c>
      <c r="AM59" s="29" t="e">
        <f>IF(#REF!&lt;&gt;"N/A",Priority!$C59,"")</f>
        <v>#REF!</v>
      </c>
      <c r="AN59" s="29" t="e">
        <f>IF(#REF!&lt;&gt;"N/A",Priority!$C59,"")</f>
        <v>#REF!</v>
      </c>
      <c r="AO59" s="29" t="e">
        <f>IF(#REF!&lt;&gt;"N/A",Priority!$C59,"")</f>
        <v>#REF!</v>
      </c>
      <c r="AP59" s="29" t="e">
        <f>IF(#REF!&lt;&gt;"N/A",Priority!$C59,"")</f>
        <v>#REF!</v>
      </c>
      <c r="AQ59" s="29" t="e">
        <f>IF(#REF!&lt;&gt;"N/A",Priority!$C59,"")</f>
        <v>#REF!</v>
      </c>
      <c r="AR59" s="29" t="e">
        <f>IF(#REF!&lt;&gt;"N/A",Priority!$C59,"")</f>
        <v>#REF!</v>
      </c>
      <c r="AS59" s="29" t="e">
        <f>IF(#REF!&lt;&gt;"N/A",Priority!$C59,"")</f>
        <v>#REF!</v>
      </c>
      <c r="AT59" s="29" t="e">
        <f>IF(#REF!&lt;&gt;"N/A",Priority!$C59,"")</f>
        <v>#REF!</v>
      </c>
      <c r="AU59" s="31"/>
      <c r="AV59" s="29" t="e">
        <f>IF(#REF!&lt;&gt;"N/A",Priority!$C59,"")</f>
        <v>#REF!</v>
      </c>
      <c r="AW59" s="29" t="e">
        <f>IF(#REF!&lt;&gt;"N/A",Priority!$C59,"")</f>
        <v>#REF!</v>
      </c>
      <c r="AX59" s="29" t="e">
        <f>IF(#REF!&lt;&gt;"N/A",Priority!$C59,"")</f>
        <v>#REF!</v>
      </c>
      <c r="AY59" s="29" t="e">
        <f>IF(#REF!&lt;&gt;"N/A",Priority!$C59,"")</f>
        <v>#REF!</v>
      </c>
      <c r="AZ59" s="29" t="e">
        <f>IF(#REF!&lt;&gt;"N/A",Priority!$C59,"")</f>
        <v>#REF!</v>
      </c>
      <c r="BA59" s="29" t="e">
        <f>IF(#REF!&lt;&gt;"N/A",Priority!$C59,"")</f>
        <v>#REF!</v>
      </c>
      <c r="BB59" s="29" t="e">
        <f>IF(#REF!&lt;&gt;"N/A",Priority!$C59,"")</f>
        <v>#REF!</v>
      </c>
      <c r="BC59" s="31"/>
      <c r="BD59" s="29" t="e">
        <f>IF(#REF!&lt;&gt;"N/A",Priority!$C59,"")</f>
        <v>#REF!</v>
      </c>
      <c r="BE59" s="29" t="e">
        <f>IF(#REF!&lt;&gt;"N/A",Priority!$C59,"")</f>
        <v>#REF!</v>
      </c>
      <c r="BF59" s="29" t="e">
        <f>IF(#REF!&lt;&gt;"N/A",Priority!$C59,"")</f>
        <v>#REF!</v>
      </c>
      <c r="BG59" s="29" t="e">
        <f>IF(#REF!&lt;&gt;"N/A",Priority!$C59,"")</f>
        <v>#REF!</v>
      </c>
      <c r="BH59" s="29" t="e">
        <f>IF(#REF!&lt;&gt;"N/A",Priority!$C59,"")</f>
        <v>#REF!</v>
      </c>
      <c r="BI59" s="29" t="e">
        <f>IF(#REF!&lt;&gt;"N/A",Priority!$C59,"")</f>
        <v>#REF!</v>
      </c>
      <c r="BJ59" s="29" t="e">
        <f>IF(#REF!&lt;&gt;"N/A",Priority!$C59,"")</f>
        <v>#REF!</v>
      </c>
      <c r="BK59" s="29" t="e">
        <f>IF(#REF!&lt;&gt;"N/A",Priority!$C59,"")</f>
        <v>#REF!</v>
      </c>
      <c r="BL59" s="29" t="e">
        <f>IF(#REF!&lt;&gt;"N/A",Priority!$C59,"")</f>
        <v>#REF!</v>
      </c>
      <c r="BM59" s="31"/>
      <c r="BN59" s="29" t="e">
        <f>IF(#REF!&lt;&gt;"N/A",Priority!$C59,"")</f>
        <v>#REF!</v>
      </c>
      <c r="BO59" s="29" t="e">
        <f>IF(#REF!&lt;&gt;"N/A",Priority!$C59,"")</f>
        <v>#REF!</v>
      </c>
      <c r="BP59" s="29" t="e">
        <f>IF(#REF!&lt;&gt;"N/A",Priority!$C59,"")</f>
        <v>#REF!</v>
      </c>
      <c r="BQ59" s="29" t="e">
        <f>IF(#REF!&lt;&gt;"N/A",Priority!$C59,"")</f>
        <v>#REF!</v>
      </c>
      <c r="BR59" s="29" t="e">
        <f>IF(#REF!&lt;&gt;"N/A",Priority!$C59,"")</f>
        <v>#REF!</v>
      </c>
      <c r="BS59" s="29" t="e">
        <f>IF(#REF!&lt;&gt;"N/A",Priority!$C59,"")</f>
        <v>#REF!</v>
      </c>
      <c r="BT59" s="29" t="e">
        <f>IF(#REF!&lt;&gt;"N/A",Priority!$C59,"")</f>
        <v>#REF!</v>
      </c>
      <c r="BU59" s="31"/>
      <c r="BV59" s="29" t="e">
        <f>IF(#REF!&lt;&gt;"N/A",Priority!$C59,"")</f>
        <v>#REF!</v>
      </c>
      <c r="BW59" s="29" t="e">
        <f>IF(#REF!&lt;&gt;"N/A",Priority!$C59,"")</f>
        <v>#REF!</v>
      </c>
      <c r="BX59" s="29" t="e">
        <f>IF(#REF!&lt;&gt;"N/A",Priority!$C59,"")</f>
        <v>#REF!</v>
      </c>
      <c r="BY59" s="29" t="e">
        <f>IF(#REF!&lt;&gt;"N/A",Priority!$C59,"")</f>
        <v>#REF!</v>
      </c>
      <c r="BZ59" s="29" t="e">
        <f>IF(#REF!&lt;&gt;"N/A",Priority!$C59,"")</f>
        <v>#REF!</v>
      </c>
      <c r="CA59" s="29" t="e">
        <f>IF(#REF!&lt;&gt;"N/A",Priority!$C59,"")</f>
        <v>#REF!</v>
      </c>
      <c r="CB59" s="31"/>
      <c r="CC59" s="29" t="e">
        <f>IF(#REF!&lt;&gt;"N/A",Priority!$C59,"")</f>
        <v>#REF!</v>
      </c>
      <c r="CD59" s="29" t="e">
        <f>IF(#REF!&lt;&gt;"N/A",Priority!$C59,"")</f>
        <v>#REF!</v>
      </c>
      <c r="CE59" s="29" t="e">
        <f>IF(#REF!&lt;&gt;"N/A",Priority!$C59,"")</f>
        <v>#REF!</v>
      </c>
      <c r="CF59" s="29" t="e">
        <f>IF(#REF!&lt;&gt;"N/A",Priority!$C59,"")</f>
        <v>#REF!</v>
      </c>
    </row>
    <row r="60" spans="1:84" ht="30">
      <c r="A60" s="15" t="e">
        <f>#REF!</f>
        <v>#REF!</v>
      </c>
      <c r="B60" s="15" t="e">
        <f>#REF!</f>
        <v>#REF!</v>
      </c>
      <c r="C60" s="15" t="e">
        <f>#REF!</f>
        <v>#REF!</v>
      </c>
      <c r="D60" s="22" t="s">
        <v>179</v>
      </c>
      <c r="E60" s="30" t="str">
        <f t="shared" si="13"/>
        <v>Pending</v>
      </c>
      <c r="F60" s="30" t="str">
        <f t="shared" si="14"/>
        <v>Pass:  0     /Accept:  0/     Fail:  0/     NT:  0</v>
      </c>
      <c r="G60" s="29" t="e">
        <f>IF(#REF!&lt;&gt;"N/A",Priority!$C60,"")</f>
        <v>#REF!</v>
      </c>
      <c r="H60" s="29" t="e">
        <f>IF(#REF!&lt;&gt;"N/A",Priority!$C60,"")</f>
        <v>#REF!</v>
      </c>
      <c r="I60" s="29" t="e">
        <f>IF(#REF!&lt;&gt;"N/A",Priority!$C60,"")</f>
        <v>#REF!</v>
      </c>
      <c r="J60" s="29" t="e">
        <f>IF(#REF!&lt;&gt;"N/A",Priority!$C60,"")</f>
        <v>#REF!</v>
      </c>
      <c r="K60" s="29" t="e">
        <f>IF(#REF!&lt;&gt;"N/A",Priority!$C60,"")</f>
        <v>#REF!</v>
      </c>
      <c r="L60" s="31"/>
      <c r="M60" s="29" t="e">
        <f>IF(#REF!&lt;&gt;"N/A",Priority!$C60,"")</f>
        <v>#REF!</v>
      </c>
      <c r="N60" s="29" t="e">
        <f>IF(#REF!&lt;&gt;"N/A",Priority!$C60,"")</f>
        <v>#REF!</v>
      </c>
      <c r="O60" s="29" t="e">
        <f>IF(#REF!&lt;&gt;"N/A",Priority!$C60,"")</f>
        <v>#REF!</v>
      </c>
      <c r="P60" s="29" t="e">
        <f>IF(#REF!&lt;&gt;"N/A",Priority!$C60,"")</f>
        <v>#REF!</v>
      </c>
      <c r="Q60" s="29" t="e">
        <f>IF(#REF!&lt;&gt;"N/A",Priority!$C60,"")</f>
        <v>#REF!</v>
      </c>
      <c r="R60" s="31"/>
      <c r="S60" s="29" t="e">
        <f>IF(#REF!&lt;&gt;"N/A",Priority!$C60,"")</f>
        <v>#REF!</v>
      </c>
      <c r="T60" s="29" t="e">
        <f>IF(#REF!&lt;&gt;"N/A",Priority!$C60,"")</f>
        <v>#REF!</v>
      </c>
      <c r="U60" s="29" t="e">
        <f>IF(#REF!&lt;&gt;"N/A",Priority!$C60,"")</f>
        <v>#REF!</v>
      </c>
      <c r="V60" s="29" t="e">
        <f>IF(#REF!&lt;&gt;"N/A",Priority!$C60,"")</f>
        <v>#REF!</v>
      </c>
      <c r="W60" s="29" t="e">
        <f>IF(#REF!&lt;&gt;"N/A",Priority!$C60,"")</f>
        <v>#REF!</v>
      </c>
      <c r="X60" s="29" t="e">
        <f>IF(#REF!&lt;&gt;"N/A",Priority!$C60,"")</f>
        <v>#REF!</v>
      </c>
      <c r="Y60" s="31"/>
      <c r="Z60" s="29" t="e">
        <f>IF(#REF!&lt;&gt;"N/A",Priority!$C60,"")</f>
        <v>#REF!</v>
      </c>
      <c r="AA60" s="29" t="e">
        <f>IF(#REF!&lt;&gt;"N/A",Priority!$C60,"")</f>
        <v>#REF!</v>
      </c>
      <c r="AB60" s="29" t="e">
        <f>IF(#REF!&lt;&gt;"N/A",Priority!$C60,"")</f>
        <v>#REF!</v>
      </c>
      <c r="AC60" s="29" t="e">
        <f>IF(#REF!&lt;&gt;"N/A",Priority!$C60,"")</f>
        <v>#REF!</v>
      </c>
      <c r="AD60" s="29" t="e">
        <f>IF(#REF!&lt;&gt;"N/A",Priority!$C60,"")</f>
        <v>#REF!</v>
      </c>
      <c r="AE60" s="29" t="e">
        <f>IF(#REF!&lt;&gt;"N/A",Priority!$C60,"")</f>
        <v>#REF!</v>
      </c>
      <c r="AF60" s="29" t="e">
        <f>IF(#REF!&lt;&gt;"N/A",Priority!$C60,"")</f>
        <v>#REF!</v>
      </c>
      <c r="AG60" s="29" t="e">
        <f>IF(#REF!&lt;&gt;"N/A",Priority!$C60,"")</f>
        <v>#REF!</v>
      </c>
      <c r="AH60" s="29" t="e">
        <f>IF(#REF!&lt;&gt;"N/A",Priority!$C60,"")</f>
        <v>#REF!</v>
      </c>
      <c r="AI60" s="29" t="e">
        <f>IF(#REF!&lt;&gt;"N/A",Priority!$C60,"")</f>
        <v>#REF!</v>
      </c>
      <c r="AJ60" s="31"/>
      <c r="AK60" s="29" t="e">
        <f>IF(#REF!&lt;&gt;"N/A",Priority!$C60,"")</f>
        <v>#REF!</v>
      </c>
      <c r="AL60" s="29" t="e">
        <f>IF(#REF!&lt;&gt;"N/A",Priority!$C60,"")</f>
        <v>#REF!</v>
      </c>
      <c r="AM60" s="29" t="e">
        <f>IF(#REF!&lt;&gt;"N/A",Priority!$C60,"")</f>
        <v>#REF!</v>
      </c>
      <c r="AN60" s="29" t="e">
        <f>IF(#REF!&lt;&gt;"N/A",Priority!$C60,"")</f>
        <v>#REF!</v>
      </c>
      <c r="AO60" s="29" t="e">
        <f>IF(#REF!&lt;&gt;"N/A",Priority!$C60,"")</f>
        <v>#REF!</v>
      </c>
      <c r="AP60" s="29" t="e">
        <f>IF(#REF!&lt;&gt;"N/A",Priority!$C60,"")</f>
        <v>#REF!</v>
      </c>
      <c r="AQ60" s="29" t="e">
        <f>IF(#REF!&lt;&gt;"N/A",Priority!$C60,"")</f>
        <v>#REF!</v>
      </c>
      <c r="AR60" s="29" t="e">
        <f>IF(#REF!&lt;&gt;"N/A",Priority!$C60,"")</f>
        <v>#REF!</v>
      </c>
      <c r="AS60" s="29" t="e">
        <f>IF(#REF!&lt;&gt;"N/A",Priority!$C60,"")</f>
        <v>#REF!</v>
      </c>
      <c r="AT60" s="29" t="e">
        <f>IF(#REF!&lt;&gt;"N/A",Priority!$C60,"")</f>
        <v>#REF!</v>
      </c>
      <c r="AU60" s="31"/>
      <c r="AV60" s="29" t="e">
        <f>IF(#REF!&lt;&gt;"N/A",Priority!$C60,"")</f>
        <v>#REF!</v>
      </c>
      <c r="AW60" s="29" t="e">
        <f>IF(#REF!&lt;&gt;"N/A",Priority!$C60,"")</f>
        <v>#REF!</v>
      </c>
      <c r="AX60" s="29" t="e">
        <f>IF(#REF!&lt;&gt;"N/A",Priority!$C60,"")</f>
        <v>#REF!</v>
      </c>
      <c r="AY60" s="29" t="e">
        <f>IF(#REF!&lt;&gt;"N/A",Priority!$C60,"")</f>
        <v>#REF!</v>
      </c>
      <c r="AZ60" s="29" t="e">
        <f>IF(#REF!&lt;&gt;"N/A",Priority!$C60,"")</f>
        <v>#REF!</v>
      </c>
      <c r="BA60" s="29" t="e">
        <f>IF(#REF!&lt;&gt;"N/A",Priority!$C60,"")</f>
        <v>#REF!</v>
      </c>
      <c r="BB60" s="29" t="e">
        <f>IF(#REF!&lt;&gt;"N/A",Priority!$C60,"")</f>
        <v>#REF!</v>
      </c>
      <c r="BC60" s="31"/>
      <c r="BD60" s="29" t="e">
        <f>IF(#REF!&lt;&gt;"N/A",Priority!$C60,"")</f>
        <v>#REF!</v>
      </c>
      <c r="BE60" s="29" t="e">
        <f>IF(#REF!&lt;&gt;"N/A",Priority!$C60,"")</f>
        <v>#REF!</v>
      </c>
      <c r="BF60" s="29" t="e">
        <f>IF(#REF!&lt;&gt;"N/A",Priority!$C60,"")</f>
        <v>#REF!</v>
      </c>
      <c r="BG60" s="29" t="e">
        <f>IF(#REF!&lt;&gt;"N/A",Priority!$C60,"")</f>
        <v>#REF!</v>
      </c>
      <c r="BH60" s="29" t="e">
        <f>IF(#REF!&lt;&gt;"N/A",Priority!$C60,"")</f>
        <v>#REF!</v>
      </c>
      <c r="BI60" s="29" t="e">
        <f>IF(#REF!&lt;&gt;"N/A",Priority!$C60,"")</f>
        <v>#REF!</v>
      </c>
      <c r="BJ60" s="29" t="e">
        <f>IF(#REF!&lt;&gt;"N/A",Priority!$C60,"")</f>
        <v>#REF!</v>
      </c>
      <c r="BK60" s="29" t="e">
        <f>IF(#REF!&lt;&gt;"N/A",Priority!$C60,"")</f>
        <v>#REF!</v>
      </c>
      <c r="BL60" s="29" t="e">
        <f>IF(#REF!&lt;&gt;"N/A",Priority!$C60,"")</f>
        <v>#REF!</v>
      </c>
      <c r="BM60" s="31"/>
      <c r="BN60" s="29" t="e">
        <f>IF(#REF!&lt;&gt;"N/A",Priority!$C60,"")</f>
        <v>#REF!</v>
      </c>
      <c r="BO60" s="29" t="e">
        <f>IF(#REF!&lt;&gt;"N/A",Priority!$C60,"")</f>
        <v>#REF!</v>
      </c>
      <c r="BP60" s="29" t="e">
        <f>IF(#REF!&lt;&gt;"N/A",Priority!$C60,"")</f>
        <v>#REF!</v>
      </c>
      <c r="BQ60" s="29" t="e">
        <f>IF(#REF!&lt;&gt;"N/A",Priority!$C60,"")</f>
        <v>#REF!</v>
      </c>
      <c r="BR60" s="29" t="e">
        <f>IF(#REF!&lt;&gt;"N/A",Priority!$C60,"")</f>
        <v>#REF!</v>
      </c>
      <c r="BS60" s="29" t="e">
        <f>IF(#REF!&lt;&gt;"N/A",Priority!$C60,"")</f>
        <v>#REF!</v>
      </c>
      <c r="BT60" s="29" t="e">
        <f>IF(#REF!&lt;&gt;"N/A",Priority!$C60,"")</f>
        <v>#REF!</v>
      </c>
      <c r="BU60" s="31"/>
      <c r="BV60" s="29" t="e">
        <f>IF(#REF!&lt;&gt;"N/A",Priority!$C60,"")</f>
        <v>#REF!</v>
      </c>
      <c r="BW60" s="29" t="e">
        <f>IF(#REF!&lt;&gt;"N/A",Priority!$C60,"")</f>
        <v>#REF!</v>
      </c>
      <c r="BX60" s="29" t="e">
        <f>IF(#REF!&lt;&gt;"N/A",Priority!$C60,"")</f>
        <v>#REF!</v>
      </c>
      <c r="BY60" s="29" t="e">
        <f>IF(#REF!&lt;&gt;"N/A",Priority!$C60,"")</f>
        <v>#REF!</v>
      </c>
      <c r="BZ60" s="29" t="e">
        <f>IF(#REF!&lt;&gt;"N/A",Priority!$C60,"")</f>
        <v>#REF!</v>
      </c>
      <c r="CA60" s="29" t="e">
        <f>IF(#REF!&lt;&gt;"N/A",Priority!$C60,"")</f>
        <v>#REF!</v>
      </c>
      <c r="CB60" s="31"/>
      <c r="CC60" s="29" t="e">
        <f>IF(#REF!&lt;&gt;"N/A",Priority!$C60,"")</f>
        <v>#REF!</v>
      </c>
      <c r="CD60" s="29" t="e">
        <f>IF(#REF!&lt;&gt;"N/A",Priority!$C60,"")</f>
        <v>#REF!</v>
      </c>
      <c r="CE60" s="29" t="e">
        <f>IF(#REF!&lt;&gt;"N/A",Priority!$C60,"")</f>
        <v>#REF!</v>
      </c>
      <c r="CF60" s="29" t="e">
        <f>IF(#REF!&lt;&gt;"N/A",Priority!$C60,"")</f>
        <v>#REF!</v>
      </c>
    </row>
    <row r="61" spans="1:84" ht="30">
      <c r="A61" s="15" t="e">
        <f>#REF!</f>
        <v>#REF!</v>
      </c>
      <c r="B61" s="15" t="e">
        <f>#REF!</f>
        <v>#REF!</v>
      </c>
      <c r="C61" s="15" t="e">
        <f>#REF!</f>
        <v>#REF!</v>
      </c>
      <c r="D61" s="22" t="s">
        <v>179</v>
      </c>
      <c r="E61" s="30" t="str">
        <f t="shared" si="13"/>
        <v>Pending</v>
      </c>
      <c r="F61" s="30" t="str">
        <f t="shared" si="14"/>
        <v>Pass:  0     /Accept:  0/     Fail:  0/     NT:  0</v>
      </c>
      <c r="G61" s="29" t="e">
        <f>IF(#REF!&lt;&gt;"N/A",Priority!$C61,"")</f>
        <v>#REF!</v>
      </c>
      <c r="H61" s="29" t="e">
        <f>IF(#REF!&lt;&gt;"N/A",Priority!$C61,"")</f>
        <v>#REF!</v>
      </c>
      <c r="I61" s="29" t="e">
        <f>IF(#REF!&lt;&gt;"N/A",Priority!$C61,"")</f>
        <v>#REF!</v>
      </c>
      <c r="J61" s="29" t="e">
        <f>IF(#REF!&lt;&gt;"N/A",Priority!$C61,"")</f>
        <v>#REF!</v>
      </c>
      <c r="K61" s="29" t="e">
        <f>IF(#REF!&lt;&gt;"N/A",Priority!$C61,"")</f>
        <v>#REF!</v>
      </c>
      <c r="L61" s="31"/>
      <c r="M61" s="29" t="e">
        <f>IF(#REF!&lt;&gt;"N/A",Priority!$C61,"")</f>
        <v>#REF!</v>
      </c>
      <c r="N61" s="29" t="e">
        <f>IF(#REF!&lt;&gt;"N/A",Priority!$C61,"")</f>
        <v>#REF!</v>
      </c>
      <c r="O61" s="29" t="e">
        <f>IF(#REF!&lt;&gt;"N/A",Priority!$C61,"")</f>
        <v>#REF!</v>
      </c>
      <c r="P61" s="29" t="e">
        <f>IF(#REF!&lt;&gt;"N/A",Priority!$C61,"")</f>
        <v>#REF!</v>
      </c>
      <c r="Q61" s="29" t="e">
        <f>IF(#REF!&lt;&gt;"N/A",Priority!$C61,"")</f>
        <v>#REF!</v>
      </c>
      <c r="R61" s="31"/>
      <c r="S61" s="29" t="e">
        <f>IF(#REF!&lt;&gt;"N/A",Priority!$C61,"")</f>
        <v>#REF!</v>
      </c>
      <c r="T61" s="29" t="e">
        <f>IF(#REF!&lt;&gt;"N/A",Priority!$C61,"")</f>
        <v>#REF!</v>
      </c>
      <c r="U61" s="29" t="e">
        <f>IF(#REF!&lt;&gt;"N/A",Priority!$C61,"")</f>
        <v>#REF!</v>
      </c>
      <c r="V61" s="29" t="e">
        <f>IF(#REF!&lt;&gt;"N/A",Priority!$C61,"")</f>
        <v>#REF!</v>
      </c>
      <c r="W61" s="29" t="e">
        <f>IF(#REF!&lt;&gt;"N/A",Priority!$C61,"")</f>
        <v>#REF!</v>
      </c>
      <c r="X61" s="29" t="e">
        <f>IF(#REF!&lt;&gt;"N/A",Priority!$C61,"")</f>
        <v>#REF!</v>
      </c>
      <c r="Y61" s="31"/>
      <c r="Z61" s="29" t="e">
        <f>IF(#REF!&lt;&gt;"N/A",Priority!$C61,"")</f>
        <v>#REF!</v>
      </c>
      <c r="AA61" s="29" t="e">
        <f>IF(#REF!&lt;&gt;"N/A",Priority!$C61,"")</f>
        <v>#REF!</v>
      </c>
      <c r="AB61" s="29" t="e">
        <f>IF(#REF!&lt;&gt;"N/A",Priority!$C61,"")</f>
        <v>#REF!</v>
      </c>
      <c r="AC61" s="29" t="e">
        <f>IF(#REF!&lt;&gt;"N/A",Priority!$C61,"")</f>
        <v>#REF!</v>
      </c>
      <c r="AD61" s="29" t="e">
        <f>IF(#REF!&lt;&gt;"N/A",Priority!$C61,"")</f>
        <v>#REF!</v>
      </c>
      <c r="AE61" s="29" t="e">
        <f>IF(#REF!&lt;&gt;"N/A",Priority!$C61,"")</f>
        <v>#REF!</v>
      </c>
      <c r="AF61" s="29" t="e">
        <f>IF(#REF!&lt;&gt;"N/A",Priority!$C61,"")</f>
        <v>#REF!</v>
      </c>
      <c r="AG61" s="29" t="e">
        <f>IF(#REF!&lt;&gt;"N/A",Priority!$C61,"")</f>
        <v>#REF!</v>
      </c>
      <c r="AH61" s="29" t="e">
        <f>IF(#REF!&lt;&gt;"N/A",Priority!$C61,"")</f>
        <v>#REF!</v>
      </c>
      <c r="AI61" s="29" t="e">
        <f>IF(#REF!&lt;&gt;"N/A",Priority!$C61,"")</f>
        <v>#REF!</v>
      </c>
      <c r="AJ61" s="31"/>
      <c r="AK61" s="29" t="e">
        <f>IF(#REF!&lt;&gt;"N/A",Priority!$C61,"")</f>
        <v>#REF!</v>
      </c>
      <c r="AL61" s="29" t="e">
        <f>IF(#REF!&lt;&gt;"N/A",Priority!$C61,"")</f>
        <v>#REF!</v>
      </c>
      <c r="AM61" s="29" t="e">
        <f>IF(#REF!&lt;&gt;"N/A",Priority!$C61,"")</f>
        <v>#REF!</v>
      </c>
      <c r="AN61" s="29" t="e">
        <f>IF(#REF!&lt;&gt;"N/A",Priority!$C61,"")</f>
        <v>#REF!</v>
      </c>
      <c r="AO61" s="29" t="e">
        <f>IF(#REF!&lt;&gt;"N/A",Priority!$C61,"")</f>
        <v>#REF!</v>
      </c>
      <c r="AP61" s="29" t="e">
        <f>IF(#REF!&lt;&gt;"N/A",Priority!$C61,"")</f>
        <v>#REF!</v>
      </c>
      <c r="AQ61" s="29" t="e">
        <f>IF(#REF!&lt;&gt;"N/A",Priority!$C61,"")</f>
        <v>#REF!</v>
      </c>
      <c r="AR61" s="29" t="e">
        <f>IF(#REF!&lt;&gt;"N/A",Priority!$C61,"")</f>
        <v>#REF!</v>
      </c>
      <c r="AS61" s="29" t="e">
        <f>IF(#REF!&lt;&gt;"N/A",Priority!$C61,"")</f>
        <v>#REF!</v>
      </c>
      <c r="AT61" s="29" t="e">
        <f>IF(#REF!&lt;&gt;"N/A",Priority!$C61,"")</f>
        <v>#REF!</v>
      </c>
      <c r="AU61" s="31"/>
      <c r="AV61" s="29" t="e">
        <f>IF(#REF!&lt;&gt;"N/A",Priority!$C61,"")</f>
        <v>#REF!</v>
      </c>
      <c r="AW61" s="29" t="e">
        <f>IF(#REF!&lt;&gt;"N/A",Priority!$C61,"")</f>
        <v>#REF!</v>
      </c>
      <c r="AX61" s="29" t="e">
        <f>IF(#REF!&lt;&gt;"N/A",Priority!$C61,"")</f>
        <v>#REF!</v>
      </c>
      <c r="AY61" s="29" t="e">
        <f>IF(#REF!&lt;&gt;"N/A",Priority!$C61,"")</f>
        <v>#REF!</v>
      </c>
      <c r="AZ61" s="29" t="e">
        <f>IF(#REF!&lt;&gt;"N/A",Priority!$C61,"")</f>
        <v>#REF!</v>
      </c>
      <c r="BA61" s="29" t="e">
        <f>IF(#REF!&lt;&gt;"N/A",Priority!$C61,"")</f>
        <v>#REF!</v>
      </c>
      <c r="BB61" s="29" t="e">
        <f>IF(#REF!&lt;&gt;"N/A",Priority!$C61,"")</f>
        <v>#REF!</v>
      </c>
      <c r="BC61" s="31"/>
      <c r="BD61" s="29" t="e">
        <f>IF(#REF!&lt;&gt;"N/A",Priority!$C61,"")</f>
        <v>#REF!</v>
      </c>
      <c r="BE61" s="29" t="e">
        <f>IF(#REF!&lt;&gt;"N/A",Priority!$C61,"")</f>
        <v>#REF!</v>
      </c>
      <c r="BF61" s="29" t="e">
        <f>IF(#REF!&lt;&gt;"N/A",Priority!$C61,"")</f>
        <v>#REF!</v>
      </c>
      <c r="BG61" s="29" t="e">
        <f>IF(#REF!&lt;&gt;"N/A",Priority!$C61,"")</f>
        <v>#REF!</v>
      </c>
      <c r="BH61" s="29" t="e">
        <f>IF(#REF!&lt;&gt;"N/A",Priority!$C61,"")</f>
        <v>#REF!</v>
      </c>
      <c r="BI61" s="29" t="e">
        <f>IF(#REF!&lt;&gt;"N/A",Priority!$C61,"")</f>
        <v>#REF!</v>
      </c>
      <c r="BJ61" s="29" t="e">
        <f>IF(#REF!&lt;&gt;"N/A",Priority!$C61,"")</f>
        <v>#REF!</v>
      </c>
      <c r="BK61" s="29" t="e">
        <f>IF(#REF!&lt;&gt;"N/A",Priority!$C61,"")</f>
        <v>#REF!</v>
      </c>
      <c r="BL61" s="29" t="e">
        <f>IF(#REF!&lt;&gt;"N/A",Priority!$C61,"")</f>
        <v>#REF!</v>
      </c>
      <c r="BM61" s="31"/>
      <c r="BN61" s="29" t="e">
        <f>IF(#REF!&lt;&gt;"N/A",Priority!$C61,"")</f>
        <v>#REF!</v>
      </c>
      <c r="BO61" s="29" t="e">
        <f>IF(#REF!&lt;&gt;"N/A",Priority!$C61,"")</f>
        <v>#REF!</v>
      </c>
      <c r="BP61" s="29" t="e">
        <f>IF(#REF!&lt;&gt;"N/A",Priority!$C61,"")</f>
        <v>#REF!</v>
      </c>
      <c r="BQ61" s="29" t="e">
        <f>IF(#REF!&lt;&gt;"N/A",Priority!$C61,"")</f>
        <v>#REF!</v>
      </c>
      <c r="BR61" s="29" t="e">
        <f>IF(#REF!&lt;&gt;"N/A",Priority!$C61,"")</f>
        <v>#REF!</v>
      </c>
      <c r="BS61" s="29" t="e">
        <f>IF(#REF!&lt;&gt;"N/A",Priority!$C61,"")</f>
        <v>#REF!</v>
      </c>
      <c r="BT61" s="29" t="e">
        <f>IF(#REF!&lt;&gt;"N/A",Priority!$C61,"")</f>
        <v>#REF!</v>
      </c>
      <c r="BU61" s="31"/>
      <c r="BV61" s="29" t="e">
        <f>IF(#REF!&lt;&gt;"N/A",Priority!$C61,"")</f>
        <v>#REF!</v>
      </c>
      <c r="BW61" s="29" t="e">
        <f>IF(#REF!&lt;&gt;"N/A",Priority!$C61,"")</f>
        <v>#REF!</v>
      </c>
      <c r="BX61" s="29" t="e">
        <f>IF(#REF!&lt;&gt;"N/A",Priority!$C61,"")</f>
        <v>#REF!</v>
      </c>
      <c r="BY61" s="29" t="e">
        <f>IF(#REF!&lt;&gt;"N/A",Priority!$C61,"")</f>
        <v>#REF!</v>
      </c>
      <c r="BZ61" s="29" t="e">
        <f>IF(#REF!&lt;&gt;"N/A",Priority!$C61,"")</f>
        <v>#REF!</v>
      </c>
      <c r="CA61" s="29" t="e">
        <f>IF(#REF!&lt;&gt;"N/A",Priority!$C61,"")</f>
        <v>#REF!</v>
      </c>
      <c r="CB61" s="31"/>
      <c r="CC61" s="29" t="e">
        <f>IF(#REF!&lt;&gt;"N/A",Priority!$C61,"")</f>
        <v>#REF!</v>
      </c>
      <c r="CD61" s="29" t="e">
        <f>IF(#REF!&lt;&gt;"N/A",Priority!$C61,"")</f>
        <v>#REF!</v>
      </c>
      <c r="CE61" s="29" t="e">
        <f>IF(#REF!&lt;&gt;"N/A",Priority!$C61,"")</f>
        <v>#REF!</v>
      </c>
      <c r="CF61" s="29" t="e">
        <f>IF(#REF!&lt;&gt;"N/A",Priority!$C61,"")</f>
        <v>#REF!</v>
      </c>
    </row>
    <row r="62" spans="1:84" ht="30">
      <c r="A62" s="15" t="e">
        <f>#REF!</f>
        <v>#REF!</v>
      </c>
      <c r="B62" s="15" t="e">
        <f>#REF!</f>
        <v>#REF!</v>
      </c>
      <c r="C62" s="15" t="e">
        <f>#REF!</f>
        <v>#REF!</v>
      </c>
      <c r="D62" s="22" t="s">
        <v>180</v>
      </c>
      <c r="E62" s="30" t="str">
        <f t="shared" si="13"/>
        <v>Pending</v>
      </c>
      <c r="F62" s="30" t="str">
        <f t="shared" si="14"/>
        <v>Pass:  0     /Accept:  0/     Fail:  0/     NT:  0</v>
      </c>
      <c r="G62" s="29" t="e">
        <f>IF(#REF!&lt;&gt;"N/A",Priority!$C62,"")</f>
        <v>#REF!</v>
      </c>
      <c r="H62" s="29" t="e">
        <f>IF(#REF!&lt;&gt;"N/A",Priority!$C62,"")</f>
        <v>#REF!</v>
      </c>
      <c r="I62" s="29" t="e">
        <f>IF(#REF!&lt;&gt;"N/A",Priority!$C62,"")</f>
        <v>#REF!</v>
      </c>
      <c r="J62" s="29" t="e">
        <f>IF(#REF!&lt;&gt;"N/A",Priority!$C62,"")</f>
        <v>#REF!</v>
      </c>
      <c r="K62" s="29" t="e">
        <f>IF(#REF!&lt;&gt;"N/A",Priority!$C62,"")</f>
        <v>#REF!</v>
      </c>
      <c r="L62" s="31"/>
      <c r="M62" s="29" t="e">
        <f>IF(#REF!&lt;&gt;"N/A",Priority!$C62,"")</f>
        <v>#REF!</v>
      </c>
      <c r="N62" s="29" t="e">
        <f>IF(#REF!&lt;&gt;"N/A",Priority!$C62,"")</f>
        <v>#REF!</v>
      </c>
      <c r="O62" s="29" t="e">
        <f>IF(#REF!&lt;&gt;"N/A",Priority!$C62,"")</f>
        <v>#REF!</v>
      </c>
      <c r="P62" s="29" t="e">
        <f>IF(#REF!&lt;&gt;"N/A",Priority!$C62,"")</f>
        <v>#REF!</v>
      </c>
      <c r="Q62" s="29" t="e">
        <f>IF(#REF!&lt;&gt;"N/A",Priority!$C62,"")</f>
        <v>#REF!</v>
      </c>
      <c r="R62" s="31"/>
      <c r="S62" s="29" t="e">
        <f>IF(#REF!&lt;&gt;"N/A",Priority!$C62,"")</f>
        <v>#REF!</v>
      </c>
      <c r="T62" s="29" t="e">
        <f>IF(#REF!&lt;&gt;"N/A",Priority!$C62,"")</f>
        <v>#REF!</v>
      </c>
      <c r="U62" s="29" t="e">
        <f>IF(#REF!&lt;&gt;"N/A",Priority!$C62,"")</f>
        <v>#REF!</v>
      </c>
      <c r="V62" s="29" t="e">
        <f>IF(#REF!&lt;&gt;"N/A",Priority!$C62,"")</f>
        <v>#REF!</v>
      </c>
      <c r="W62" s="29" t="e">
        <f>IF(#REF!&lt;&gt;"N/A",Priority!$C62,"")</f>
        <v>#REF!</v>
      </c>
      <c r="X62" s="29" t="e">
        <f>IF(#REF!&lt;&gt;"N/A",Priority!$C62,"")</f>
        <v>#REF!</v>
      </c>
      <c r="Y62" s="31"/>
      <c r="Z62" s="29" t="e">
        <f>IF(#REF!&lt;&gt;"N/A",Priority!$C62,"")</f>
        <v>#REF!</v>
      </c>
      <c r="AA62" s="29" t="e">
        <f>IF(#REF!&lt;&gt;"N/A",Priority!$C62,"")</f>
        <v>#REF!</v>
      </c>
      <c r="AB62" s="29" t="e">
        <f>IF(#REF!&lt;&gt;"N/A",Priority!$C62,"")</f>
        <v>#REF!</v>
      </c>
      <c r="AC62" s="29" t="e">
        <f>IF(#REF!&lt;&gt;"N/A",Priority!$C62,"")</f>
        <v>#REF!</v>
      </c>
      <c r="AD62" s="29" t="e">
        <f>IF(#REF!&lt;&gt;"N/A",Priority!$C62,"")</f>
        <v>#REF!</v>
      </c>
      <c r="AE62" s="29" t="e">
        <f>IF(#REF!&lt;&gt;"N/A",Priority!$C62,"")</f>
        <v>#REF!</v>
      </c>
      <c r="AF62" s="29" t="e">
        <f>IF(#REF!&lt;&gt;"N/A",Priority!$C62,"")</f>
        <v>#REF!</v>
      </c>
      <c r="AG62" s="29" t="e">
        <f>IF(#REF!&lt;&gt;"N/A",Priority!$C62,"")</f>
        <v>#REF!</v>
      </c>
      <c r="AH62" s="29" t="e">
        <f>IF(#REF!&lt;&gt;"N/A",Priority!$C62,"")</f>
        <v>#REF!</v>
      </c>
      <c r="AI62" s="29" t="e">
        <f>IF(#REF!&lt;&gt;"N/A",Priority!$C62,"")</f>
        <v>#REF!</v>
      </c>
      <c r="AJ62" s="31"/>
      <c r="AK62" s="29" t="e">
        <f>IF(#REF!&lt;&gt;"N/A",Priority!$C62,"")</f>
        <v>#REF!</v>
      </c>
      <c r="AL62" s="29" t="e">
        <f>IF(#REF!&lt;&gt;"N/A",Priority!$C62,"")</f>
        <v>#REF!</v>
      </c>
      <c r="AM62" s="29" t="e">
        <f>IF(#REF!&lt;&gt;"N/A",Priority!$C62,"")</f>
        <v>#REF!</v>
      </c>
      <c r="AN62" s="29" t="e">
        <f>IF(#REF!&lt;&gt;"N/A",Priority!$C62,"")</f>
        <v>#REF!</v>
      </c>
      <c r="AO62" s="29" t="e">
        <f>IF(#REF!&lt;&gt;"N/A",Priority!$C62,"")</f>
        <v>#REF!</v>
      </c>
      <c r="AP62" s="29" t="e">
        <f>IF(#REF!&lt;&gt;"N/A",Priority!$C62,"")</f>
        <v>#REF!</v>
      </c>
      <c r="AQ62" s="29" t="e">
        <f>IF(#REF!&lt;&gt;"N/A",Priority!$C62,"")</f>
        <v>#REF!</v>
      </c>
      <c r="AR62" s="29" t="e">
        <f>IF(#REF!&lt;&gt;"N/A",Priority!$C62,"")</f>
        <v>#REF!</v>
      </c>
      <c r="AS62" s="29" t="e">
        <f>IF(#REF!&lt;&gt;"N/A",Priority!$C62,"")</f>
        <v>#REF!</v>
      </c>
      <c r="AT62" s="29" t="e">
        <f>IF(#REF!&lt;&gt;"N/A",Priority!$C62,"")</f>
        <v>#REF!</v>
      </c>
      <c r="AU62" s="31"/>
      <c r="AV62" s="29" t="e">
        <f>IF(#REF!&lt;&gt;"N/A",Priority!$C62,"")</f>
        <v>#REF!</v>
      </c>
      <c r="AW62" s="29" t="e">
        <f>IF(#REF!&lt;&gt;"N/A",Priority!$C62,"")</f>
        <v>#REF!</v>
      </c>
      <c r="AX62" s="29" t="e">
        <f>IF(#REF!&lt;&gt;"N/A",Priority!$C62,"")</f>
        <v>#REF!</v>
      </c>
      <c r="AY62" s="29" t="e">
        <f>IF(#REF!&lt;&gt;"N/A",Priority!$C62,"")</f>
        <v>#REF!</v>
      </c>
      <c r="AZ62" s="29" t="e">
        <f>IF(#REF!&lt;&gt;"N/A",Priority!$C62,"")</f>
        <v>#REF!</v>
      </c>
      <c r="BA62" s="29" t="e">
        <f>IF(#REF!&lt;&gt;"N/A",Priority!$C62,"")</f>
        <v>#REF!</v>
      </c>
      <c r="BB62" s="29" t="e">
        <f>IF(#REF!&lt;&gt;"N/A",Priority!$C62,"")</f>
        <v>#REF!</v>
      </c>
      <c r="BC62" s="31"/>
      <c r="BD62" s="29" t="e">
        <f>IF(#REF!&lt;&gt;"N/A",Priority!$C62,"")</f>
        <v>#REF!</v>
      </c>
      <c r="BE62" s="29" t="e">
        <f>IF(#REF!&lt;&gt;"N/A",Priority!$C62,"")</f>
        <v>#REF!</v>
      </c>
      <c r="BF62" s="29" t="e">
        <f>IF(#REF!&lt;&gt;"N/A",Priority!$C62,"")</f>
        <v>#REF!</v>
      </c>
      <c r="BG62" s="29" t="e">
        <f>IF(#REF!&lt;&gt;"N/A",Priority!$C62,"")</f>
        <v>#REF!</v>
      </c>
      <c r="BH62" s="29" t="e">
        <f>IF(#REF!&lt;&gt;"N/A",Priority!$C62,"")</f>
        <v>#REF!</v>
      </c>
      <c r="BI62" s="29" t="e">
        <f>IF(#REF!&lt;&gt;"N/A",Priority!$C62,"")</f>
        <v>#REF!</v>
      </c>
      <c r="BJ62" s="29" t="e">
        <f>IF(#REF!&lt;&gt;"N/A",Priority!$C62,"")</f>
        <v>#REF!</v>
      </c>
      <c r="BK62" s="29" t="e">
        <f>IF(#REF!&lt;&gt;"N/A",Priority!$C62,"")</f>
        <v>#REF!</v>
      </c>
      <c r="BL62" s="29" t="e">
        <f>IF(#REF!&lt;&gt;"N/A",Priority!$C62,"")</f>
        <v>#REF!</v>
      </c>
      <c r="BM62" s="31"/>
      <c r="BN62" s="29" t="e">
        <f>IF(#REF!&lt;&gt;"N/A",Priority!$C62,"")</f>
        <v>#REF!</v>
      </c>
      <c r="BO62" s="29" t="e">
        <f>IF(#REF!&lt;&gt;"N/A",Priority!$C62,"")</f>
        <v>#REF!</v>
      </c>
      <c r="BP62" s="29" t="e">
        <f>IF(#REF!&lt;&gt;"N/A",Priority!$C62,"")</f>
        <v>#REF!</v>
      </c>
      <c r="BQ62" s="29" t="e">
        <f>IF(#REF!&lt;&gt;"N/A",Priority!$C62,"")</f>
        <v>#REF!</v>
      </c>
      <c r="BR62" s="29" t="e">
        <f>IF(#REF!&lt;&gt;"N/A",Priority!$C62,"")</f>
        <v>#REF!</v>
      </c>
      <c r="BS62" s="29" t="e">
        <f>IF(#REF!&lt;&gt;"N/A",Priority!$C62,"")</f>
        <v>#REF!</v>
      </c>
      <c r="BT62" s="29" t="e">
        <f>IF(#REF!&lt;&gt;"N/A",Priority!$C62,"")</f>
        <v>#REF!</v>
      </c>
      <c r="BU62" s="31"/>
      <c r="BV62" s="29" t="e">
        <f>IF(#REF!&lt;&gt;"N/A",Priority!$C62,"")</f>
        <v>#REF!</v>
      </c>
      <c r="BW62" s="29" t="e">
        <f>IF(#REF!&lt;&gt;"N/A",Priority!$C62,"")</f>
        <v>#REF!</v>
      </c>
      <c r="BX62" s="29" t="e">
        <f>IF(#REF!&lt;&gt;"N/A",Priority!$C62,"")</f>
        <v>#REF!</v>
      </c>
      <c r="BY62" s="29" t="e">
        <f>IF(#REF!&lt;&gt;"N/A",Priority!$C62,"")</f>
        <v>#REF!</v>
      </c>
      <c r="BZ62" s="29" t="e">
        <f>IF(#REF!&lt;&gt;"N/A",Priority!$C62,"")</f>
        <v>#REF!</v>
      </c>
      <c r="CA62" s="29" t="e">
        <f>IF(#REF!&lt;&gt;"N/A",Priority!$C62,"")</f>
        <v>#REF!</v>
      </c>
      <c r="CB62" s="31"/>
      <c r="CC62" s="29" t="e">
        <f>IF(#REF!&lt;&gt;"N/A",Priority!$C62,"")</f>
        <v>#REF!</v>
      </c>
      <c r="CD62" s="29" t="e">
        <f>IF(#REF!&lt;&gt;"N/A",Priority!$C62,"")</f>
        <v>#REF!</v>
      </c>
      <c r="CE62" s="29" t="e">
        <f>IF(#REF!&lt;&gt;"N/A",Priority!$C62,"")</f>
        <v>#REF!</v>
      </c>
      <c r="CF62" s="29" t="e">
        <f>IF(#REF!&lt;&gt;"N/A",Priority!$C62,"")</f>
        <v>#REF!</v>
      </c>
    </row>
    <row r="63" spans="1:84" ht="30">
      <c r="A63" s="15" t="e">
        <f>#REF!</f>
        <v>#REF!</v>
      </c>
      <c r="B63" s="15" t="e">
        <f>#REF!</f>
        <v>#REF!</v>
      </c>
      <c r="C63" s="15" t="e">
        <f>#REF!</f>
        <v>#REF!</v>
      </c>
      <c r="D63" s="26" t="s">
        <v>133</v>
      </c>
      <c r="E63" s="30" t="str">
        <f t="shared" si="13"/>
        <v>Pending</v>
      </c>
      <c r="F63" s="30" t="str">
        <f t="shared" si="14"/>
        <v>Pass:  0     /Accept:  0/     Fail:  0/     NT:  0</v>
      </c>
      <c r="G63" s="29" t="e">
        <f>IF(#REF!&lt;&gt;"N/A",Priority!$C63,"")</f>
        <v>#REF!</v>
      </c>
      <c r="H63" s="29" t="e">
        <f>IF(#REF!&lt;&gt;"N/A",Priority!$C63,"")</f>
        <v>#REF!</v>
      </c>
      <c r="I63" s="29" t="e">
        <f>IF(#REF!&lt;&gt;"N/A",Priority!$C63,"")</f>
        <v>#REF!</v>
      </c>
      <c r="J63" s="29" t="e">
        <f>IF(#REF!&lt;&gt;"N/A",Priority!$C63,"")</f>
        <v>#REF!</v>
      </c>
      <c r="K63" s="29" t="e">
        <f>IF(#REF!&lt;&gt;"N/A",Priority!$C63,"")</f>
        <v>#REF!</v>
      </c>
      <c r="L63" s="31"/>
      <c r="M63" s="29" t="e">
        <f>IF(#REF!&lt;&gt;"N/A",Priority!$C63,"")</f>
        <v>#REF!</v>
      </c>
      <c r="N63" s="29" t="e">
        <f>IF(#REF!&lt;&gt;"N/A",Priority!$C63,"")</f>
        <v>#REF!</v>
      </c>
      <c r="O63" s="29" t="e">
        <f>IF(#REF!&lt;&gt;"N/A",Priority!$C63,"")</f>
        <v>#REF!</v>
      </c>
      <c r="P63" s="29" t="e">
        <f>IF(#REF!&lt;&gt;"N/A",Priority!$C63,"")</f>
        <v>#REF!</v>
      </c>
      <c r="Q63" s="29" t="e">
        <f>IF(#REF!&lt;&gt;"N/A",Priority!$C63,"")</f>
        <v>#REF!</v>
      </c>
      <c r="R63" s="31"/>
      <c r="S63" s="29" t="e">
        <f>IF(#REF!&lt;&gt;"N/A",Priority!$C63,"")</f>
        <v>#REF!</v>
      </c>
      <c r="T63" s="29" t="e">
        <f>IF(#REF!&lt;&gt;"N/A",Priority!$C63,"")</f>
        <v>#REF!</v>
      </c>
      <c r="U63" s="29" t="e">
        <f>IF(#REF!&lt;&gt;"N/A",Priority!$C63,"")</f>
        <v>#REF!</v>
      </c>
      <c r="V63" s="29" t="e">
        <f>IF(#REF!&lt;&gt;"N/A",Priority!$C63,"")</f>
        <v>#REF!</v>
      </c>
      <c r="W63" s="29" t="e">
        <f>IF(#REF!&lt;&gt;"N/A",Priority!$C63,"")</f>
        <v>#REF!</v>
      </c>
      <c r="X63" s="29" t="e">
        <f>IF(#REF!&lt;&gt;"N/A",Priority!$C63,"")</f>
        <v>#REF!</v>
      </c>
      <c r="Y63" s="31"/>
      <c r="Z63" s="29" t="e">
        <f>IF(#REF!&lt;&gt;"N/A",Priority!$C63,"")</f>
        <v>#REF!</v>
      </c>
      <c r="AA63" s="29" t="e">
        <f>IF(#REF!&lt;&gt;"N/A",Priority!$C63,"")</f>
        <v>#REF!</v>
      </c>
      <c r="AB63" s="29" t="e">
        <f>IF(#REF!&lt;&gt;"N/A",Priority!$C63,"")</f>
        <v>#REF!</v>
      </c>
      <c r="AC63" s="29" t="e">
        <f>IF(#REF!&lt;&gt;"N/A",Priority!$C63,"")</f>
        <v>#REF!</v>
      </c>
      <c r="AD63" s="29" t="e">
        <f>IF(#REF!&lt;&gt;"N/A",Priority!$C63,"")</f>
        <v>#REF!</v>
      </c>
      <c r="AE63" s="29" t="e">
        <f>IF(#REF!&lt;&gt;"N/A",Priority!$C63,"")</f>
        <v>#REF!</v>
      </c>
      <c r="AF63" s="29" t="e">
        <f>IF(#REF!&lt;&gt;"N/A",Priority!$C63,"")</f>
        <v>#REF!</v>
      </c>
      <c r="AG63" s="29" t="e">
        <f>IF(#REF!&lt;&gt;"N/A",Priority!$C63,"")</f>
        <v>#REF!</v>
      </c>
      <c r="AH63" s="29" t="e">
        <f>IF(#REF!&lt;&gt;"N/A",Priority!$C63,"")</f>
        <v>#REF!</v>
      </c>
      <c r="AI63" s="29" t="e">
        <f>IF(#REF!&lt;&gt;"N/A",Priority!$C63,"")</f>
        <v>#REF!</v>
      </c>
      <c r="AJ63" s="31"/>
      <c r="AK63" s="29" t="e">
        <f>IF(#REF!&lt;&gt;"N/A",Priority!$C63,"")</f>
        <v>#REF!</v>
      </c>
      <c r="AL63" s="29" t="e">
        <f>IF(#REF!&lt;&gt;"N/A",Priority!$C63,"")</f>
        <v>#REF!</v>
      </c>
      <c r="AM63" s="29" t="e">
        <f>IF(#REF!&lt;&gt;"N/A",Priority!$C63,"")</f>
        <v>#REF!</v>
      </c>
      <c r="AN63" s="29" t="e">
        <f>IF(#REF!&lt;&gt;"N/A",Priority!$C63,"")</f>
        <v>#REF!</v>
      </c>
      <c r="AO63" s="29" t="e">
        <f>IF(#REF!&lt;&gt;"N/A",Priority!$C63,"")</f>
        <v>#REF!</v>
      </c>
      <c r="AP63" s="29" t="e">
        <f>IF(#REF!&lt;&gt;"N/A",Priority!$C63,"")</f>
        <v>#REF!</v>
      </c>
      <c r="AQ63" s="29" t="e">
        <f>IF(#REF!&lt;&gt;"N/A",Priority!$C63,"")</f>
        <v>#REF!</v>
      </c>
      <c r="AR63" s="29" t="e">
        <f>IF(#REF!&lt;&gt;"N/A",Priority!$C63,"")</f>
        <v>#REF!</v>
      </c>
      <c r="AS63" s="29" t="e">
        <f>IF(#REF!&lt;&gt;"N/A",Priority!$C63,"")</f>
        <v>#REF!</v>
      </c>
      <c r="AT63" s="29" t="e">
        <f>IF(#REF!&lt;&gt;"N/A",Priority!$C63,"")</f>
        <v>#REF!</v>
      </c>
      <c r="AU63" s="31"/>
      <c r="AV63" s="29" t="e">
        <f>IF(#REF!&lt;&gt;"N/A",Priority!$C63,"")</f>
        <v>#REF!</v>
      </c>
      <c r="AW63" s="29" t="e">
        <f>IF(#REF!&lt;&gt;"N/A",Priority!$C63,"")</f>
        <v>#REF!</v>
      </c>
      <c r="AX63" s="29" t="e">
        <f>IF(#REF!&lt;&gt;"N/A",Priority!$C63,"")</f>
        <v>#REF!</v>
      </c>
      <c r="AY63" s="29" t="e">
        <f>IF(#REF!&lt;&gt;"N/A",Priority!$C63,"")</f>
        <v>#REF!</v>
      </c>
      <c r="AZ63" s="29" t="e">
        <f>IF(#REF!&lt;&gt;"N/A",Priority!$C63,"")</f>
        <v>#REF!</v>
      </c>
      <c r="BA63" s="29" t="e">
        <f>IF(#REF!&lt;&gt;"N/A",Priority!$C63,"")</f>
        <v>#REF!</v>
      </c>
      <c r="BB63" s="29" t="e">
        <f>IF(#REF!&lt;&gt;"N/A",Priority!$C63,"")</f>
        <v>#REF!</v>
      </c>
      <c r="BC63" s="31"/>
      <c r="BD63" s="29" t="e">
        <f>IF(#REF!&lt;&gt;"N/A",Priority!$C63,"")</f>
        <v>#REF!</v>
      </c>
      <c r="BE63" s="29" t="e">
        <f>IF(#REF!&lt;&gt;"N/A",Priority!$C63,"")</f>
        <v>#REF!</v>
      </c>
      <c r="BF63" s="29" t="e">
        <f>IF(#REF!&lt;&gt;"N/A",Priority!$C63,"")</f>
        <v>#REF!</v>
      </c>
      <c r="BG63" s="29" t="e">
        <f>IF(#REF!&lt;&gt;"N/A",Priority!$C63,"")</f>
        <v>#REF!</v>
      </c>
      <c r="BH63" s="29" t="e">
        <f>IF(#REF!&lt;&gt;"N/A",Priority!$C63,"")</f>
        <v>#REF!</v>
      </c>
      <c r="BI63" s="29" t="e">
        <f>IF(#REF!&lt;&gt;"N/A",Priority!$C63,"")</f>
        <v>#REF!</v>
      </c>
      <c r="BJ63" s="29" t="e">
        <f>IF(#REF!&lt;&gt;"N/A",Priority!$C63,"")</f>
        <v>#REF!</v>
      </c>
      <c r="BK63" s="29" t="e">
        <f>IF(#REF!&lt;&gt;"N/A",Priority!$C63,"")</f>
        <v>#REF!</v>
      </c>
      <c r="BL63" s="29" t="e">
        <f>IF(#REF!&lt;&gt;"N/A",Priority!$C63,"")</f>
        <v>#REF!</v>
      </c>
      <c r="BM63" s="31"/>
      <c r="BN63" s="29" t="e">
        <f>IF(#REF!&lt;&gt;"N/A",Priority!$C63,"")</f>
        <v>#REF!</v>
      </c>
      <c r="BO63" s="29" t="e">
        <f>IF(#REF!&lt;&gt;"N/A",Priority!$C63,"")</f>
        <v>#REF!</v>
      </c>
      <c r="BP63" s="29" t="e">
        <f>IF(#REF!&lt;&gt;"N/A",Priority!$C63,"")</f>
        <v>#REF!</v>
      </c>
      <c r="BQ63" s="29" t="e">
        <f>IF(#REF!&lt;&gt;"N/A",Priority!$C63,"")</f>
        <v>#REF!</v>
      </c>
      <c r="BR63" s="29" t="e">
        <f>IF(#REF!&lt;&gt;"N/A",Priority!$C63,"")</f>
        <v>#REF!</v>
      </c>
      <c r="BS63" s="29" t="e">
        <f>IF(#REF!&lt;&gt;"N/A",Priority!$C63,"")</f>
        <v>#REF!</v>
      </c>
      <c r="BT63" s="29" t="e">
        <f>IF(#REF!&lt;&gt;"N/A",Priority!$C63,"")</f>
        <v>#REF!</v>
      </c>
      <c r="BU63" s="31"/>
      <c r="BV63" s="29" t="e">
        <f>IF(#REF!&lt;&gt;"N/A",Priority!$C63,"")</f>
        <v>#REF!</v>
      </c>
      <c r="BW63" s="29" t="e">
        <f>IF(#REF!&lt;&gt;"N/A",Priority!$C63,"")</f>
        <v>#REF!</v>
      </c>
      <c r="BX63" s="29" t="e">
        <f>IF(#REF!&lt;&gt;"N/A",Priority!$C63,"")</f>
        <v>#REF!</v>
      </c>
      <c r="BY63" s="29" t="e">
        <f>IF(#REF!&lt;&gt;"N/A",Priority!$C63,"")</f>
        <v>#REF!</v>
      </c>
      <c r="BZ63" s="29" t="e">
        <f>IF(#REF!&lt;&gt;"N/A",Priority!$C63,"")</f>
        <v>#REF!</v>
      </c>
      <c r="CA63" s="29" t="e">
        <f>IF(#REF!&lt;&gt;"N/A",Priority!$C63,"")</f>
        <v>#REF!</v>
      </c>
      <c r="CB63" s="31"/>
      <c r="CC63" s="29" t="e">
        <f>IF(#REF!&lt;&gt;"N/A",Priority!$C63,"")</f>
        <v>#REF!</v>
      </c>
      <c r="CD63" s="29" t="e">
        <f>IF(#REF!&lt;&gt;"N/A",Priority!$C63,"")</f>
        <v>#REF!</v>
      </c>
      <c r="CE63" s="29" t="e">
        <f>IF(#REF!&lt;&gt;"N/A",Priority!$C63,"")</f>
        <v>#REF!</v>
      </c>
      <c r="CF63" s="29" t="e">
        <f>IF(#REF!&lt;&gt;"N/A",Priority!$C63,"")</f>
        <v>#REF!</v>
      </c>
    </row>
    <row r="64" spans="1:84" ht="30">
      <c r="A64" s="15" t="e">
        <f>#REF!</f>
        <v>#REF!</v>
      </c>
      <c r="B64" s="15" t="e">
        <f>#REF!</f>
        <v>#REF!</v>
      </c>
      <c r="C64" s="15" t="e">
        <f>#REF!</f>
        <v>#REF!</v>
      </c>
      <c r="D64" s="24" t="s">
        <v>41</v>
      </c>
      <c r="E64" s="30" t="str">
        <f t="shared" si="13"/>
        <v>Pending</v>
      </c>
      <c r="F64" s="30" t="str">
        <f t="shared" si="14"/>
        <v>Pass:  0     /Accept:  0/     Fail:  0/     NT:  0</v>
      </c>
      <c r="G64" s="29" t="e">
        <f>IF(#REF!&lt;&gt;"N/A",Priority!$C64,"")</f>
        <v>#REF!</v>
      </c>
      <c r="H64" s="29" t="e">
        <f>IF(#REF!&lt;&gt;"N/A",Priority!$C64,"")</f>
        <v>#REF!</v>
      </c>
      <c r="I64" s="29" t="e">
        <f>IF(#REF!&lt;&gt;"N/A",Priority!$C64,"")</f>
        <v>#REF!</v>
      </c>
      <c r="J64" s="29" t="e">
        <f>IF(#REF!&lt;&gt;"N/A",Priority!$C64,"")</f>
        <v>#REF!</v>
      </c>
      <c r="K64" s="29" t="e">
        <f>IF(#REF!&lt;&gt;"N/A",Priority!$C64,"")</f>
        <v>#REF!</v>
      </c>
      <c r="L64" s="31"/>
      <c r="M64" s="29" t="e">
        <f>IF(#REF!&lt;&gt;"N/A",Priority!$C64,"")</f>
        <v>#REF!</v>
      </c>
      <c r="N64" s="29" t="e">
        <f>IF(#REF!&lt;&gt;"N/A",Priority!$C64,"")</f>
        <v>#REF!</v>
      </c>
      <c r="O64" s="29" t="e">
        <f>IF(#REF!&lt;&gt;"N/A",Priority!$C64,"")</f>
        <v>#REF!</v>
      </c>
      <c r="P64" s="29" t="e">
        <f>IF(#REF!&lt;&gt;"N/A",Priority!$C64,"")</f>
        <v>#REF!</v>
      </c>
      <c r="Q64" s="29" t="e">
        <f>IF(#REF!&lt;&gt;"N/A",Priority!$C64,"")</f>
        <v>#REF!</v>
      </c>
      <c r="R64" s="31"/>
      <c r="S64" s="29" t="e">
        <f>IF(#REF!&lt;&gt;"N/A",Priority!$C64,"")</f>
        <v>#REF!</v>
      </c>
      <c r="T64" s="29" t="e">
        <f>IF(#REF!&lt;&gt;"N/A",Priority!$C64,"")</f>
        <v>#REF!</v>
      </c>
      <c r="U64" s="29" t="e">
        <f>IF(#REF!&lt;&gt;"N/A",Priority!$C64,"")</f>
        <v>#REF!</v>
      </c>
      <c r="V64" s="29" t="e">
        <f>IF(#REF!&lt;&gt;"N/A",Priority!$C64,"")</f>
        <v>#REF!</v>
      </c>
      <c r="W64" s="29" t="e">
        <f>IF(#REF!&lt;&gt;"N/A",Priority!$C64,"")</f>
        <v>#REF!</v>
      </c>
      <c r="X64" s="29" t="e">
        <f>IF(#REF!&lt;&gt;"N/A",Priority!$C64,"")</f>
        <v>#REF!</v>
      </c>
      <c r="Y64" s="31"/>
      <c r="Z64" s="29" t="e">
        <f>IF(#REF!&lt;&gt;"N/A",Priority!$C64,"")</f>
        <v>#REF!</v>
      </c>
      <c r="AA64" s="29" t="e">
        <f>IF(#REF!&lt;&gt;"N/A",Priority!$C64,"")</f>
        <v>#REF!</v>
      </c>
      <c r="AB64" s="29" t="e">
        <f>IF(#REF!&lt;&gt;"N/A",Priority!$C64,"")</f>
        <v>#REF!</v>
      </c>
      <c r="AC64" s="29" t="e">
        <f>IF(#REF!&lt;&gt;"N/A",Priority!$C64,"")</f>
        <v>#REF!</v>
      </c>
      <c r="AD64" s="29" t="e">
        <f>IF(#REF!&lt;&gt;"N/A",Priority!$C64,"")</f>
        <v>#REF!</v>
      </c>
      <c r="AE64" s="29" t="e">
        <f>IF(#REF!&lt;&gt;"N/A",Priority!$C64,"")</f>
        <v>#REF!</v>
      </c>
      <c r="AF64" s="29" t="e">
        <f>IF(#REF!&lt;&gt;"N/A",Priority!$C64,"")</f>
        <v>#REF!</v>
      </c>
      <c r="AG64" s="29" t="e">
        <f>IF(#REF!&lt;&gt;"N/A",Priority!$C64,"")</f>
        <v>#REF!</v>
      </c>
      <c r="AH64" s="29" t="e">
        <f>IF(#REF!&lt;&gt;"N/A",Priority!$C64,"")</f>
        <v>#REF!</v>
      </c>
      <c r="AI64" s="29" t="e">
        <f>IF(#REF!&lt;&gt;"N/A",Priority!$C64,"")</f>
        <v>#REF!</v>
      </c>
      <c r="AJ64" s="31"/>
      <c r="AK64" s="29" t="e">
        <f>IF(#REF!&lt;&gt;"N/A",Priority!$C64,"")</f>
        <v>#REF!</v>
      </c>
      <c r="AL64" s="29" t="e">
        <f>IF(#REF!&lt;&gt;"N/A",Priority!$C64,"")</f>
        <v>#REF!</v>
      </c>
      <c r="AM64" s="29" t="e">
        <f>IF(#REF!&lt;&gt;"N/A",Priority!$C64,"")</f>
        <v>#REF!</v>
      </c>
      <c r="AN64" s="29" t="e">
        <f>IF(#REF!&lt;&gt;"N/A",Priority!$C64,"")</f>
        <v>#REF!</v>
      </c>
      <c r="AO64" s="29" t="e">
        <f>IF(#REF!&lt;&gt;"N/A",Priority!$C64,"")</f>
        <v>#REF!</v>
      </c>
      <c r="AP64" s="29" t="e">
        <f>IF(#REF!&lt;&gt;"N/A",Priority!$C64,"")</f>
        <v>#REF!</v>
      </c>
      <c r="AQ64" s="29" t="e">
        <f>IF(#REF!&lt;&gt;"N/A",Priority!$C64,"")</f>
        <v>#REF!</v>
      </c>
      <c r="AR64" s="29" t="e">
        <f>IF(#REF!&lt;&gt;"N/A",Priority!$C64,"")</f>
        <v>#REF!</v>
      </c>
      <c r="AS64" s="29" t="e">
        <f>IF(#REF!&lt;&gt;"N/A",Priority!$C64,"")</f>
        <v>#REF!</v>
      </c>
      <c r="AT64" s="29" t="e">
        <f>IF(#REF!&lt;&gt;"N/A",Priority!$C64,"")</f>
        <v>#REF!</v>
      </c>
      <c r="AU64" s="31"/>
      <c r="AV64" s="29" t="e">
        <f>IF(#REF!&lt;&gt;"N/A",Priority!$C64,"")</f>
        <v>#REF!</v>
      </c>
      <c r="AW64" s="29" t="e">
        <f>IF(#REF!&lt;&gt;"N/A",Priority!$C64,"")</f>
        <v>#REF!</v>
      </c>
      <c r="AX64" s="29" t="e">
        <f>IF(#REF!&lt;&gt;"N/A",Priority!$C64,"")</f>
        <v>#REF!</v>
      </c>
      <c r="AY64" s="29" t="e">
        <f>IF(#REF!&lt;&gt;"N/A",Priority!$C64,"")</f>
        <v>#REF!</v>
      </c>
      <c r="AZ64" s="29" t="e">
        <f>IF(#REF!&lt;&gt;"N/A",Priority!$C64,"")</f>
        <v>#REF!</v>
      </c>
      <c r="BA64" s="29" t="e">
        <f>IF(#REF!&lt;&gt;"N/A",Priority!$C64,"")</f>
        <v>#REF!</v>
      </c>
      <c r="BB64" s="29" t="e">
        <f>IF(#REF!&lt;&gt;"N/A",Priority!$C64,"")</f>
        <v>#REF!</v>
      </c>
      <c r="BC64" s="31"/>
      <c r="BD64" s="29" t="e">
        <f>IF(#REF!&lt;&gt;"N/A",Priority!$C64,"")</f>
        <v>#REF!</v>
      </c>
      <c r="BE64" s="29" t="e">
        <f>IF(#REF!&lt;&gt;"N/A",Priority!$C64,"")</f>
        <v>#REF!</v>
      </c>
      <c r="BF64" s="29" t="e">
        <f>IF(#REF!&lt;&gt;"N/A",Priority!$C64,"")</f>
        <v>#REF!</v>
      </c>
      <c r="BG64" s="29" t="e">
        <f>IF(#REF!&lt;&gt;"N/A",Priority!$C64,"")</f>
        <v>#REF!</v>
      </c>
      <c r="BH64" s="29" t="e">
        <f>IF(#REF!&lt;&gt;"N/A",Priority!$C64,"")</f>
        <v>#REF!</v>
      </c>
      <c r="BI64" s="29" t="e">
        <f>IF(#REF!&lt;&gt;"N/A",Priority!$C64,"")</f>
        <v>#REF!</v>
      </c>
      <c r="BJ64" s="29" t="e">
        <f>IF(#REF!&lt;&gt;"N/A",Priority!$C64,"")</f>
        <v>#REF!</v>
      </c>
      <c r="BK64" s="29" t="e">
        <f>IF(#REF!&lt;&gt;"N/A",Priority!$C64,"")</f>
        <v>#REF!</v>
      </c>
      <c r="BL64" s="29" t="e">
        <f>IF(#REF!&lt;&gt;"N/A",Priority!$C64,"")</f>
        <v>#REF!</v>
      </c>
      <c r="BM64" s="31"/>
      <c r="BN64" s="29" t="e">
        <f>IF(#REF!&lt;&gt;"N/A",Priority!$C64,"")</f>
        <v>#REF!</v>
      </c>
      <c r="BO64" s="29" t="e">
        <f>IF(#REF!&lt;&gt;"N/A",Priority!$C64,"")</f>
        <v>#REF!</v>
      </c>
      <c r="BP64" s="29" t="e">
        <f>IF(#REF!&lt;&gt;"N/A",Priority!$C64,"")</f>
        <v>#REF!</v>
      </c>
      <c r="BQ64" s="29" t="e">
        <f>IF(#REF!&lt;&gt;"N/A",Priority!$C64,"")</f>
        <v>#REF!</v>
      </c>
      <c r="BR64" s="29" t="e">
        <f>IF(#REF!&lt;&gt;"N/A",Priority!$C64,"")</f>
        <v>#REF!</v>
      </c>
      <c r="BS64" s="29" t="e">
        <f>IF(#REF!&lt;&gt;"N/A",Priority!$C64,"")</f>
        <v>#REF!</v>
      </c>
      <c r="BT64" s="29" t="e">
        <f>IF(#REF!&lt;&gt;"N/A",Priority!$C64,"")</f>
        <v>#REF!</v>
      </c>
      <c r="BU64" s="31"/>
      <c r="BV64" s="29" t="e">
        <f>IF(#REF!&lt;&gt;"N/A",Priority!$C64,"")</f>
        <v>#REF!</v>
      </c>
      <c r="BW64" s="29" t="e">
        <f>IF(#REF!&lt;&gt;"N/A",Priority!$C64,"")</f>
        <v>#REF!</v>
      </c>
      <c r="BX64" s="29" t="e">
        <f>IF(#REF!&lt;&gt;"N/A",Priority!$C64,"")</f>
        <v>#REF!</v>
      </c>
      <c r="BY64" s="29" t="e">
        <f>IF(#REF!&lt;&gt;"N/A",Priority!$C64,"")</f>
        <v>#REF!</v>
      </c>
      <c r="BZ64" s="29" t="e">
        <f>IF(#REF!&lt;&gt;"N/A",Priority!$C64,"")</f>
        <v>#REF!</v>
      </c>
      <c r="CA64" s="29" t="e">
        <f>IF(#REF!&lt;&gt;"N/A",Priority!$C64,"")</f>
        <v>#REF!</v>
      </c>
      <c r="CB64" s="31"/>
      <c r="CC64" s="29" t="e">
        <f>IF(#REF!&lt;&gt;"N/A",Priority!$C64,"")</f>
        <v>#REF!</v>
      </c>
      <c r="CD64" s="29" t="e">
        <f>IF(#REF!&lt;&gt;"N/A",Priority!$C64,"")</f>
        <v>#REF!</v>
      </c>
      <c r="CE64" s="29" t="e">
        <f>IF(#REF!&lt;&gt;"N/A",Priority!$C64,"")</f>
        <v>#REF!</v>
      </c>
      <c r="CF64" s="29" t="e">
        <f>IF(#REF!&lt;&gt;"N/A",Priority!$C64,"")</f>
        <v>#REF!</v>
      </c>
    </row>
    <row r="65" spans="1:84" ht="30">
      <c r="A65" s="15" t="e">
        <f>#REF!</f>
        <v>#REF!</v>
      </c>
      <c r="B65" s="15" t="e">
        <f>#REF!</f>
        <v>#REF!</v>
      </c>
      <c r="C65" s="15" t="e">
        <f>#REF!</f>
        <v>#REF!</v>
      </c>
      <c r="D65" s="24" t="s">
        <v>41</v>
      </c>
      <c r="E65" s="30" t="str">
        <f t="shared" si="13"/>
        <v>Pending</v>
      </c>
      <c r="F65" s="30" t="str">
        <f t="shared" si="14"/>
        <v>Pass:  0     /Accept:  0/     Fail:  0/     NT:  0</v>
      </c>
      <c r="G65" s="29" t="s">
        <v>41</v>
      </c>
      <c r="H65" s="29" t="s">
        <v>41</v>
      </c>
      <c r="I65" s="29" t="s">
        <v>41</v>
      </c>
      <c r="J65" s="29" t="s">
        <v>41</v>
      </c>
      <c r="K65" s="29" t="s">
        <v>41</v>
      </c>
      <c r="L65" s="31"/>
      <c r="M65" s="29" t="s">
        <v>41</v>
      </c>
      <c r="N65" s="29" t="s">
        <v>41</v>
      </c>
      <c r="O65" s="29" t="s">
        <v>41</v>
      </c>
      <c r="P65" s="29" t="s">
        <v>41</v>
      </c>
      <c r="Q65" s="29" t="s">
        <v>41</v>
      </c>
      <c r="R65" s="31"/>
      <c r="S65" s="29" t="s">
        <v>41</v>
      </c>
      <c r="T65" s="29" t="s">
        <v>41</v>
      </c>
      <c r="U65" s="29" t="s">
        <v>41</v>
      </c>
      <c r="V65" s="29" t="s">
        <v>41</v>
      </c>
      <c r="W65" s="29" t="s">
        <v>41</v>
      </c>
      <c r="X65" s="29" t="s">
        <v>41</v>
      </c>
      <c r="Y65" s="31"/>
      <c r="Z65" s="29" t="s">
        <v>41</v>
      </c>
      <c r="AA65" s="29" t="s">
        <v>41</v>
      </c>
      <c r="AB65" s="29" t="s">
        <v>41</v>
      </c>
      <c r="AC65" s="29" t="s">
        <v>41</v>
      </c>
      <c r="AD65" s="29" t="s">
        <v>41</v>
      </c>
      <c r="AE65" s="29" t="s">
        <v>41</v>
      </c>
      <c r="AF65" s="29" t="s">
        <v>41</v>
      </c>
      <c r="AG65" s="29" t="s">
        <v>41</v>
      </c>
      <c r="AH65" s="29" t="e">
        <f>IF(#REF!&lt;&gt;"N/A",Priority!$C65,"")</f>
        <v>#REF!</v>
      </c>
      <c r="AI65" s="29" t="e">
        <f>IF(#REF!&lt;&gt;"N/A",Priority!$C65,"")</f>
        <v>#REF!</v>
      </c>
      <c r="AJ65" s="31"/>
      <c r="AK65" s="29" t="s">
        <v>41</v>
      </c>
      <c r="AL65" s="29" t="s">
        <v>41</v>
      </c>
      <c r="AM65" s="29" t="s">
        <v>41</v>
      </c>
      <c r="AN65" s="29" t="s">
        <v>41</v>
      </c>
      <c r="AO65" s="29" t="s">
        <v>41</v>
      </c>
      <c r="AP65" s="29" t="s">
        <v>41</v>
      </c>
      <c r="AQ65" s="29" t="s">
        <v>41</v>
      </c>
      <c r="AR65" s="29" t="s">
        <v>41</v>
      </c>
      <c r="AS65" s="29" t="s">
        <v>41</v>
      </c>
      <c r="AT65" s="29" t="s">
        <v>41</v>
      </c>
      <c r="AU65" s="31"/>
      <c r="AV65" s="29" t="s">
        <v>41</v>
      </c>
      <c r="AW65" s="29" t="s">
        <v>41</v>
      </c>
      <c r="AX65" s="29" t="s">
        <v>41</v>
      </c>
      <c r="AY65" s="29" t="s">
        <v>41</v>
      </c>
      <c r="AZ65" s="29" t="s">
        <v>41</v>
      </c>
      <c r="BA65" s="29" t="s">
        <v>41</v>
      </c>
      <c r="BB65" s="29" t="s">
        <v>41</v>
      </c>
      <c r="BC65" s="31"/>
      <c r="BD65" s="29" t="s">
        <v>41</v>
      </c>
      <c r="BE65" s="29" t="s">
        <v>41</v>
      </c>
      <c r="BF65" s="29" t="s">
        <v>41</v>
      </c>
      <c r="BG65" s="29" t="s">
        <v>41</v>
      </c>
      <c r="BH65" s="29" t="s">
        <v>41</v>
      </c>
      <c r="BI65" s="29" t="s">
        <v>41</v>
      </c>
      <c r="BJ65" s="29" t="s">
        <v>41</v>
      </c>
      <c r="BK65" s="29" t="s">
        <v>41</v>
      </c>
      <c r="BL65" s="29" t="s">
        <v>41</v>
      </c>
      <c r="BM65" s="31"/>
      <c r="BN65" s="29" t="s">
        <v>41</v>
      </c>
      <c r="BO65" s="29" t="s">
        <v>41</v>
      </c>
      <c r="BP65" s="29" t="s">
        <v>41</v>
      </c>
      <c r="BQ65" s="29" t="s">
        <v>41</v>
      </c>
      <c r="BR65" s="29" t="s">
        <v>41</v>
      </c>
      <c r="BS65" s="29" t="s">
        <v>41</v>
      </c>
      <c r="BT65" s="29" t="s">
        <v>41</v>
      </c>
      <c r="BU65" s="31"/>
      <c r="BV65" s="29" t="s">
        <v>41</v>
      </c>
      <c r="BW65" s="29" t="s">
        <v>41</v>
      </c>
      <c r="BX65" s="29" t="s">
        <v>41</v>
      </c>
      <c r="BY65" s="29" t="s">
        <v>41</v>
      </c>
      <c r="BZ65" s="29" t="s">
        <v>41</v>
      </c>
      <c r="CA65" s="29" t="s">
        <v>41</v>
      </c>
      <c r="CB65" s="31"/>
      <c r="CC65" s="29" t="s">
        <v>41</v>
      </c>
      <c r="CD65" s="29" t="s">
        <v>41</v>
      </c>
      <c r="CE65" s="29" t="s">
        <v>41</v>
      </c>
      <c r="CF65" s="29" t="s">
        <v>41</v>
      </c>
    </row>
    <row r="66" spans="1:84" ht="30">
      <c r="A66" s="15" t="e">
        <f>#REF!</f>
        <v>#REF!</v>
      </c>
      <c r="B66" s="15" t="e">
        <f>#REF!</f>
        <v>#REF!</v>
      </c>
      <c r="C66" s="15" t="e">
        <f>#REF!</f>
        <v>#REF!</v>
      </c>
      <c r="D66" s="26" t="s">
        <v>133</v>
      </c>
      <c r="E66" s="30" t="str">
        <f t="shared" si="13"/>
        <v>Pending</v>
      </c>
      <c r="F66" s="30" t="str">
        <f t="shared" si="14"/>
        <v>Pass:  0     /Accept:  0/     Fail:  0/     NT:  0</v>
      </c>
      <c r="G66" s="29" t="s">
        <v>41</v>
      </c>
      <c r="H66" s="29" t="s">
        <v>41</v>
      </c>
      <c r="I66" s="29" t="s">
        <v>41</v>
      </c>
      <c r="J66" s="29" t="s">
        <v>41</v>
      </c>
      <c r="K66" s="29" t="s">
        <v>41</v>
      </c>
      <c r="L66" s="31"/>
      <c r="M66" s="29" t="s">
        <v>41</v>
      </c>
      <c r="N66" s="29" t="s">
        <v>41</v>
      </c>
      <c r="O66" s="29" t="s">
        <v>41</v>
      </c>
      <c r="P66" s="29" t="s">
        <v>41</v>
      </c>
      <c r="Q66" s="29" t="s">
        <v>41</v>
      </c>
      <c r="R66" s="31"/>
      <c r="S66" s="29" t="s">
        <v>41</v>
      </c>
      <c r="T66" s="29" t="s">
        <v>41</v>
      </c>
      <c r="U66" s="29" t="s">
        <v>41</v>
      </c>
      <c r="V66" s="29" t="s">
        <v>41</v>
      </c>
      <c r="W66" s="29" t="s">
        <v>41</v>
      </c>
      <c r="X66" s="29" t="s">
        <v>41</v>
      </c>
      <c r="Y66" s="31"/>
      <c r="Z66" s="29" t="s">
        <v>41</v>
      </c>
      <c r="AA66" s="29" t="s">
        <v>41</v>
      </c>
      <c r="AB66" s="29" t="s">
        <v>41</v>
      </c>
      <c r="AC66" s="29" t="s">
        <v>41</v>
      </c>
      <c r="AD66" s="29" t="s">
        <v>41</v>
      </c>
      <c r="AE66" s="29" t="s">
        <v>41</v>
      </c>
      <c r="AF66" s="29" t="s">
        <v>41</v>
      </c>
      <c r="AG66" s="29" t="s">
        <v>41</v>
      </c>
      <c r="AH66" s="29" t="e">
        <f>IF(#REF!&lt;&gt;"N/A",Priority!$C66,"")</f>
        <v>#REF!</v>
      </c>
      <c r="AI66" s="29" t="e">
        <f>IF(#REF!&lt;&gt;"N/A",Priority!$C66,"")</f>
        <v>#REF!</v>
      </c>
      <c r="AJ66" s="31"/>
      <c r="AK66" s="29" t="s">
        <v>41</v>
      </c>
      <c r="AL66" s="29" t="s">
        <v>41</v>
      </c>
      <c r="AM66" s="29" t="s">
        <v>41</v>
      </c>
      <c r="AN66" s="29" t="s">
        <v>41</v>
      </c>
      <c r="AO66" s="29" t="s">
        <v>41</v>
      </c>
      <c r="AP66" s="29" t="s">
        <v>41</v>
      </c>
      <c r="AQ66" s="29" t="s">
        <v>41</v>
      </c>
      <c r="AR66" s="29" t="s">
        <v>41</v>
      </c>
      <c r="AS66" s="29" t="s">
        <v>41</v>
      </c>
      <c r="AT66" s="29" t="s">
        <v>41</v>
      </c>
      <c r="AU66" s="31"/>
      <c r="AV66" s="29" t="s">
        <v>41</v>
      </c>
      <c r="AW66" s="29" t="s">
        <v>41</v>
      </c>
      <c r="AX66" s="29" t="s">
        <v>41</v>
      </c>
      <c r="AY66" s="29" t="s">
        <v>41</v>
      </c>
      <c r="AZ66" s="29" t="s">
        <v>41</v>
      </c>
      <c r="BA66" s="29" t="s">
        <v>41</v>
      </c>
      <c r="BB66" s="29" t="s">
        <v>41</v>
      </c>
      <c r="BC66" s="31"/>
      <c r="BD66" s="29" t="s">
        <v>41</v>
      </c>
      <c r="BE66" s="29" t="s">
        <v>41</v>
      </c>
      <c r="BF66" s="29" t="s">
        <v>41</v>
      </c>
      <c r="BG66" s="29" t="s">
        <v>41</v>
      </c>
      <c r="BH66" s="29" t="s">
        <v>41</v>
      </c>
      <c r="BI66" s="29" t="s">
        <v>41</v>
      </c>
      <c r="BJ66" s="29" t="s">
        <v>41</v>
      </c>
      <c r="BK66" s="29" t="s">
        <v>41</v>
      </c>
      <c r="BL66" s="29" t="e">
        <f>IF(#REF!&lt;&gt;0,#REF!,"Pend")</f>
        <v>#REF!</v>
      </c>
      <c r="BM66" s="31"/>
      <c r="BN66" s="29" t="s">
        <v>41</v>
      </c>
      <c r="BO66" s="29" t="s">
        <v>41</v>
      </c>
      <c r="BP66" s="29" t="s">
        <v>41</v>
      </c>
      <c r="BQ66" s="29" t="s">
        <v>41</v>
      </c>
      <c r="BR66" s="29" t="s">
        <v>41</v>
      </c>
      <c r="BS66" s="29" t="s">
        <v>41</v>
      </c>
      <c r="BT66" s="29" t="s">
        <v>41</v>
      </c>
      <c r="BU66" s="31"/>
      <c r="BV66" s="29" t="s">
        <v>41</v>
      </c>
      <c r="BW66" s="29" t="s">
        <v>41</v>
      </c>
      <c r="BX66" s="29" t="s">
        <v>41</v>
      </c>
      <c r="BY66" s="29" t="s">
        <v>41</v>
      </c>
      <c r="BZ66" s="29" t="s">
        <v>41</v>
      </c>
      <c r="CA66" s="29" t="s">
        <v>41</v>
      </c>
      <c r="CB66" s="31"/>
      <c r="CC66" s="29" t="s">
        <v>41</v>
      </c>
      <c r="CD66" s="29" t="s">
        <v>41</v>
      </c>
      <c r="CE66" s="29" t="s">
        <v>41</v>
      </c>
      <c r="CF66" s="29" t="s">
        <v>41</v>
      </c>
    </row>
    <row r="67" spans="1:84" ht="30">
      <c r="A67" s="15" t="e">
        <f>#REF!</f>
        <v>#REF!</v>
      </c>
      <c r="B67" s="15" t="e">
        <f>#REF!</f>
        <v>#REF!</v>
      </c>
      <c r="C67" s="15" t="e">
        <f>#REF!</f>
        <v>#REF!</v>
      </c>
      <c r="D67" s="26" t="s">
        <v>133</v>
      </c>
      <c r="E67" s="30" t="str">
        <f t="shared" si="13"/>
        <v>Pending</v>
      </c>
      <c r="F67" s="30" t="str">
        <f t="shared" si="14"/>
        <v>Pass:  0     /Accept:  0/     Fail:  0/     NT:  0</v>
      </c>
      <c r="G67" s="29" t="e">
        <f>IF(#REF!&lt;&gt;"N/A",Priority!$C67,"")</f>
        <v>#REF!</v>
      </c>
      <c r="H67" s="29" t="e">
        <f>IF(#REF!&lt;&gt;"N/A",Priority!$C67,"")</f>
        <v>#REF!</v>
      </c>
      <c r="I67" s="29" t="e">
        <f>IF(#REF!&lt;&gt;"N/A",Priority!$C67,"")</f>
        <v>#REF!</v>
      </c>
      <c r="J67" s="29" t="e">
        <f>IF(#REF!&lt;&gt;"N/A",Priority!$C67,"")</f>
        <v>#REF!</v>
      </c>
      <c r="K67" s="29" t="e">
        <f>IF(#REF!&lt;&gt;"N/A",Priority!$C67,"")</f>
        <v>#REF!</v>
      </c>
      <c r="L67" s="31"/>
      <c r="M67" s="29" t="e">
        <f>IF(#REF!&lt;&gt;"N/A",Priority!$C67,"")</f>
        <v>#REF!</v>
      </c>
      <c r="N67" s="29" t="e">
        <f>IF(#REF!&lt;&gt;"N/A",Priority!$C67,"")</f>
        <v>#REF!</v>
      </c>
      <c r="O67" s="29" t="e">
        <f>IF(#REF!&lt;&gt;"N/A",Priority!$C67,"")</f>
        <v>#REF!</v>
      </c>
      <c r="P67" s="29" t="e">
        <f>IF(#REF!&lt;&gt;"N/A",Priority!$C67,"")</f>
        <v>#REF!</v>
      </c>
      <c r="Q67" s="29" t="e">
        <f>IF(#REF!&lt;&gt;"N/A",Priority!$C67,"")</f>
        <v>#REF!</v>
      </c>
      <c r="R67" s="31"/>
      <c r="S67" s="29" t="e">
        <f>IF(#REF!&lt;&gt;"N/A",Priority!$C67,"")</f>
        <v>#REF!</v>
      </c>
      <c r="T67" s="29" t="e">
        <f>IF(#REF!&lt;&gt;"N/A",Priority!$C67,"")</f>
        <v>#REF!</v>
      </c>
      <c r="U67" s="29" t="e">
        <f>IF(#REF!&lt;&gt;"N/A",Priority!$C67,"")</f>
        <v>#REF!</v>
      </c>
      <c r="V67" s="29" t="e">
        <f>IF(#REF!&lt;&gt;"N/A",Priority!$C67,"")</f>
        <v>#REF!</v>
      </c>
      <c r="W67" s="29" t="e">
        <f>IF(#REF!&lt;&gt;"N/A",Priority!$C67,"")</f>
        <v>#REF!</v>
      </c>
      <c r="X67" s="29" t="e">
        <f>IF(#REF!&lt;&gt;"N/A",Priority!$C67,"")</f>
        <v>#REF!</v>
      </c>
      <c r="Y67" s="31"/>
      <c r="Z67" s="29" t="e">
        <f>IF(#REF!&lt;&gt;"N/A",Priority!$C67,"")</f>
        <v>#REF!</v>
      </c>
      <c r="AA67" s="29" t="e">
        <f>IF(#REF!&lt;&gt;"N/A",Priority!$C67,"")</f>
        <v>#REF!</v>
      </c>
      <c r="AB67" s="29" t="e">
        <f>IF(#REF!&lt;&gt;"N/A",Priority!$C67,"")</f>
        <v>#REF!</v>
      </c>
      <c r="AC67" s="29" t="e">
        <f>IF(#REF!&lt;&gt;"N/A",Priority!$C67,"")</f>
        <v>#REF!</v>
      </c>
      <c r="AD67" s="29" t="e">
        <f>IF(#REF!&lt;&gt;"N/A",Priority!$C67,"")</f>
        <v>#REF!</v>
      </c>
      <c r="AE67" s="29" t="e">
        <f>IF(#REF!&lt;&gt;"N/A",Priority!$C67,"")</f>
        <v>#REF!</v>
      </c>
      <c r="AF67" s="29" t="e">
        <f>IF(#REF!&lt;&gt;"N/A",Priority!$C67,"")</f>
        <v>#REF!</v>
      </c>
      <c r="AG67" s="29" t="e">
        <f>IF(#REF!&lt;&gt;"N/A",Priority!$C67,"")</f>
        <v>#REF!</v>
      </c>
      <c r="AH67" s="29" t="e">
        <f>IF(#REF!&lt;&gt;"N/A",Priority!$C67,"")</f>
        <v>#REF!</v>
      </c>
      <c r="AI67" s="29" t="e">
        <f>IF(#REF!&lt;&gt;"N/A",Priority!$C67,"")</f>
        <v>#REF!</v>
      </c>
      <c r="AJ67" s="31"/>
      <c r="AK67" s="29" t="e">
        <f>IF(#REF!&lt;&gt;"N/A",Priority!$C67,"")</f>
        <v>#REF!</v>
      </c>
      <c r="AL67" s="29" t="e">
        <f>IF(#REF!&lt;&gt;"N/A",Priority!$C67,"")</f>
        <v>#REF!</v>
      </c>
      <c r="AM67" s="29" t="e">
        <f>IF(#REF!&lt;&gt;"N/A",Priority!$C67,"")</f>
        <v>#REF!</v>
      </c>
      <c r="AN67" s="29" t="e">
        <f>IF(#REF!&lt;&gt;"N/A",Priority!$C67,"")</f>
        <v>#REF!</v>
      </c>
      <c r="AO67" s="29" t="e">
        <f>IF(#REF!&lt;&gt;"N/A",Priority!$C67,"")</f>
        <v>#REF!</v>
      </c>
      <c r="AP67" s="29" t="e">
        <f>IF(#REF!&lt;&gt;"N/A",Priority!$C67,"")</f>
        <v>#REF!</v>
      </c>
      <c r="AQ67" s="29" t="e">
        <f>IF(#REF!&lt;&gt;"N/A",Priority!$C67,"")</f>
        <v>#REF!</v>
      </c>
      <c r="AR67" s="29" t="e">
        <f>IF(#REF!&lt;&gt;"N/A",Priority!$C67,"")</f>
        <v>#REF!</v>
      </c>
      <c r="AS67" s="29" t="e">
        <f>IF(#REF!&lt;&gt;"N/A",Priority!$C67,"")</f>
        <v>#REF!</v>
      </c>
      <c r="AT67" s="29" t="e">
        <f>IF(#REF!&lt;&gt;"N/A",Priority!$C67,"")</f>
        <v>#REF!</v>
      </c>
      <c r="AU67" s="31"/>
      <c r="AV67" s="29" t="e">
        <f>IF(#REF!&lt;&gt;"N/A",Priority!$C67,"")</f>
        <v>#REF!</v>
      </c>
      <c r="AW67" s="29" t="e">
        <f>IF(#REF!&lt;&gt;"N/A",Priority!$C67,"")</f>
        <v>#REF!</v>
      </c>
      <c r="AX67" s="29" t="e">
        <f>IF(#REF!&lt;&gt;"N/A",Priority!$C67,"")</f>
        <v>#REF!</v>
      </c>
      <c r="AY67" s="29" t="e">
        <f>IF(#REF!&lt;&gt;"N/A",Priority!$C67,"")</f>
        <v>#REF!</v>
      </c>
      <c r="AZ67" s="29" t="e">
        <f>IF(#REF!&lt;&gt;"N/A",Priority!$C67,"")</f>
        <v>#REF!</v>
      </c>
      <c r="BA67" s="29" t="e">
        <f>IF(#REF!&lt;&gt;"N/A",Priority!$C67,"")</f>
        <v>#REF!</v>
      </c>
      <c r="BB67" s="29" t="e">
        <f>IF(#REF!&lt;&gt;"N/A",Priority!$C67,"")</f>
        <v>#REF!</v>
      </c>
      <c r="BC67" s="31"/>
      <c r="BD67" s="29" t="e">
        <f>IF(#REF!&lt;&gt;"N/A",Priority!$C67,"")</f>
        <v>#REF!</v>
      </c>
      <c r="BE67" s="29" t="e">
        <f>IF(#REF!&lt;&gt;"N/A",Priority!$C67,"")</f>
        <v>#REF!</v>
      </c>
      <c r="BF67" s="29" t="e">
        <f>IF(#REF!&lt;&gt;"N/A",Priority!$C67,"")</f>
        <v>#REF!</v>
      </c>
      <c r="BG67" s="29" t="e">
        <f>IF(#REF!&lt;&gt;"N/A",Priority!$C67,"")</f>
        <v>#REF!</v>
      </c>
      <c r="BH67" s="29" t="e">
        <f>IF(#REF!&lt;&gt;"N/A",Priority!$C67,"")</f>
        <v>#REF!</v>
      </c>
      <c r="BI67" s="29" t="e">
        <f>IF(#REF!&lt;&gt;"N/A",Priority!$C67,"")</f>
        <v>#REF!</v>
      </c>
      <c r="BJ67" s="29" t="e">
        <f>IF(#REF!&lt;&gt;"N/A",Priority!$C67,"")</f>
        <v>#REF!</v>
      </c>
      <c r="BK67" s="29" t="e">
        <f>IF(#REF!&lt;&gt;"N/A",Priority!$C67,"")</f>
        <v>#REF!</v>
      </c>
      <c r="BL67" s="29" t="e">
        <f>IF(#REF!&lt;&gt;"N/A",Priority!$C67,"")</f>
        <v>#REF!</v>
      </c>
      <c r="BM67" s="31"/>
      <c r="BN67" s="29" t="e">
        <f>IF(#REF!&lt;&gt;"N/A",Priority!$C67,"")</f>
        <v>#REF!</v>
      </c>
      <c r="BO67" s="29" t="e">
        <f>IF(#REF!&lt;&gt;"N/A",Priority!$C67,"")</f>
        <v>#REF!</v>
      </c>
      <c r="BP67" s="29" t="e">
        <f>IF(#REF!&lt;&gt;"N/A",Priority!$C67,"")</f>
        <v>#REF!</v>
      </c>
      <c r="BQ67" s="29" t="e">
        <f>IF(#REF!&lt;&gt;"N/A",Priority!$C67,"")</f>
        <v>#REF!</v>
      </c>
      <c r="BR67" s="29" t="e">
        <f>IF(#REF!&lt;&gt;"N/A",Priority!$C67,"")</f>
        <v>#REF!</v>
      </c>
      <c r="BS67" s="29" t="e">
        <f>IF(#REF!&lt;&gt;"N/A",Priority!$C67,"")</f>
        <v>#REF!</v>
      </c>
      <c r="BT67" s="29" t="e">
        <f>IF(#REF!&lt;&gt;"N/A",Priority!$C67,"")</f>
        <v>#REF!</v>
      </c>
      <c r="BU67" s="31"/>
      <c r="BV67" s="29" t="e">
        <f>IF(#REF!&lt;&gt;"N/A",Priority!$C67,"")</f>
        <v>#REF!</v>
      </c>
      <c r="BW67" s="29" t="e">
        <f>IF(#REF!&lt;&gt;"N/A",Priority!$C67,"")</f>
        <v>#REF!</v>
      </c>
      <c r="BX67" s="29" t="e">
        <f>IF(#REF!&lt;&gt;"N/A",Priority!$C67,"")</f>
        <v>#REF!</v>
      </c>
      <c r="BY67" s="29" t="e">
        <f>IF(#REF!&lt;&gt;"N/A",Priority!$C67,"")</f>
        <v>#REF!</v>
      </c>
      <c r="BZ67" s="29" t="e">
        <f>IF(#REF!&lt;&gt;"N/A",Priority!$C67,"")</f>
        <v>#REF!</v>
      </c>
      <c r="CA67" s="29" t="e">
        <f>IF(#REF!&lt;&gt;"N/A",Priority!$C67,"")</f>
        <v>#REF!</v>
      </c>
      <c r="CB67" s="31"/>
      <c r="CC67" s="29" t="e">
        <f>IF(#REF!&lt;&gt;"N/A",Priority!$C67,"")</f>
        <v>#REF!</v>
      </c>
      <c r="CD67" s="29" t="e">
        <f>IF(#REF!&lt;&gt;"N/A",Priority!$C67,"")</f>
        <v>#REF!</v>
      </c>
      <c r="CE67" s="29" t="e">
        <f>IF(#REF!&lt;&gt;"N/A",Priority!$C67,"")</f>
        <v>#REF!</v>
      </c>
      <c r="CF67" s="29" t="e">
        <f>IF(#REF!&lt;&gt;"N/A",Priority!$C67,"")</f>
        <v>#REF!</v>
      </c>
    </row>
    <row r="68" spans="1:84" ht="30">
      <c r="A68" s="15" t="e">
        <f>#REF!</f>
        <v>#REF!</v>
      </c>
      <c r="B68" s="15" t="e">
        <f>#REF!</f>
        <v>#REF!</v>
      </c>
      <c r="C68" s="15" t="e">
        <f>#REF!</f>
        <v>#REF!</v>
      </c>
      <c r="D68" s="27" t="s">
        <v>41</v>
      </c>
      <c r="E68" s="30" t="str">
        <f t="shared" si="13"/>
        <v>Pending</v>
      </c>
      <c r="F68" s="30" t="str">
        <f t="shared" si="14"/>
        <v>Pass:  0     /Accept:  0/     Fail:  0/     NT:  0</v>
      </c>
      <c r="G68" s="29" t="e">
        <f>IF(#REF!&lt;&gt;"N/A",Priority!$C68,"")</f>
        <v>#REF!</v>
      </c>
      <c r="H68" s="29" t="e">
        <f>IF(#REF!&lt;&gt;"N/A",Priority!$C68,"")</f>
        <v>#REF!</v>
      </c>
      <c r="I68" s="29" t="e">
        <f>IF(#REF!&lt;&gt;"N/A",Priority!$C68,"")</f>
        <v>#REF!</v>
      </c>
      <c r="J68" s="29" t="e">
        <f>IF(#REF!&lt;&gt;"N/A",Priority!$C68,"")</f>
        <v>#REF!</v>
      </c>
      <c r="K68" s="29" t="e">
        <f>IF(#REF!&lt;&gt;"N/A",Priority!$C68,"")</f>
        <v>#REF!</v>
      </c>
      <c r="L68" s="31"/>
      <c r="M68" s="29" t="e">
        <f>IF(#REF!&lt;&gt;"N/A",Priority!$C68,"")</f>
        <v>#REF!</v>
      </c>
      <c r="N68" s="29" t="e">
        <f>IF(#REF!&lt;&gt;"N/A",Priority!$C68,"")</f>
        <v>#REF!</v>
      </c>
      <c r="O68" s="29" t="e">
        <f>IF(#REF!&lt;&gt;"N/A",Priority!$C68,"")</f>
        <v>#REF!</v>
      </c>
      <c r="P68" s="29" t="e">
        <f>IF(#REF!&lt;&gt;"N/A",Priority!$C68,"")</f>
        <v>#REF!</v>
      </c>
      <c r="Q68" s="29" t="e">
        <f>IF(#REF!&lt;&gt;"N/A",Priority!$C68,"")</f>
        <v>#REF!</v>
      </c>
      <c r="R68" s="31"/>
      <c r="S68" s="29" t="e">
        <f>IF(#REF!&lt;&gt;"N/A",Priority!$C68,"")</f>
        <v>#REF!</v>
      </c>
      <c r="T68" s="29" t="e">
        <f>IF(#REF!&lt;&gt;"N/A",Priority!$C68,"")</f>
        <v>#REF!</v>
      </c>
      <c r="U68" s="29" t="e">
        <f>IF(#REF!&lt;&gt;"N/A",Priority!$C68,"")</f>
        <v>#REF!</v>
      </c>
      <c r="V68" s="29" t="e">
        <f>IF(#REF!&lt;&gt;"N/A",Priority!$C68,"")</f>
        <v>#REF!</v>
      </c>
      <c r="W68" s="29" t="e">
        <f>IF(#REF!&lt;&gt;"N/A",Priority!$C68,"")</f>
        <v>#REF!</v>
      </c>
      <c r="X68" s="29" t="e">
        <f>IF(#REF!&lt;&gt;"N/A",Priority!$C68,"")</f>
        <v>#REF!</v>
      </c>
      <c r="Y68" s="31"/>
      <c r="Z68" s="29" t="e">
        <f>IF(#REF!&lt;&gt;"N/A",Priority!$C68,"")</f>
        <v>#REF!</v>
      </c>
      <c r="AA68" s="29" t="e">
        <f>IF(#REF!&lt;&gt;"N/A",Priority!$C68,"")</f>
        <v>#REF!</v>
      </c>
      <c r="AB68" s="29" t="e">
        <f>IF(#REF!&lt;&gt;"N/A",Priority!$C68,"")</f>
        <v>#REF!</v>
      </c>
      <c r="AC68" s="29" t="e">
        <f>IF(#REF!&lt;&gt;"N/A",Priority!$C68,"")</f>
        <v>#REF!</v>
      </c>
      <c r="AD68" s="29" t="e">
        <f>IF(#REF!&lt;&gt;"N/A",Priority!$C68,"")</f>
        <v>#REF!</v>
      </c>
      <c r="AE68" s="29" t="e">
        <f>IF(#REF!&lt;&gt;"N/A",Priority!$C68,"")</f>
        <v>#REF!</v>
      </c>
      <c r="AF68" s="29" t="e">
        <f>IF(#REF!&lt;&gt;"N/A",Priority!$C68,"")</f>
        <v>#REF!</v>
      </c>
      <c r="AG68" s="29" t="e">
        <f>IF(#REF!&lt;&gt;"N/A",Priority!$C68,"")</f>
        <v>#REF!</v>
      </c>
      <c r="AH68" s="29" t="e">
        <f>IF(#REF!&lt;&gt;"N/A",Priority!$C68,"")</f>
        <v>#REF!</v>
      </c>
      <c r="AI68" s="29" t="e">
        <f>IF(#REF!&lt;&gt;"N/A",Priority!$C68,"")</f>
        <v>#REF!</v>
      </c>
      <c r="AJ68" s="31"/>
      <c r="AK68" s="29" t="e">
        <f>IF(#REF!&lt;&gt;"N/A",Priority!$C68,"")</f>
        <v>#REF!</v>
      </c>
      <c r="AL68" s="29" t="e">
        <f>IF(#REF!&lt;&gt;"N/A",Priority!$C68,"")</f>
        <v>#REF!</v>
      </c>
      <c r="AM68" s="29" t="e">
        <f>IF(#REF!&lt;&gt;"N/A",Priority!$C68,"")</f>
        <v>#REF!</v>
      </c>
      <c r="AN68" s="29" t="e">
        <f>IF(#REF!&lt;&gt;"N/A",Priority!$C68,"")</f>
        <v>#REF!</v>
      </c>
      <c r="AO68" s="29" t="e">
        <f>IF(#REF!&lt;&gt;"N/A",Priority!$C68,"")</f>
        <v>#REF!</v>
      </c>
      <c r="AP68" s="29" t="e">
        <f>IF(#REF!&lt;&gt;"N/A",Priority!$C68,"")</f>
        <v>#REF!</v>
      </c>
      <c r="AQ68" s="29" t="e">
        <f>IF(#REF!&lt;&gt;"N/A",Priority!$C68,"")</f>
        <v>#REF!</v>
      </c>
      <c r="AR68" s="29" t="e">
        <f>IF(#REF!&lt;&gt;"N/A",Priority!$C68,"")</f>
        <v>#REF!</v>
      </c>
      <c r="AS68" s="29" t="e">
        <f>IF(#REF!&lt;&gt;"N/A",Priority!$C68,"")</f>
        <v>#REF!</v>
      </c>
      <c r="AT68" s="29" t="e">
        <f>IF(#REF!&lt;&gt;"N/A",Priority!$C68,"")</f>
        <v>#REF!</v>
      </c>
      <c r="AU68" s="31"/>
      <c r="AV68" s="29" t="e">
        <f>IF(#REF!&lt;&gt;"N/A",Priority!$C68,"")</f>
        <v>#REF!</v>
      </c>
      <c r="AW68" s="29" t="e">
        <f>IF(#REF!&lt;&gt;"N/A",Priority!$C68,"")</f>
        <v>#REF!</v>
      </c>
      <c r="AX68" s="29" t="e">
        <f>IF(#REF!&lt;&gt;"N/A",Priority!$C68,"")</f>
        <v>#REF!</v>
      </c>
      <c r="AY68" s="29" t="e">
        <f>IF(#REF!&lt;&gt;"N/A",Priority!$C68,"")</f>
        <v>#REF!</v>
      </c>
      <c r="AZ68" s="29" t="e">
        <f>IF(#REF!&lt;&gt;"N/A",Priority!$C68,"")</f>
        <v>#REF!</v>
      </c>
      <c r="BA68" s="29" t="e">
        <f>IF(#REF!&lt;&gt;"N/A",Priority!$C68,"")</f>
        <v>#REF!</v>
      </c>
      <c r="BB68" s="29" t="e">
        <f>IF(#REF!&lt;&gt;"N/A",Priority!$C68,"")</f>
        <v>#REF!</v>
      </c>
      <c r="BC68" s="31"/>
      <c r="BD68" s="29" t="e">
        <f>IF(#REF!&lt;&gt;"N/A",Priority!$C68,"")</f>
        <v>#REF!</v>
      </c>
      <c r="BE68" s="29" t="e">
        <f>IF(#REF!&lt;&gt;"N/A",Priority!$C68,"")</f>
        <v>#REF!</v>
      </c>
      <c r="BF68" s="29" t="e">
        <f>IF(#REF!&lt;&gt;"N/A",Priority!$C68,"")</f>
        <v>#REF!</v>
      </c>
      <c r="BG68" s="29" t="e">
        <f>IF(#REF!&lt;&gt;"N/A",Priority!$C68,"")</f>
        <v>#REF!</v>
      </c>
      <c r="BH68" s="29" t="e">
        <f>IF(#REF!&lt;&gt;"N/A",Priority!$C68,"")</f>
        <v>#REF!</v>
      </c>
      <c r="BI68" s="29" t="e">
        <f>IF(#REF!&lt;&gt;"N/A",Priority!$C68,"")</f>
        <v>#REF!</v>
      </c>
      <c r="BJ68" s="29" t="e">
        <f>IF(#REF!&lt;&gt;"N/A",Priority!$C68,"")</f>
        <v>#REF!</v>
      </c>
      <c r="BK68" s="29" t="e">
        <f>IF(#REF!&lt;&gt;"N/A",Priority!$C68,"")</f>
        <v>#REF!</v>
      </c>
      <c r="BL68" s="29" t="e">
        <f>IF(#REF!&lt;&gt;"N/A",Priority!$C68,"")</f>
        <v>#REF!</v>
      </c>
      <c r="BM68" s="31"/>
      <c r="BN68" s="29" t="e">
        <f>IF(#REF!&lt;&gt;"N/A",Priority!$C68,"")</f>
        <v>#REF!</v>
      </c>
      <c r="BO68" s="29" t="e">
        <f>IF(#REF!&lt;&gt;"N/A",Priority!$C68,"")</f>
        <v>#REF!</v>
      </c>
      <c r="BP68" s="29" t="e">
        <f>IF(#REF!&lt;&gt;"N/A",Priority!$C68,"")</f>
        <v>#REF!</v>
      </c>
      <c r="BQ68" s="29" t="e">
        <f>IF(#REF!&lt;&gt;"N/A",Priority!$C68,"")</f>
        <v>#REF!</v>
      </c>
      <c r="BR68" s="29" t="e">
        <f>IF(#REF!&lt;&gt;"N/A",Priority!$C68,"")</f>
        <v>#REF!</v>
      </c>
      <c r="BS68" s="29" t="e">
        <f>IF(#REF!&lt;&gt;"N/A",Priority!$C68,"")</f>
        <v>#REF!</v>
      </c>
      <c r="BT68" s="29" t="e">
        <f>IF(#REF!&lt;&gt;"N/A",Priority!$C68,"")</f>
        <v>#REF!</v>
      </c>
      <c r="BU68" s="31"/>
      <c r="BV68" s="29" t="e">
        <f>IF(#REF!&lt;&gt;"N/A",Priority!$C68,"")</f>
        <v>#REF!</v>
      </c>
      <c r="BW68" s="29" t="e">
        <f>IF(#REF!&lt;&gt;"N/A",Priority!$C68,"")</f>
        <v>#REF!</v>
      </c>
      <c r="BX68" s="29" t="e">
        <f>IF(#REF!&lt;&gt;"N/A",Priority!$C68,"")</f>
        <v>#REF!</v>
      </c>
      <c r="BY68" s="29" t="e">
        <f>IF(#REF!&lt;&gt;"N/A",Priority!$C68,"")</f>
        <v>#REF!</v>
      </c>
      <c r="BZ68" s="29" t="e">
        <f>IF(#REF!&lt;&gt;"N/A",Priority!$C68,"")</f>
        <v>#REF!</v>
      </c>
      <c r="CA68" s="29" t="e">
        <f>IF(#REF!&lt;&gt;"N/A",Priority!$C68,"")</f>
        <v>#REF!</v>
      </c>
      <c r="CB68" s="31"/>
      <c r="CC68" s="29" t="e">
        <f>IF(#REF!&lt;&gt;"N/A",Priority!$C68,"")</f>
        <v>#REF!</v>
      </c>
      <c r="CD68" s="29" t="e">
        <f>IF(#REF!&lt;&gt;"N/A",Priority!$C68,"")</f>
        <v>#REF!</v>
      </c>
      <c r="CE68" s="29" t="e">
        <f>IF(#REF!&lt;&gt;"N/A",Priority!$C68,"")</f>
        <v>#REF!</v>
      </c>
      <c r="CF68" s="29" t="e">
        <f>IF(#REF!&lt;&gt;"N/A",Priority!$C68,"")</f>
        <v>#REF!</v>
      </c>
    </row>
    <row r="69" spans="1:84" ht="30">
      <c r="A69" s="15" t="e">
        <f>#REF!</f>
        <v>#REF!</v>
      </c>
      <c r="B69" s="15" t="e">
        <f>#REF!</f>
        <v>#REF!</v>
      </c>
      <c r="C69" s="15" t="e">
        <f>#REF!</f>
        <v>#REF!</v>
      </c>
      <c r="D69" s="27" t="s">
        <v>41</v>
      </c>
      <c r="E69" s="30" t="str">
        <f t="shared" si="13"/>
        <v>Pending</v>
      </c>
      <c r="F69" s="30" t="str">
        <f t="shared" si="14"/>
        <v>Pass:  0     /Accept:  0/     Fail:  0/     NT:  0</v>
      </c>
      <c r="G69" s="29" t="e">
        <f>IF(#REF!&lt;&gt;"N/A",Priority!$C69,"")</f>
        <v>#REF!</v>
      </c>
      <c r="H69" s="29" t="e">
        <f>IF(#REF!&lt;&gt;"N/A",Priority!$C69,"")</f>
        <v>#REF!</v>
      </c>
      <c r="I69" s="29" t="e">
        <f>IF(#REF!&lt;&gt;"N/A",Priority!$C69,"")</f>
        <v>#REF!</v>
      </c>
      <c r="J69" s="29" t="e">
        <f>IF(#REF!&lt;&gt;"N/A",Priority!$C69,"")</f>
        <v>#REF!</v>
      </c>
      <c r="K69" s="29" t="e">
        <f>IF(#REF!&lt;&gt;"N/A",Priority!$C69,"")</f>
        <v>#REF!</v>
      </c>
      <c r="L69" s="31"/>
      <c r="M69" s="29" t="e">
        <f>IF(#REF!&lt;&gt;"N/A",Priority!$C69,"")</f>
        <v>#REF!</v>
      </c>
      <c r="N69" s="29" t="e">
        <f>IF(#REF!&lt;&gt;"N/A",Priority!$C69,"")</f>
        <v>#REF!</v>
      </c>
      <c r="O69" s="29" t="e">
        <f>IF(#REF!&lt;&gt;"N/A",Priority!$C69,"")</f>
        <v>#REF!</v>
      </c>
      <c r="P69" s="29" t="e">
        <f>IF(#REF!&lt;&gt;"N/A",Priority!$C69,"")</f>
        <v>#REF!</v>
      </c>
      <c r="Q69" s="29" t="e">
        <f>IF(#REF!&lt;&gt;"N/A",Priority!$C69,"")</f>
        <v>#REF!</v>
      </c>
      <c r="R69" s="31"/>
      <c r="S69" s="29" t="e">
        <f>IF(#REF!&lt;&gt;"N/A",Priority!$C69,"")</f>
        <v>#REF!</v>
      </c>
      <c r="T69" s="29" t="e">
        <f>IF(#REF!&lt;&gt;"N/A",Priority!$C69,"")</f>
        <v>#REF!</v>
      </c>
      <c r="U69" s="29" t="e">
        <f>IF(#REF!&lt;&gt;"N/A",Priority!$C69,"")</f>
        <v>#REF!</v>
      </c>
      <c r="V69" s="29" t="e">
        <f>IF(#REF!&lt;&gt;"N/A",Priority!$C69,"")</f>
        <v>#REF!</v>
      </c>
      <c r="W69" s="29" t="e">
        <f>IF(#REF!&lt;&gt;"N/A",Priority!$C69,"")</f>
        <v>#REF!</v>
      </c>
      <c r="X69" s="29" t="e">
        <f>IF(#REF!&lt;&gt;"N/A",Priority!$C69,"")</f>
        <v>#REF!</v>
      </c>
      <c r="Y69" s="31"/>
      <c r="Z69" s="29" t="e">
        <f>IF(#REF!&lt;&gt;"N/A",Priority!$C69,"")</f>
        <v>#REF!</v>
      </c>
      <c r="AA69" s="29" t="e">
        <f>IF(#REF!&lt;&gt;"N/A",Priority!$C69,"")</f>
        <v>#REF!</v>
      </c>
      <c r="AB69" s="29" t="e">
        <f>IF(#REF!&lt;&gt;"N/A",Priority!$C69,"")</f>
        <v>#REF!</v>
      </c>
      <c r="AC69" s="29" t="e">
        <f>IF(#REF!&lt;&gt;"N/A",Priority!$C69,"")</f>
        <v>#REF!</v>
      </c>
      <c r="AD69" s="29" t="e">
        <f>IF(#REF!&lt;&gt;"N/A",Priority!$C69,"")</f>
        <v>#REF!</v>
      </c>
      <c r="AE69" s="29" t="e">
        <f>IF(#REF!&lt;&gt;"N/A",Priority!$C69,"")</f>
        <v>#REF!</v>
      </c>
      <c r="AF69" s="29" t="e">
        <f>IF(#REF!&lt;&gt;"N/A",Priority!$C69,"")</f>
        <v>#REF!</v>
      </c>
      <c r="AG69" s="29" t="e">
        <f>IF(#REF!&lt;&gt;"N/A",Priority!$C69,"")</f>
        <v>#REF!</v>
      </c>
      <c r="AH69" s="29" t="e">
        <f>IF(#REF!&lt;&gt;"N/A",Priority!$C69,"")</f>
        <v>#REF!</v>
      </c>
      <c r="AI69" s="29" t="e">
        <f>IF(#REF!&lt;&gt;"N/A",Priority!$C69,"")</f>
        <v>#REF!</v>
      </c>
      <c r="AJ69" s="31"/>
      <c r="AK69" s="29" t="e">
        <f>IF(#REF!&lt;&gt;"N/A",Priority!$C69,"")</f>
        <v>#REF!</v>
      </c>
      <c r="AL69" s="29" t="e">
        <f>IF(#REF!&lt;&gt;"N/A",Priority!$C69,"")</f>
        <v>#REF!</v>
      </c>
      <c r="AM69" s="29" t="e">
        <f>IF(#REF!&lt;&gt;"N/A",Priority!$C69,"")</f>
        <v>#REF!</v>
      </c>
      <c r="AN69" s="29" t="e">
        <f>IF(#REF!&lt;&gt;"N/A",Priority!$C69,"")</f>
        <v>#REF!</v>
      </c>
      <c r="AO69" s="29" t="e">
        <f>IF(#REF!&lt;&gt;"N/A",Priority!$C69,"")</f>
        <v>#REF!</v>
      </c>
      <c r="AP69" s="29" t="e">
        <f>IF(#REF!&lt;&gt;"N/A",Priority!$C69,"")</f>
        <v>#REF!</v>
      </c>
      <c r="AQ69" s="29" t="e">
        <f>IF(#REF!&lt;&gt;"N/A",Priority!$C69,"")</f>
        <v>#REF!</v>
      </c>
      <c r="AR69" s="29" t="e">
        <f>IF(#REF!&lt;&gt;"N/A",Priority!$C69,"")</f>
        <v>#REF!</v>
      </c>
      <c r="AS69" s="29" t="e">
        <f>IF(#REF!&lt;&gt;"N/A",Priority!$C69,"")</f>
        <v>#REF!</v>
      </c>
      <c r="AT69" s="29" t="e">
        <f>IF(#REF!&lt;&gt;"N/A",Priority!$C69,"")</f>
        <v>#REF!</v>
      </c>
      <c r="AU69" s="31"/>
      <c r="AV69" s="29" t="e">
        <f>IF(#REF!&lt;&gt;"N/A",Priority!$C69,"")</f>
        <v>#REF!</v>
      </c>
      <c r="AW69" s="29" t="e">
        <f>IF(#REF!&lt;&gt;"N/A",Priority!$C69,"")</f>
        <v>#REF!</v>
      </c>
      <c r="AX69" s="29" t="e">
        <f>IF(#REF!&lt;&gt;"N/A",Priority!$C69,"")</f>
        <v>#REF!</v>
      </c>
      <c r="AY69" s="29" t="e">
        <f>IF(#REF!&lt;&gt;"N/A",Priority!$C69,"")</f>
        <v>#REF!</v>
      </c>
      <c r="AZ69" s="29" t="e">
        <f>IF(#REF!&lt;&gt;"N/A",Priority!$C69,"")</f>
        <v>#REF!</v>
      </c>
      <c r="BA69" s="29" t="e">
        <f>IF(#REF!&lt;&gt;"N/A",Priority!$C69,"")</f>
        <v>#REF!</v>
      </c>
      <c r="BB69" s="29" t="e">
        <f>IF(#REF!&lt;&gt;"N/A",Priority!$C69,"")</f>
        <v>#REF!</v>
      </c>
      <c r="BC69" s="31"/>
      <c r="BD69" s="29" t="e">
        <f>IF(#REF!&lt;&gt;"N/A",Priority!$C69,"")</f>
        <v>#REF!</v>
      </c>
      <c r="BE69" s="29" t="e">
        <f>IF(#REF!&lt;&gt;"N/A",Priority!$C69,"")</f>
        <v>#REF!</v>
      </c>
      <c r="BF69" s="29" t="e">
        <f>IF(#REF!&lt;&gt;"N/A",Priority!$C69,"")</f>
        <v>#REF!</v>
      </c>
      <c r="BG69" s="29" t="e">
        <f>IF(#REF!&lt;&gt;"N/A",Priority!$C69,"")</f>
        <v>#REF!</v>
      </c>
      <c r="BH69" s="29" t="e">
        <f>IF(#REF!&lt;&gt;"N/A",Priority!$C69,"")</f>
        <v>#REF!</v>
      </c>
      <c r="BI69" s="29" t="e">
        <f>IF(#REF!&lt;&gt;"N/A",Priority!$C69,"")</f>
        <v>#REF!</v>
      </c>
      <c r="BJ69" s="29" t="e">
        <f>IF(#REF!&lt;&gt;"N/A",Priority!$C69,"")</f>
        <v>#REF!</v>
      </c>
      <c r="BK69" s="29" t="e">
        <f>IF(#REF!&lt;&gt;"N/A",Priority!$C69,"")</f>
        <v>#REF!</v>
      </c>
      <c r="BL69" s="29" t="e">
        <f>IF(#REF!&lt;&gt;"N/A",Priority!$C69,"")</f>
        <v>#REF!</v>
      </c>
      <c r="BM69" s="31"/>
      <c r="BN69" s="29" t="e">
        <f>IF(#REF!&lt;&gt;"N/A",Priority!$C69,"")</f>
        <v>#REF!</v>
      </c>
      <c r="BO69" s="29" t="e">
        <f>IF(#REF!&lt;&gt;"N/A",Priority!$C69,"")</f>
        <v>#REF!</v>
      </c>
      <c r="BP69" s="29" t="e">
        <f>IF(#REF!&lt;&gt;"N/A",Priority!$C69,"")</f>
        <v>#REF!</v>
      </c>
      <c r="BQ69" s="29" t="e">
        <f>IF(#REF!&lt;&gt;"N/A",Priority!$C69,"")</f>
        <v>#REF!</v>
      </c>
      <c r="BR69" s="29" t="e">
        <f>IF(#REF!&lt;&gt;"N/A",Priority!$C69,"")</f>
        <v>#REF!</v>
      </c>
      <c r="BS69" s="29" t="e">
        <f>IF(#REF!&lt;&gt;"N/A",Priority!$C69,"")</f>
        <v>#REF!</v>
      </c>
      <c r="BT69" s="29" t="e">
        <f>IF(#REF!&lt;&gt;"N/A",Priority!$C69,"")</f>
        <v>#REF!</v>
      </c>
      <c r="BU69" s="31"/>
      <c r="BV69" s="29" t="e">
        <f>IF(#REF!&lt;&gt;"N/A",Priority!$C69,"")</f>
        <v>#REF!</v>
      </c>
      <c r="BW69" s="29" t="e">
        <f>IF(#REF!&lt;&gt;"N/A",Priority!$C69,"")</f>
        <v>#REF!</v>
      </c>
      <c r="BX69" s="29" t="e">
        <f>IF(#REF!&lt;&gt;"N/A",Priority!$C69,"")</f>
        <v>#REF!</v>
      </c>
      <c r="BY69" s="29" t="e">
        <f>IF(#REF!&lt;&gt;"N/A",Priority!$C69,"")</f>
        <v>#REF!</v>
      </c>
      <c r="BZ69" s="29" t="e">
        <f>IF(#REF!&lt;&gt;"N/A",Priority!$C69,"")</f>
        <v>#REF!</v>
      </c>
      <c r="CA69" s="29" t="e">
        <f>IF(#REF!&lt;&gt;"N/A",Priority!$C69,"")</f>
        <v>#REF!</v>
      </c>
      <c r="CB69" s="31"/>
      <c r="CC69" s="29" t="e">
        <f>IF(#REF!&lt;&gt;"N/A",Priority!$C69,"")</f>
        <v>#REF!</v>
      </c>
      <c r="CD69" s="29" t="e">
        <f>IF(#REF!&lt;&gt;"N/A",Priority!$C69,"")</f>
        <v>#REF!</v>
      </c>
      <c r="CE69" s="29" t="e">
        <f>IF(#REF!&lt;&gt;"N/A",Priority!$C69,"")</f>
        <v>#REF!</v>
      </c>
      <c r="CF69" s="29" t="e">
        <f>IF(#REF!&lt;&gt;"N/A",Priority!$C69,"")</f>
        <v>#REF!</v>
      </c>
    </row>
    <row r="70" spans="1:84" ht="30">
      <c r="A70" s="15" t="e">
        <f>#REF!</f>
        <v>#REF!</v>
      </c>
      <c r="B70" s="15" t="e">
        <f>#REF!</f>
        <v>#REF!</v>
      </c>
      <c r="C70" s="15" t="e">
        <f>#REF!</f>
        <v>#REF!</v>
      </c>
      <c r="D70" s="28" t="s">
        <v>181</v>
      </c>
      <c r="E70" s="30" t="str">
        <f t="shared" si="13"/>
        <v>Pending</v>
      </c>
      <c r="F70" s="30" t="str">
        <f t="shared" si="14"/>
        <v>Pass:  0     /Accept:  0/     Fail:  0/     NT:  0</v>
      </c>
      <c r="G70" s="29" t="e">
        <f>IF(#REF!&lt;&gt;"N/A",Priority!$C70,"")</f>
        <v>#REF!</v>
      </c>
      <c r="H70" s="29" t="e">
        <f>IF(#REF!&lt;&gt;"N/A",Priority!$C70,"")</f>
        <v>#REF!</v>
      </c>
      <c r="I70" s="29" t="e">
        <f>IF(#REF!&lt;&gt;"N/A",Priority!$C70,"")</f>
        <v>#REF!</v>
      </c>
      <c r="J70" s="29" t="e">
        <f>IF(#REF!&lt;&gt;"N/A",Priority!$C70,"")</f>
        <v>#REF!</v>
      </c>
      <c r="K70" s="29" t="e">
        <f>IF(#REF!&lt;&gt;"N/A",Priority!$C70,"")</f>
        <v>#REF!</v>
      </c>
      <c r="L70" s="31"/>
      <c r="M70" s="29" t="e">
        <f>IF(#REF!&lt;&gt;"N/A",Priority!$C70,"")</f>
        <v>#REF!</v>
      </c>
      <c r="N70" s="29" t="e">
        <f>IF(#REF!&lt;&gt;"N/A",Priority!$C70,"")</f>
        <v>#REF!</v>
      </c>
      <c r="O70" s="29" t="e">
        <f>IF(#REF!&lt;&gt;"N/A",Priority!$C70,"")</f>
        <v>#REF!</v>
      </c>
      <c r="P70" s="29" t="e">
        <f>IF(#REF!&lt;&gt;"N/A",Priority!$C70,"")</f>
        <v>#REF!</v>
      </c>
      <c r="Q70" s="29" t="e">
        <f>IF(#REF!&lt;&gt;"N/A",Priority!$C70,"")</f>
        <v>#REF!</v>
      </c>
      <c r="R70" s="31"/>
      <c r="S70" s="29" t="e">
        <f>IF(#REF!&lt;&gt;"N/A",Priority!$C70,"")</f>
        <v>#REF!</v>
      </c>
      <c r="T70" s="29" t="e">
        <f>IF(#REF!&lt;&gt;"N/A",Priority!$C70,"")</f>
        <v>#REF!</v>
      </c>
      <c r="U70" s="29" t="e">
        <f>IF(#REF!&lt;&gt;"N/A",Priority!$C70,"")</f>
        <v>#REF!</v>
      </c>
      <c r="V70" s="29" t="e">
        <f>IF(#REF!&lt;&gt;"N/A",Priority!$C70,"")</f>
        <v>#REF!</v>
      </c>
      <c r="W70" s="29" t="e">
        <f>IF(#REF!&lt;&gt;"N/A",Priority!$C70,"")</f>
        <v>#REF!</v>
      </c>
      <c r="X70" s="29" t="e">
        <f>IF(#REF!&lt;&gt;"N/A",Priority!$C70,"")</f>
        <v>#REF!</v>
      </c>
      <c r="Y70" s="31"/>
      <c r="Z70" s="29" t="e">
        <f>IF(#REF!&lt;&gt;"N/A",Priority!$C70,"")</f>
        <v>#REF!</v>
      </c>
      <c r="AA70" s="29" t="e">
        <f>IF(#REF!&lt;&gt;"N/A",Priority!$C70,"")</f>
        <v>#REF!</v>
      </c>
      <c r="AB70" s="29" t="e">
        <f>IF(#REF!&lt;&gt;"N/A",Priority!$C70,"")</f>
        <v>#REF!</v>
      </c>
      <c r="AC70" s="29" t="e">
        <f>IF(#REF!&lt;&gt;"N/A",Priority!$C70,"")</f>
        <v>#REF!</v>
      </c>
      <c r="AD70" s="29" t="e">
        <f>IF(#REF!&lt;&gt;"N/A",Priority!$C70,"")</f>
        <v>#REF!</v>
      </c>
      <c r="AE70" s="29" t="e">
        <f>IF(#REF!&lt;&gt;"N/A",Priority!$C70,"")</f>
        <v>#REF!</v>
      </c>
      <c r="AF70" s="29" t="e">
        <f>IF(#REF!&lt;&gt;"N/A",Priority!$C70,"")</f>
        <v>#REF!</v>
      </c>
      <c r="AG70" s="29" t="e">
        <f>IF(#REF!&lt;&gt;"N/A",Priority!$C70,"")</f>
        <v>#REF!</v>
      </c>
      <c r="AH70" s="29" t="e">
        <f>IF(#REF!&lt;&gt;"N/A",Priority!$C70,"")</f>
        <v>#REF!</v>
      </c>
      <c r="AI70" s="29" t="e">
        <f>IF(#REF!&lt;&gt;"N/A",Priority!$C70,"")</f>
        <v>#REF!</v>
      </c>
      <c r="AJ70" s="31"/>
      <c r="AK70" s="29" t="e">
        <f>IF(#REF!&lt;&gt;"N/A",Priority!$C70,"")</f>
        <v>#REF!</v>
      </c>
      <c r="AL70" s="29" t="e">
        <f>IF(#REF!&lt;&gt;"N/A",Priority!$C70,"")</f>
        <v>#REF!</v>
      </c>
      <c r="AM70" s="29" t="e">
        <f>IF(#REF!&lt;&gt;"N/A",Priority!$C70,"")</f>
        <v>#REF!</v>
      </c>
      <c r="AN70" s="29" t="e">
        <f>IF(#REF!&lt;&gt;"N/A",Priority!$C70,"")</f>
        <v>#REF!</v>
      </c>
      <c r="AO70" s="29" t="e">
        <f>IF(#REF!&lt;&gt;"N/A",Priority!$C70,"")</f>
        <v>#REF!</v>
      </c>
      <c r="AP70" s="29" t="e">
        <f>IF(#REF!&lt;&gt;"N/A",Priority!$C70,"")</f>
        <v>#REF!</v>
      </c>
      <c r="AQ70" s="29" t="e">
        <f>IF(#REF!&lt;&gt;"N/A",Priority!$C70,"")</f>
        <v>#REF!</v>
      </c>
      <c r="AR70" s="29" t="e">
        <f>IF(#REF!&lt;&gt;"N/A",Priority!$C70,"")</f>
        <v>#REF!</v>
      </c>
      <c r="AS70" s="29" t="e">
        <f>IF(#REF!&lt;&gt;"N/A",Priority!$C70,"")</f>
        <v>#REF!</v>
      </c>
      <c r="AT70" s="29" t="e">
        <f>IF(#REF!&lt;&gt;"N/A",Priority!$C70,"")</f>
        <v>#REF!</v>
      </c>
      <c r="AU70" s="31"/>
      <c r="AV70" s="29" t="e">
        <f>IF(#REF!&lt;&gt;"N/A",Priority!$C70,"")</f>
        <v>#REF!</v>
      </c>
      <c r="AW70" s="29" t="e">
        <f>IF(#REF!&lt;&gt;"N/A",Priority!$C70,"")</f>
        <v>#REF!</v>
      </c>
      <c r="AX70" s="29" t="e">
        <f>IF(#REF!&lt;&gt;"N/A",Priority!$C70,"")</f>
        <v>#REF!</v>
      </c>
      <c r="AY70" s="29" t="e">
        <f>IF(#REF!&lt;&gt;"N/A",Priority!$C70,"")</f>
        <v>#REF!</v>
      </c>
      <c r="AZ70" s="29" t="e">
        <f>IF(#REF!&lt;&gt;"N/A",Priority!$C70,"")</f>
        <v>#REF!</v>
      </c>
      <c r="BA70" s="29" t="e">
        <f>IF(#REF!&lt;&gt;"N/A",Priority!$C70,"")</f>
        <v>#REF!</v>
      </c>
      <c r="BB70" s="29" t="e">
        <f>IF(#REF!&lt;&gt;"N/A",Priority!$C70,"")</f>
        <v>#REF!</v>
      </c>
      <c r="BC70" s="31"/>
      <c r="BD70" s="29" t="e">
        <f>IF(#REF!&lt;&gt;"N/A",Priority!$C70,"")</f>
        <v>#REF!</v>
      </c>
      <c r="BE70" s="29" t="e">
        <f>IF(#REF!&lt;&gt;"N/A",Priority!$C70,"")</f>
        <v>#REF!</v>
      </c>
      <c r="BF70" s="29" t="e">
        <f>IF(#REF!&lt;&gt;"N/A",Priority!$C70,"")</f>
        <v>#REF!</v>
      </c>
      <c r="BG70" s="29" t="e">
        <f>IF(#REF!&lt;&gt;"N/A",Priority!$C70,"")</f>
        <v>#REF!</v>
      </c>
      <c r="BH70" s="29" t="e">
        <f>IF(#REF!&lt;&gt;"N/A",Priority!$C70,"")</f>
        <v>#REF!</v>
      </c>
      <c r="BI70" s="29" t="e">
        <f>IF(#REF!&lt;&gt;"N/A",Priority!$C70,"")</f>
        <v>#REF!</v>
      </c>
      <c r="BJ70" s="29" t="e">
        <f>IF(#REF!&lt;&gt;"N/A",Priority!$C70,"")</f>
        <v>#REF!</v>
      </c>
      <c r="BK70" s="29" t="e">
        <f>IF(#REF!&lt;&gt;"N/A",Priority!$C70,"")</f>
        <v>#REF!</v>
      </c>
      <c r="BL70" s="29" t="e">
        <f>IF(#REF!&lt;&gt;"N/A",Priority!$C70,"")</f>
        <v>#REF!</v>
      </c>
      <c r="BM70" s="31"/>
      <c r="BN70" s="29" t="e">
        <f>IF(#REF!&lt;&gt;"N/A",Priority!$C70,"")</f>
        <v>#REF!</v>
      </c>
      <c r="BO70" s="29" t="e">
        <f>IF(#REF!&lt;&gt;"N/A",Priority!$C70,"")</f>
        <v>#REF!</v>
      </c>
      <c r="BP70" s="29" t="e">
        <f>IF(#REF!&lt;&gt;"N/A",Priority!$C70,"")</f>
        <v>#REF!</v>
      </c>
      <c r="BQ70" s="29" t="e">
        <f>IF(#REF!&lt;&gt;"N/A",Priority!$C70,"")</f>
        <v>#REF!</v>
      </c>
      <c r="BR70" s="29" t="e">
        <f>IF(#REF!&lt;&gt;"N/A",Priority!$C70,"")</f>
        <v>#REF!</v>
      </c>
      <c r="BS70" s="29" t="e">
        <f>IF(#REF!&lt;&gt;"N/A",Priority!$C70,"")</f>
        <v>#REF!</v>
      </c>
      <c r="BT70" s="29" t="e">
        <f>IF(#REF!&lt;&gt;"N/A",Priority!$C70,"")</f>
        <v>#REF!</v>
      </c>
      <c r="BU70" s="31"/>
      <c r="BV70" s="29" t="e">
        <f>IF(#REF!&lt;&gt;"N/A",Priority!$C70,"")</f>
        <v>#REF!</v>
      </c>
      <c r="BW70" s="29" t="e">
        <f>IF(#REF!&lt;&gt;"N/A",Priority!$C70,"")</f>
        <v>#REF!</v>
      </c>
      <c r="BX70" s="29" t="e">
        <f>IF(#REF!&lt;&gt;"N/A",Priority!$C70,"")</f>
        <v>#REF!</v>
      </c>
      <c r="BY70" s="29" t="e">
        <f>IF(#REF!&lt;&gt;"N/A",Priority!$C70,"")</f>
        <v>#REF!</v>
      </c>
      <c r="BZ70" s="29" t="e">
        <f>IF(#REF!&lt;&gt;"N/A",Priority!$C70,"")</f>
        <v>#REF!</v>
      </c>
      <c r="CA70" s="29" t="e">
        <f>IF(#REF!&lt;&gt;"N/A",Priority!$C70,"")</f>
        <v>#REF!</v>
      </c>
      <c r="CB70" s="31"/>
      <c r="CC70" s="29" t="e">
        <f>IF(#REF!&lt;&gt;"N/A",Priority!$C70,"")</f>
        <v>#REF!</v>
      </c>
      <c r="CD70" s="29" t="e">
        <f>IF(#REF!&lt;&gt;"N/A",Priority!$C70,"")</f>
        <v>#REF!</v>
      </c>
      <c r="CE70" s="29" t="e">
        <f>IF(#REF!&lt;&gt;"N/A",Priority!$C70,"")</f>
        <v>#REF!</v>
      </c>
      <c r="CF70" s="29" t="e">
        <f>IF(#REF!&lt;&gt;"N/A",Priority!$C70,"")</f>
        <v>#REF!</v>
      </c>
    </row>
    <row r="71" spans="1:84" ht="30">
      <c r="A71" s="15" t="e">
        <f>#REF!</f>
        <v>#REF!</v>
      </c>
      <c r="B71" s="15" t="e">
        <f>#REF!</f>
        <v>#REF!</v>
      </c>
      <c r="C71" s="15" t="e">
        <f>#REF!</f>
        <v>#REF!</v>
      </c>
      <c r="D71" s="22" t="s">
        <v>179</v>
      </c>
      <c r="E71" s="30" t="str">
        <f t="shared" si="13"/>
        <v>Pending</v>
      </c>
      <c r="F71" s="30" t="str">
        <f t="shared" si="14"/>
        <v>Pass:  0     /Accept:  0/     Fail:  0/     NT:  0</v>
      </c>
      <c r="G71" s="29" t="e">
        <f>IF(#REF!&lt;&gt;"N/A",Priority!$C71,"")</f>
        <v>#REF!</v>
      </c>
      <c r="H71" s="29" t="e">
        <f>IF(#REF!&lt;&gt;"N/A",Priority!$C71,"")</f>
        <v>#REF!</v>
      </c>
      <c r="I71" s="29" t="e">
        <f>IF(#REF!&lt;&gt;"N/A",Priority!$C71,"")</f>
        <v>#REF!</v>
      </c>
      <c r="J71" s="29" t="e">
        <f>IF(#REF!&lt;&gt;"N/A",Priority!$C71,"")</f>
        <v>#REF!</v>
      </c>
      <c r="K71" s="29" t="e">
        <f>IF(#REF!&lt;&gt;"N/A",Priority!$C71,"")</f>
        <v>#REF!</v>
      </c>
      <c r="L71" s="31"/>
      <c r="M71" s="29" t="e">
        <f>IF(#REF!&lt;&gt;"N/A",Priority!$C71,"")</f>
        <v>#REF!</v>
      </c>
      <c r="N71" s="29" t="e">
        <f>IF(#REF!&lt;&gt;"N/A",Priority!$C71,"")</f>
        <v>#REF!</v>
      </c>
      <c r="O71" s="29" t="e">
        <f>IF(#REF!&lt;&gt;"N/A",Priority!$C71,"")</f>
        <v>#REF!</v>
      </c>
      <c r="P71" s="29" t="e">
        <f>IF(#REF!&lt;&gt;"N/A",Priority!$C71,"")</f>
        <v>#REF!</v>
      </c>
      <c r="Q71" s="29" t="e">
        <f>IF(#REF!&lt;&gt;"N/A",Priority!$C71,"")</f>
        <v>#REF!</v>
      </c>
      <c r="R71" s="31"/>
      <c r="S71" s="29" t="e">
        <f>IF(#REF!&lt;&gt;"N/A",Priority!$C71,"")</f>
        <v>#REF!</v>
      </c>
      <c r="T71" s="29" t="e">
        <f>IF(#REF!&lt;&gt;"N/A",Priority!$C71,"")</f>
        <v>#REF!</v>
      </c>
      <c r="U71" s="29" t="e">
        <f>IF(#REF!&lt;&gt;"N/A",Priority!$C71,"")</f>
        <v>#REF!</v>
      </c>
      <c r="V71" s="29" t="e">
        <f>IF(#REF!&lt;&gt;"N/A",Priority!$C71,"")</f>
        <v>#REF!</v>
      </c>
      <c r="W71" s="29" t="e">
        <f>IF(#REF!&lt;&gt;"N/A",Priority!$C71,"")</f>
        <v>#REF!</v>
      </c>
      <c r="X71" s="29" t="e">
        <f>IF(#REF!&lt;&gt;"N/A",Priority!$C71,"")</f>
        <v>#REF!</v>
      </c>
      <c r="Y71" s="31"/>
      <c r="Z71" s="29" t="e">
        <f>IF(#REF!&lt;&gt;"N/A",Priority!$C71,"")</f>
        <v>#REF!</v>
      </c>
      <c r="AA71" s="29" t="e">
        <f>IF(#REF!&lt;&gt;"N/A",Priority!$C71,"")</f>
        <v>#REF!</v>
      </c>
      <c r="AB71" s="29" t="e">
        <f>IF(#REF!&lt;&gt;"N/A",Priority!$C71,"")</f>
        <v>#REF!</v>
      </c>
      <c r="AC71" s="29" t="e">
        <f>IF(#REF!&lt;&gt;"N/A",Priority!$C71,"")</f>
        <v>#REF!</v>
      </c>
      <c r="AD71" s="29" t="e">
        <f>IF(#REF!&lt;&gt;"N/A",Priority!$C71,"")</f>
        <v>#REF!</v>
      </c>
      <c r="AE71" s="29" t="e">
        <f>IF(#REF!&lt;&gt;"N/A",Priority!$C71,"")</f>
        <v>#REF!</v>
      </c>
      <c r="AF71" s="29" t="e">
        <f>IF(#REF!&lt;&gt;"N/A",Priority!$C71,"")</f>
        <v>#REF!</v>
      </c>
      <c r="AG71" s="29" t="e">
        <f>IF(#REF!&lt;&gt;"N/A",Priority!$C71,"")</f>
        <v>#REF!</v>
      </c>
      <c r="AH71" s="29" t="e">
        <f>IF(#REF!&lt;&gt;"N/A",Priority!$C71,"")</f>
        <v>#REF!</v>
      </c>
      <c r="AI71" s="29" t="e">
        <f>IF(#REF!&lt;&gt;"N/A",Priority!$C71,"")</f>
        <v>#REF!</v>
      </c>
      <c r="AJ71" s="31"/>
      <c r="AK71" s="29" t="e">
        <f>IF(#REF!&lt;&gt;"N/A",Priority!$C71,"")</f>
        <v>#REF!</v>
      </c>
      <c r="AL71" s="29" t="e">
        <f>IF(#REF!&lt;&gt;"N/A",Priority!$C71,"")</f>
        <v>#REF!</v>
      </c>
      <c r="AM71" s="29" t="e">
        <f>IF(#REF!&lt;&gt;"N/A",Priority!$C71,"")</f>
        <v>#REF!</v>
      </c>
      <c r="AN71" s="29" t="e">
        <f>IF(#REF!&lt;&gt;"N/A",Priority!$C71,"")</f>
        <v>#REF!</v>
      </c>
      <c r="AO71" s="29" t="e">
        <f>IF(#REF!&lt;&gt;"N/A",Priority!$C71,"")</f>
        <v>#REF!</v>
      </c>
      <c r="AP71" s="29" t="e">
        <f>IF(#REF!&lt;&gt;"N/A",Priority!$C71,"")</f>
        <v>#REF!</v>
      </c>
      <c r="AQ71" s="29" t="e">
        <f>IF(#REF!&lt;&gt;"N/A",Priority!$C71,"")</f>
        <v>#REF!</v>
      </c>
      <c r="AR71" s="29" t="e">
        <f>IF(#REF!&lt;&gt;"N/A",Priority!$C71,"")</f>
        <v>#REF!</v>
      </c>
      <c r="AS71" s="29" t="e">
        <f>IF(#REF!&lt;&gt;"N/A",Priority!$C71,"")</f>
        <v>#REF!</v>
      </c>
      <c r="AT71" s="29" t="e">
        <f>IF(#REF!&lt;&gt;"N/A",Priority!$C71,"")</f>
        <v>#REF!</v>
      </c>
      <c r="AU71" s="31"/>
      <c r="AV71" s="29" t="e">
        <f>IF(#REF!&lt;&gt;"N/A",Priority!$C71,"")</f>
        <v>#REF!</v>
      </c>
      <c r="AW71" s="29" t="e">
        <f>IF(#REF!&lt;&gt;"N/A",Priority!$C71,"")</f>
        <v>#REF!</v>
      </c>
      <c r="AX71" s="29" t="e">
        <f>IF(#REF!&lt;&gt;"N/A",Priority!$C71,"")</f>
        <v>#REF!</v>
      </c>
      <c r="AY71" s="29" t="e">
        <f>IF(#REF!&lt;&gt;"N/A",Priority!$C71,"")</f>
        <v>#REF!</v>
      </c>
      <c r="AZ71" s="29" t="e">
        <f>IF(#REF!&lt;&gt;"N/A",Priority!$C71,"")</f>
        <v>#REF!</v>
      </c>
      <c r="BA71" s="29" t="e">
        <f>IF(#REF!&lt;&gt;"N/A",Priority!$C71,"")</f>
        <v>#REF!</v>
      </c>
      <c r="BB71" s="29" t="e">
        <f>IF(#REF!&lt;&gt;"N/A",Priority!$C71,"")</f>
        <v>#REF!</v>
      </c>
      <c r="BC71" s="31"/>
      <c r="BD71" s="29" t="e">
        <f>IF(#REF!&lt;&gt;"N/A",Priority!$C71,"")</f>
        <v>#REF!</v>
      </c>
      <c r="BE71" s="29" t="e">
        <f>IF(#REF!&lt;&gt;"N/A",Priority!$C71,"")</f>
        <v>#REF!</v>
      </c>
      <c r="BF71" s="29" t="e">
        <f>IF(#REF!&lt;&gt;"N/A",Priority!$C71,"")</f>
        <v>#REF!</v>
      </c>
      <c r="BG71" s="29" t="e">
        <f>IF(#REF!&lt;&gt;"N/A",Priority!$C71,"")</f>
        <v>#REF!</v>
      </c>
      <c r="BH71" s="29" t="e">
        <f>IF(#REF!&lt;&gt;"N/A",Priority!$C71,"")</f>
        <v>#REF!</v>
      </c>
      <c r="BI71" s="29" t="e">
        <f>IF(#REF!&lt;&gt;"N/A",Priority!$C71,"")</f>
        <v>#REF!</v>
      </c>
      <c r="BJ71" s="29" t="e">
        <f>IF(#REF!&lt;&gt;"N/A",Priority!$C71,"")</f>
        <v>#REF!</v>
      </c>
      <c r="BK71" s="29" t="e">
        <f>IF(#REF!&lt;&gt;"N/A",Priority!$C71,"")</f>
        <v>#REF!</v>
      </c>
      <c r="BL71" s="29" t="e">
        <f>IF(#REF!&lt;&gt;"N/A",Priority!$C71,"")</f>
        <v>#REF!</v>
      </c>
      <c r="BM71" s="31"/>
      <c r="BN71" s="29" t="e">
        <f>IF(#REF!&lt;&gt;"N/A",Priority!$C71,"")</f>
        <v>#REF!</v>
      </c>
      <c r="BO71" s="29" t="e">
        <f>IF(#REF!&lt;&gt;"N/A",Priority!$C71,"")</f>
        <v>#REF!</v>
      </c>
      <c r="BP71" s="29" t="e">
        <f>IF(#REF!&lt;&gt;"N/A",Priority!$C71,"")</f>
        <v>#REF!</v>
      </c>
      <c r="BQ71" s="29" t="e">
        <f>IF(#REF!&lt;&gt;"N/A",Priority!$C71,"")</f>
        <v>#REF!</v>
      </c>
      <c r="BR71" s="29" t="e">
        <f>IF(#REF!&lt;&gt;"N/A",Priority!$C71,"")</f>
        <v>#REF!</v>
      </c>
      <c r="BS71" s="29" t="e">
        <f>IF(#REF!&lt;&gt;"N/A",Priority!$C71,"")</f>
        <v>#REF!</v>
      </c>
      <c r="BT71" s="29" t="e">
        <f>IF(#REF!&lt;&gt;"N/A",Priority!$C71,"")</f>
        <v>#REF!</v>
      </c>
      <c r="BU71" s="31"/>
      <c r="BV71" s="29" t="e">
        <f>IF(#REF!&lt;&gt;"N/A",Priority!$C71,"")</f>
        <v>#REF!</v>
      </c>
      <c r="BW71" s="29" t="e">
        <f>IF(#REF!&lt;&gt;"N/A",Priority!$C71,"")</f>
        <v>#REF!</v>
      </c>
      <c r="BX71" s="29" t="e">
        <f>IF(#REF!&lt;&gt;"N/A",Priority!$C71,"")</f>
        <v>#REF!</v>
      </c>
      <c r="BY71" s="29" t="e">
        <f>IF(#REF!&lt;&gt;"N/A",Priority!$C71,"")</f>
        <v>#REF!</v>
      </c>
      <c r="BZ71" s="29" t="e">
        <f>IF(#REF!&lt;&gt;"N/A",Priority!$C71,"")</f>
        <v>#REF!</v>
      </c>
      <c r="CA71" s="29" t="e">
        <f>IF(#REF!&lt;&gt;"N/A",Priority!$C71,"")</f>
        <v>#REF!</v>
      </c>
      <c r="CB71" s="31"/>
      <c r="CC71" s="29" t="e">
        <f>IF(#REF!&lt;&gt;"N/A",Priority!$C71,"")</f>
        <v>#REF!</v>
      </c>
      <c r="CD71" s="29" t="e">
        <f>IF(#REF!&lt;&gt;"N/A",Priority!$C71,"")</f>
        <v>#REF!</v>
      </c>
      <c r="CE71" s="29" t="e">
        <f>IF(#REF!&lt;&gt;"N/A",Priority!$C71,"")</f>
        <v>#REF!</v>
      </c>
      <c r="CF71" s="29" t="e">
        <f>IF(#REF!&lt;&gt;"N/A",Priority!$C71,"")</f>
        <v>#REF!</v>
      </c>
    </row>
    <row r="72" spans="1:84" ht="15.75">
      <c r="A72" s="4" t="e">
        <f>#REF!</f>
        <v>#REF!</v>
      </c>
      <c r="B72" s="4" t="e">
        <f>#REF!</f>
        <v>#REF!</v>
      </c>
      <c r="C72" s="3"/>
      <c r="D72" s="19"/>
      <c r="E72" s="19"/>
      <c r="F72" s="6"/>
      <c r="G72" s="6"/>
      <c r="H72" s="6"/>
      <c r="I72" s="6"/>
      <c r="J72" s="6"/>
      <c r="K72" s="6"/>
      <c r="L72" s="34"/>
      <c r="M72" s="6"/>
      <c r="N72" s="6"/>
      <c r="O72" s="6"/>
      <c r="P72" s="6"/>
      <c r="Q72" s="6"/>
      <c r="R72" s="34"/>
      <c r="S72" s="6"/>
      <c r="T72" s="6"/>
      <c r="U72" s="6"/>
      <c r="V72" s="6"/>
      <c r="W72" s="6"/>
      <c r="X72" s="6"/>
      <c r="Y72" s="34"/>
      <c r="Z72" s="6"/>
      <c r="AA72" s="6"/>
      <c r="AB72" s="6"/>
      <c r="AC72" s="6"/>
      <c r="AD72" s="6"/>
      <c r="AE72" s="6"/>
      <c r="AF72" s="6"/>
      <c r="AG72" s="6"/>
      <c r="AH72" s="6"/>
      <c r="AI72" s="6"/>
      <c r="AJ72" s="34"/>
      <c r="AK72" s="6"/>
      <c r="AL72" s="6"/>
      <c r="AM72" s="6"/>
      <c r="AN72" s="6"/>
      <c r="AO72" s="6"/>
      <c r="AP72" s="6"/>
      <c r="AQ72" s="6"/>
      <c r="AR72" s="6"/>
      <c r="AS72" s="6"/>
      <c r="AT72" s="6"/>
      <c r="AU72" s="34"/>
      <c r="AV72" s="6"/>
      <c r="AW72" s="6"/>
      <c r="AX72" s="6"/>
      <c r="AY72" s="6"/>
      <c r="AZ72" s="6"/>
      <c r="BA72" s="6"/>
      <c r="BB72" s="6"/>
      <c r="BC72" s="34"/>
      <c r="BD72" s="6"/>
      <c r="BE72" s="6"/>
      <c r="BF72" s="6"/>
      <c r="BG72" s="6"/>
      <c r="BH72" s="6"/>
      <c r="BI72" s="6"/>
      <c r="BJ72" s="6"/>
      <c r="BK72" s="6"/>
      <c r="BL72" s="6"/>
      <c r="BM72" s="34"/>
      <c r="BN72" s="6"/>
      <c r="BO72" s="6"/>
      <c r="BP72" s="6"/>
      <c r="BQ72" s="6"/>
      <c r="BR72" s="6"/>
      <c r="BS72" s="6"/>
      <c r="BT72" s="6"/>
      <c r="BU72" s="34"/>
      <c r="BV72" s="6"/>
      <c r="BW72" s="6"/>
      <c r="BX72" s="6"/>
      <c r="BY72" s="6"/>
      <c r="BZ72" s="6"/>
      <c r="CA72" s="6"/>
      <c r="CB72" s="34"/>
      <c r="CC72" s="6"/>
      <c r="CD72" s="6"/>
      <c r="CE72" s="6"/>
      <c r="CF72" s="6"/>
    </row>
    <row r="73" spans="1:84" ht="30">
      <c r="A73" s="15" t="e">
        <f>#REF!</f>
        <v>#REF!</v>
      </c>
      <c r="B73" s="15" t="e">
        <f>#REF!</f>
        <v>#REF!</v>
      </c>
      <c r="C73" s="15" t="e">
        <f>#REF!</f>
        <v>#REF!</v>
      </c>
      <c r="D73" s="28" t="s">
        <v>177</v>
      </c>
      <c r="E73" s="30" t="str">
        <f t="shared" ref="E73:E80" si="15">IF(COUNTIFS(F73:CF73,"F")+COUNTIFS(F73:CF73,"NT")&gt;0,"In Test",IF(COUNTIFS(F73:CF73,"P")+COUNTIFS(F73:CF73,"A")&gt;0,"Pass","Pending"))</f>
        <v>Pending</v>
      </c>
      <c r="F73" s="30" t="str">
        <f t="shared" ref="F73:F80" si="16" xml:space="preserve"> "Pass:  "&amp; COUNTIFS(G73:CG73,"P")&amp;  "     /Accept:  "&amp; COUNTIFS(G73:CG73,"A")&amp;  "/     Fail:  "&amp; COUNTIFS(G73:CG73,"Fail") &amp;  "/     NT:  "&amp; COUNTIFS(G73:CG73,"NT")</f>
        <v>Pass:  0     /Accept:  0/     Fail:  0/     NT:  0</v>
      </c>
      <c r="G73" s="29" t="e">
        <f>IF(#REF!&lt;&gt;"N/A",Priority!$C73,"")</f>
        <v>#REF!</v>
      </c>
      <c r="H73" s="29" t="e">
        <f>IF(#REF!&lt;&gt;"N/A",Priority!$C73,"")</f>
        <v>#REF!</v>
      </c>
      <c r="I73" s="29" t="e">
        <f>IF(#REF!&lt;&gt;"N/A",Priority!$C73,"")</f>
        <v>#REF!</v>
      </c>
      <c r="J73" s="29" t="e">
        <f>IF(#REF!&lt;&gt;"N/A",Priority!$C73,"")</f>
        <v>#REF!</v>
      </c>
      <c r="K73" s="29" t="e">
        <f>IF(#REF!&lt;&gt;"N/A",Priority!$C73,"")</f>
        <v>#REF!</v>
      </c>
      <c r="L73" s="31"/>
      <c r="M73" s="29" t="e">
        <f>IF(#REF!&lt;&gt;"N/A",Priority!$C73,"")</f>
        <v>#REF!</v>
      </c>
      <c r="N73" s="29" t="e">
        <f>IF(#REF!&lt;&gt;"N/A",Priority!$C73,"")</f>
        <v>#REF!</v>
      </c>
      <c r="O73" s="29" t="e">
        <f>IF(#REF!&lt;&gt;"N/A",Priority!$C73,"")</f>
        <v>#REF!</v>
      </c>
      <c r="P73" s="29" t="e">
        <f>IF(#REF!&lt;&gt;"N/A",Priority!$C73,"")</f>
        <v>#REF!</v>
      </c>
      <c r="Q73" s="29" t="e">
        <f>IF(#REF!&lt;&gt;"N/A",Priority!$C73,"")</f>
        <v>#REF!</v>
      </c>
      <c r="R73" s="31"/>
      <c r="S73" s="29" t="e">
        <f>IF(#REF!&lt;&gt;"N/A",Priority!$C73,"")</f>
        <v>#REF!</v>
      </c>
      <c r="T73" s="29" t="e">
        <f>IF(#REF!&lt;&gt;"N/A",Priority!$C73,"")</f>
        <v>#REF!</v>
      </c>
      <c r="U73" s="29" t="e">
        <f>IF(#REF!&lt;&gt;"N/A",Priority!$C73,"")</f>
        <v>#REF!</v>
      </c>
      <c r="V73" s="29" t="e">
        <f>IF(#REF!&lt;&gt;"N/A",Priority!$C73,"")</f>
        <v>#REF!</v>
      </c>
      <c r="W73" s="29" t="e">
        <f>IF(#REF!&lt;&gt;"N/A",Priority!$C73,"")</f>
        <v>#REF!</v>
      </c>
      <c r="X73" s="29" t="e">
        <f>IF(#REF!&lt;&gt;"N/A",Priority!$C73,"")</f>
        <v>#REF!</v>
      </c>
      <c r="Y73" s="31"/>
      <c r="Z73" s="29" t="e">
        <f>IF(#REF!&lt;&gt;"N/A",Priority!$C73,"")</f>
        <v>#REF!</v>
      </c>
      <c r="AA73" s="29" t="e">
        <f>IF(#REF!&lt;&gt;"N/A",Priority!$C73,"")</f>
        <v>#REF!</v>
      </c>
      <c r="AB73" s="29" t="e">
        <f>IF(#REF!&lt;&gt;"N/A",Priority!$C73,"")</f>
        <v>#REF!</v>
      </c>
      <c r="AC73" s="29" t="e">
        <f>IF(#REF!&lt;&gt;"N/A",Priority!$C73,"")</f>
        <v>#REF!</v>
      </c>
      <c r="AD73" s="29" t="e">
        <f>IF(#REF!&lt;&gt;"N/A",Priority!$C73,"")</f>
        <v>#REF!</v>
      </c>
      <c r="AE73" s="29" t="e">
        <f>IF(#REF!&lt;&gt;"N/A",Priority!$C73,"")</f>
        <v>#REF!</v>
      </c>
      <c r="AF73" s="29" t="e">
        <f>IF(#REF!&lt;&gt;"N/A",Priority!$C73,"")</f>
        <v>#REF!</v>
      </c>
      <c r="AG73" s="29" t="e">
        <f>IF(#REF!&lt;&gt;"N/A",Priority!$C73,"")</f>
        <v>#REF!</v>
      </c>
      <c r="AH73" s="29" t="e">
        <f>IF(#REF!&lt;&gt;"N/A",Priority!$C73,"")</f>
        <v>#REF!</v>
      </c>
      <c r="AI73" s="29" t="e">
        <f>IF(#REF!&lt;&gt;"N/A",Priority!$C73,"")</f>
        <v>#REF!</v>
      </c>
      <c r="AJ73" s="31"/>
      <c r="AK73" s="29" t="e">
        <f>IF(#REF!&lt;&gt;"N/A",Priority!$C73,"")</f>
        <v>#REF!</v>
      </c>
      <c r="AL73" s="29" t="e">
        <f>IF(#REF!&lt;&gt;"N/A",Priority!$C73,"")</f>
        <v>#REF!</v>
      </c>
      <c r="AM73" s="29" t="e">
        <f>IF(#REF!&lt;&gt;"N/A",Priority!$C73,"")</f>
        <v>#REF!</v>
      </c>
      <c r="AN73" s="29" t="e">
        <f>IF(#REF!&lt;&gt;"N/A",Priority!$C73,"")</f>
        <v>#REF!</v>
      </c>
      <c r="AO73" s="29" t="e">
        <f>IF(#REF!&lt;&gt;"N/A",Priority!$C73,"")</f>
        <v>#REF!</v>
      </c>
      <c r="AP73" s="29" t="e">
        <f>IF(#REF!&lt;&gt;"N/A",Priority!$C73,"")</f>
        <v>#REF!</v>
      </c>
      <c r="AQ73" s="29" t="e">
        <f>IF(#REF!&lt;&gt;"N/A",Priority!$C73,"")</f>
        <v>#REF!</v>
      </c>
      <c r="AR73" s="29" t="e">
        <f>IF(#REF!&lt;&gt;"N/A",Priority!$C73,"")</f>
        <v>#REF!</v>
      </c>
      <c r="AS73" s="29" t="e">
        <f>IF(#REF!&lt;&gt;"N/A",Priority!$C73,"")</f>
        <v>#REF!</v>
      </c>
      <c r="AT73" s="29" t="e">
        <f>IF(#REF!&lt;&gt;"N/A",Priority!$C73,"")</f>
        <v>#REF!</v>
      </c>
      <c r="AU73" s="31"/>
      <c r="AV73" s="29" t="e">
        <f>IF(#REF!&lt;&gt;"N/A",Priority!$C73,"")</f>
        <v>#REF!</v>
      </c>
      <c r="AW73" s="29" t="e">
        <f>IF(#REF!&lt;&gt;"N/A",Priority!$C73,"")</f>
        <v>#REF!</v>
      </c>
      <c r="AX73" s="29" t="e">
        <f>IF(#REF!&lt;&gt;"N/A",Priority!$C73,"")</f>
        <v>#REF!</v>
      </c>
      <c r="AY73" s="29" t="e">
        <f>IF(#REF!&lt;&gt;"N/A",Priority!$C73,"")</f>
        <v>#REF!</v>
      </c>
      <c r="AZ73" s="29" t="e">
        <f>IF(#REF!&lt;&gt;"N/A",Priority!$C73,"")</f>
        <v>#REF!</v>
      </c>
      <c r="BA73" s="29" t="e">
        <f>IF(#REF!&lt;&gt;"N/A",Priority!$C73,"")</f>
        <v>#REF!</v>
      </c>
      <c r="BB73" s="29" t="e">
        <f>IF(#REF!&lt;&gt;"N/A",Priority!$C73,"")</f>
        <v>#REF!</v>
      </c>
      <c r="BC73" s="31"/>
      <c r="BD73" s="29" t="e">
        <f>IF(#REF!&lt;&gt;"N/A",Priority!$C73,"")</f>
        <v>#REF!</v>
      </c>
      <c r="BE73" s="29" t="e">
        <f>IF(#REF!&lt;&gt;"N/A",Priority!$C73,"")</f>
        <v>#REF!</v>
      </c>
      <c r="BF73" s="29" t="e">
        <f>IF(#REF!&lt;&gt;"N/A",Priority!$C73,"")</f>
        <v>#REF!</v>
      </c>
      <c r="BG73" s="29" t="e">
        <f>IF(#REF!&lt;&gt;"N/A",Priority!$C73,"")</f>
        <v>#REF!</v>
      </c>
      <c r="BH73" s="29" t="e">
        <f>IF(#REF!&lt;&gt;"N/A",Priority!$C73,"")</f>
        <v>#REF!</v>
      </c>
      <c r="BI73" s="29" t="e">
        <f>IF(#REF!&lt;&gt;"N/A",Priority!$C73,"")</f>
        <v>#REF!</v>
      </c>
      <c r="BJ73" s="29" t="e">
        <f>IF(#REF!&lt;&gt;"N/A",Priority!$C73,"")</f>
        <v>#REF!</v>
      </c>
      <c r="BK73" s="29" t="e">
        <f>IF(#REF!&lt;&gt;"N/A",Priority!$C73,"")</f>
        <v>#REF!</v>
      </c>
      <c r="BL73" s="29" t="e">
        <f>IF(#REF!&lt;&gt;"N/A",Priority!$C73,"")</f>
        <v>#REF!</v>
      </c>
      <c r="BM73" s="31"/>
      <c r="BN73" s="29" t="e">
        <f>IF(#REF!&lt;&gt;"N/A",Priority!$C73,"")</f>
        <v>#REF!</v>
      </c>
      <c r="BO73" s="29" t="e">
        <f>IF(#REF!&lt;&gt;"N/A",Priority!$C73,"")</f>
        <v>#REF!</v>
      </c>
      <c r="BP73" s="29" t="e">
        <f>IF(#REF!&lt;&gt;"N/A",Priority!$C73,"")</f>
        <v>#REF!</v>
      </c>
      <c r="BQ73" s="29" t="e">
        <f>IF(#REF!&lt;&gt;"N/A",Priority!$C73,"")</f>
        <v>#REF!</v>
      </c>
      <c r="BR73" s="29" t="e">
        <f>IF(#REF!&lt;&gt;"N/A",Priority!$C73,"")</f>
        <v>#REF!</v>
      </c>
      <c r="BS73" s="29" t="e">
        <f>IF(#REF!&lt;&gt;"N/A",Priority!$C73,"")</f>
        <v>#REF!</v>
      </c>
      <c r="BT73" s="29" t="e">
        <f>IF(#REF!&lt;&gt;"N/A",Priority!$C73,"")</f>
        <v>#REF!</v>
      </c>
      <c r="BU73" s="31"/>
      <c r="BV73" s="29" t="e">
        <f>IF(#REF!&lt;&gt;"N/A",Priority!$C73,"")</f>
        <v>#REF!</v>
      </c>
      <c r="BW73" s="29" t="e">
        <f>IF(#REF!&lt;&gt;"N/A",Priority!$C73,"")</f>
        <v>#REF!</v>
      </c>
      <c r="BX73" s="29" t="e">
        <f>IF(#REF!&lt;&gt;"N/A",Priority!$C73,"")</f>
        <v>#REF!</v>
      </c>
      <c r="BY73" s="29" t="e">
        <f>IF(#REF!&lt;&gt;"N/A",Priority!$C73,"")</f>
        <v>#REF!</v>
      </c>
      <c r="BZ73" s="29" t="e">
        <f>IF(#REF!&lt;&gt;"N/A",Priority!$C73,"")</f>
        <v>#REF!</v>
      </c>
      <c r="CA73" s="29" t="e">
        <f>IF(#REF!&lt;&gt;"N/A",Priority!$C73,"")</f>
        <v>#REF!</v>
      </c>
      <c r="CB73" s="31"/>
      <c r="CC73" s="29" t="e">
        <f>IF(#REF!&lt;&gt;"N/A",Priority!$C73,"")</f>
        <v>#REF!</v>
      </c>
      <c r="CD73" s="29" t="e">
        <f>IF(#REF!&lt;&gt;"N/A",Priority!$C73,"")</f>
        <v>#REF!</v>
      </c>
      <c r="CE73" s="29" t="e">
        <f>IF(#REF!&lt;&gt;"N/A",Priority!$C73,"")</f>
        <v>#REF!</v>
      </c>
      <c r="CF73" s="29" t="e">
        <f>IF(#REF!&lt;&gt;"N/A",Priority!$C73,"")</f>
        <v>#REF!</v>
      </c>
    </row>
    <row r="74" spans="1:84" ht="30">
      <c r="A74" s="15" t="e">
        <f>#REF!</f>
        <v>#REF!</v>
      </c>
      <c r="B74" s="15" t="e">
        <f>#REF!</f>
        <v>#REF!</v>
      </c>
      <c r="C74" s="15" t="e">
        <f>#REF!</f>
        <v>#REF!</v>
      </c>
      <c r="D74" s="28" t="s">
        <v>177</v>
      </c>
      <c r="E74" s="30" t="str">
        <f t="shared" si="15"/>
        <v>Pending</v>
      </c>
      <c r="F74" s="30" t="str">
        <f t="shared" si="16"/>
        <v>Pass:  0     /Accept:  0/     Fail:  0/     NT:  0</v>
      </c>
      <c r="G74" s="29" t="e">
        <f>IF(#REF!&lt;&gt;"N/A",Priority!$C74,"")</f>
        <v>#REF!</v>
      </c>
      <c r="H74" s="29" t="e">
        <f>IF(#REF!&lt;&gt;"N/A",Priority!$C74,"")</f>
        <v>#REF!</v>
      </c>
      <c r="I74" s="29" t="e">
        <f>IF(#REF!&lt;&gt;"N/A",Priority!$C74,"")</f>
        <v>#REF!</v>
      </c>
      <c r="J74" s="29" t="e">
        <f>IF(#REF!&lt;&gt;"N/A",Priority!$C74,"")</f>
        <v>#REF!</v>
      </c>
      <c r="K74" s="29" t="e">
        <f>IF(#REF!&lt;&gt;"N/A",Priority!$C74,"")</f>
        <v>#REF!</v>
      </c>
      <c r="L74" s="31"/>
      <c r="M74" s="29" t="e">
        <f>IF(#REF!&lt;&gt;"N/A",Priority!$C74,"")</f>
        <v>#REF!</v>
      </c>
      <c r="N74" s="29" t="e">
        <f>IF(#REF!&lt;&gt;"N/A",Priority!$C74,"")</f>
        <v>#REF!</v>
      </c>
      <c r="O74" s="29" t="e">
        <f>IF(#REF!&lt;&gt;"N/A",Priority!$C74,"")</f>
        <v>#REF!</v>
      </c>
      <c r="P74" s="29" t="e">
        <f>IF(#REF!&lt;&gt;"N/A",Priority!$C74,"")</f>
        <v>#REF!</v>
      </c>
      <c r="Q74" s="29" t="e">
        <f>IF(#REF!&lt;&gt;"N/A",Priority!$C74,"")</f>
        <v>#REF!</v>
      </c>
      <c r="R74" s="31"/>
      <c r="S74" s="29" t="e">
        <f>IF(#REF!&lt;&gt;"N/A",Priority!$C74,"")</f>
        <v>#REF!</v>
      </c>
      <c r="T74" s="29" t="e">
        <f>IF(#REF!&lt;&gt;"N/A",Priority!$C74,"")</f>
        <v>#REF!</v>
      </c>
      <c r="U74" s="29" t="e">
        <f>IF(#REF!&lt;&gt;"N/A",Priority!$C74,"")</f>
        <v>#REF!</v>
      </c>
      <c r="V74" s="29" t="e">
        <f>IF(#REF!&lt;&gt;"N/A",Priority!$C74,"")</f>
        <v>#REF!</v>
      </c>
      <c r="W74" s="29" t="e">
        <f>IF(#REF!&lt;&gt;"N/A",Priority!$C74,"")</f>
        <v>#REF!</v>
      </c>
      <c r="X74" s="29" t="e">
        <f>IF(#REF!&lt;&gt;"N/A",Priority!$C74,"")</f>
        <v>#REF!</v>
      </c>
      <c r="Y74" s="31"/>
      <c r="Z74" s="29" t="e">
        <f>IF(#REF!&lt;&gt;"N/A",Priority!$C74,"")</f>
        <v>#REF!</v>
      </c>
      <c r="AA74" s="29" t="e">
        <f>IF(#REF!&lt;&gt;"N/A",Priority!$C74,"")</f>
        <v>#REF!</v>
      </c>
      <c r="AB74" s="29" t="e">
        <f>IF(#REF!&lt;&gt;"N/A",Priority!$C74,"")</f>
        <v>#REF!</v>
      </c>
      <c r="AC74" s="29" t="e">
        <f>IF(#REF!&lt;&gt;"N/A",Priority!$C74,"")</f>
        <v>#REF!</v>
      </c>
      <c r="AD74" s="29" t="e">
        <f>IF(#REF!&lt;&gt;"N/A",Priority!$C74,"")</f>
        <v>#REF!</v>
      </c>
      <c r="AE74" s="29" t="e">
        <f>IF(#REF!&lt;&gt;"N/A",Priority!$C74,"")</f>
        <v>#REF!</v>
      </c>
      <c r="AF74" s="29" t="e">
        <f>IF(#REF!&lt;&gt;"N/A",Priority!$C74,"")</f>
        <v>#REF!</v>
      </c>
      <c r="AG74" s="29" t="e">
        <f>IF(#REF!&lt;&gt;"N/A",Priority!$C74,"")</f>
        <v>#REF!</v>
      </c>
      <c r="AH74" s="29" t="e">
        <f>IF(#REF!&lt;&gt;"N/A",Priority!$C74,"")</f>
        <v>#REF!</v>
      </c>
      <c r="AI74" s="29" t="e">
        <f>IF(#REF!&lt;&gt;"N/A",Priority!$C74,"")</f>
        <v>#REF!</v>
      </c>
      <c r="AJ74" s="31"/>
      <c r="AK74" s="29" t="e">
        <f>IF(#REF!&lt;&gt;"N/A",Priority!$C74,"")</f>
        <v>#REF!</v>
      </c>
      <c r="AL74" s="29" t="e">
        <f>IF(#REF!&lt;&gt;"N/A",Priority!$C74,"")</f>
        <v>#REF!</v>
      </c>
      <c r="AM74" s="29" t="e">
        <f>IF(#REF!&lt;&gt;"N/A",Priority!$C74,"")</f>
        <v>#REF!</v>
      </c>
      <c r="AN74" s="29" t="e">
        <f>IF(#REF!&lt;&gt;"N/A",Priority!$C74,"")</f>
        <v>#REF!</v>
      </c>
      <c r="AO74" s="29" t="e">
        <f>IF(#REF!&lt;&gt;"N/A",Priority!$C74,"")</f>
        <v>#REF!</v>
      </c>
      <c r="AP74" s="29" t="e">
        <f>IF(#REF!&lt;&gt;"N/A",Priority!$C74,"")</f>
        <v>#REF!</v>
      </c>
      <c r="AQ74" s="29" t="e">
        <f>IF(#REF!&lt;&gt;"N/A",Priority!$C74,"")</f>
        <v>#REF!</v>
      </c>
      <c r="AR74" s="29" t="e">
        <f>IF(#REF!&lt;&gt;"N/A",Priority!$C74,"")</f>
        <v>#REF!</v>
      </c>
      <c r="AS74" s="29" t="e">
        <f>IF(#REF!&lt;&gt;"N/A",Priority!$C74,"")</f>
        <v>#REF!</v>
      </c>
      <c r="AT74" s="29" t="e">
        <f>IF(#REF!&lt;&gt;"N/A",Priority!$C74,"")</f>
        <v>#REF!</v>
      </c>
      <c r="AU74" s="31"/>
      <c r="AV74" s="29" t="e">
        <f>IF(#REF!&lt;&gt;"N/A",Priority!$C74,"")</f>
        <v>#REF!</v>
      </c>
      <c r="AW74" s="29" t="e">
        <f>IF(#REF!&lt;&gt;"N/A",Priority!$C74,"")</f>
        <v>#REF!</v>
      </c>
      <c r="AX74" s="29" t="e">
        <f>IF(#REF!&lt;&gt;"N/A",Priority!$C74,"")</f>
        <v>#REF!</v>
      </c>
      <c r="AY74" s="29" t="e">
        <f>IF(#REF!&lt;&gt;"N/A",Priority!$C74,"")</f>
        <v>#REF!</v>
      </c>
      <c r="AZ74" s="29" t="e">
        <f>IF(#REF!&lt;&gt;"N/A",Priority!$C74,"")</f>
        <v>#REF!</v>
      </c>
      <c r="BA74" s="29" t="e">
        <f>IF(#REF!&lt;&gt;"N/A",Priority!$C74,"")</f>
        <v>#REF!</v>
      </c>
      <c r="BB74" s="29" t="e">
        <f>IF(#REF!&lt;&gt;"N/A",Priority!$C74,"")</f>
        <v>#REF!</v>
      </c>
      <c r="BC74" s="31"/>
      <c r="BD74" s="29" t="e">
        <f>IF(#REF!&lt;&gt;"N/A",Priority!$C74,"")</f>
        <v>#REF!</v>
      </c>
      <c r="BE74" s="29" t="e">
        <f>IF(#REF!&lt;&gt;"N/A",Priority!$C74,"")</f>
        <v>#REF!</v>
      </c>
      <c r="BF74" s="29" t="e">
        <f>IF(#REF!&lt;&gt;"N/A",Priority!$C74,"")</f>
        <v>#REF!</v>
      </c>
      <c r="BG74" s="29" t="e">
        <f>IF(#REF!&lt;&gt;"N/A",Priority!$C74,"")</f>
        <v>#REF!</v>
      </c>
      <c r="BH74" s="29" t="e">
        <f>IF(#REF!&lt;&gt;"N/A",Priority!$C74,"")</f>
        <v>#REF!</v>
      </c>
      <c r="BI74" s="29" t="e">
        <f>IF(#REF!&lt;&gt;"N/A",Priority!$C74,"")</f>
        <v>#REF!</v>
      </c>
      <c r="BJ74" s="29" t="e">
        <f>IF(#REF!&lt;&gt;"N/A",Priority!$C74,"")</f>
        <v>#REF!</v>
      </c>
      <c r="BK74" s="29" t="e">
        <f>IF(#REF!&lt;&gt;"N/A",Priority!$C74,"")</f>
        <v>#REF!</v>
      </c>
      <c r="BL74" s="29" t="e">
        <f>IF(#REF!&lt;&gt;"N/A",Priority!$C74,"")</f>
        <v>#REF!</v>
      </c>
      <c r="BM74" s="31"/>
      <c r="BN74" s="29" t="e">
        <f>IF(#REF!&lt;&gt;"N/A",Priority!$C74,"")</f>
        <v>#REF!</v>
      </c>
      <c r="BO74" s="29" t="e">
        <f>IF(#REF!&lt;&gt;"N/A",Priority!$C74,"")</f>
        <v>#REF!</v>
      </c>
      <c r="BP74" s="29" t="e">
        <f>IF(#REF!&lt;&gt;"N/A",Priority!$C74,"")</f>
        <v>#REF!</v>
      </c>
      <c r="BQ74" s="29" t="e">
        <f>IF(#REF!&lt;&gt;"N/A",Priority!$C74,"")</f>
        <v>#REF!</v>
      </c>
      <c r="BR74" s="29" t="e">
        <f>IF(#REF!&lt;&gt;"N/A",Priority!$C74,"")</f>
        <v>#REF!</v>
      </c>
      <c r="BS74" s="29" t="e">
        <f>IF(#REF!&lt;&gt;"N/A",Priority!$C74,"")</f>
        <v>#REF!</v>
      </c>
      <c r="BT74" s="29" t="e">
        <f>IF(#REF!&lt;&gt;"N/A",Priority!$C74,"")</f>
        <v>#REF!</v>
      </c>
      <c r="BU74" s="31"/>
      <c r="BV74" s="29" t="e">
        <f>IF(#REF!&lt;&gt;"N/A",Priority!$C74,"")</f>
        <v>#REF!</v>
      </c>
      <c r="BW74" s="29" t="e">
        <f>IF(#REF!&lt;&gt;"N/A",Priority!$C74,"")</f>
        <v>#REF!</v>
      </c>
      <c r="BX74" s="29" t="e">
        <f>IF(#REF!&lt;&gt;"N/A",Priority!$C74,"")</f>
        <v>#REF!</v>
      </c>
      <c r="BY74" s="29" t="e">
        <f>IF(#REF!&lt;&gt;"N/A",Priority!$C74,"")</f>
        <v>#REF!</v>
      </c>
      <c r="BZ74" s="29" t="e">
        <f>IF(#REF!&lt;&gt;"N/A",Priority!$C74,"")</f>
        <v>#REF!</v>
      </c>
      <c r="CA74" s="29" t="e">
        <f>IF(#REF!&lt;&gt;"N/A",Priority!$C74,"")</f>
        <v>#REF!</v>
      </c>
      <c r="CB74" s="31"/>
      <c r="CC74" s="29" t="e">
        <f>IF(#REF!&lt;&gt;"N/A",Priority!$C74,"")</f>
        <v>#REF!</v>
      </c>
      <c r="CD74" s="29" t="e">
        <f>IF(#REF!&lt;&gt;"N/A",Priority!$C74,"")</f>
        <v>#REF!</v>
      </c>
      <c r="CE74" s="29" t="e">
        <f>IF(#REF!&lt;&gt;"N/A",Priority!$C74,"")</f>
        <v>#REF!</v>
      </c>
      <c r="CF74" s="29" t="e">
        <f>IF(#REF!&lt;&gt;"N/A",Priority!$C74,"")</f>
        <v>#REF!</v>
      </c>
    </row>
    <row r="75" spans="1:84" ht="30">
      <c r="A75" s="15" t="e">
        <f>#REF!</f>
        <v>#REF!</v>
      </c>
      <c r="B75" s="15" t="e">
        <f>#REF!</f>
        <v>#REF!</v>
      </c>
      <c r="C75" s="15" t="e">
        <f>#REF!</f>
        <v>#REF!</v>
      </c>
      <c r="D75" s="28" t="s">
        <v>177</v>
      </c>
      <c r="E75" s="30" t="str">
        <f t="shared" si="15"/>
        <v>Pending</v>
      </c>
      <c r="F75" s="30" t="str">
        <f t="shared" si="16"/>
        <v>Pass:  0     /Accept:  0/     Fail:  0/     NT:  0</v>
      </c>
      <c r="G75" s="29" t="e">
        <f>IF(#REF!&lt;&gt;"N/A",Priority!$C75,"")</f>
        <v>#REF!</v>
      </c>
      <c r="H75" s="29" t="e">
        <f>IF(#REF!&lt;&gt;"N/A",Priority!$C75,"")</f>
        <v>#REF!</v>
      </c>
      <c r="I75" s="29" t="e">
        <f>IF(#REF!&lt;&gt;"N/A",Priority!$C75,"")</f>
        <v>#REF!</v>
      </c>
      <c r="J75" s="29" t="e">
        <f>IF(#REF!&lt;&gt;"N/A",Priority!$C75,"")</f>
        <v>#REF!</v>
      </c>
      <c r="K75" s="29" t="e">
        <f>IF(#REF!&lt;&gt;"N/A",Priority!$C75,"")</f>
        <v>#REF!</v>
      </c>
      <c r="L75" s="31"/>
      <c r="M75" s="29" t="e">
        <f>IF(#REF!&lt;&gt;"N/A",Priority!$C75,"")</f>
        <v>#REF!</v>
      </c>
      <c r="N75" s="29" t="e">
        <f>IF(#REF!&lt;&gt;"N/A",Priority!$C75,"")</f>
        <v>#REF!</v>
      </c>
      <c r="O75" s="29" t="e">
        <f>IF(#REF!&lt;&gt;"N/A",Priority!$C75,"")</f>
        <v>#REF!</v>
      </c>
      <c r="P75" s="29" t="e">
        <f>IF(#REF!&lt;&gt;"N/A",Priority!$C75,"")</f>
        <v>#REF!</v>
      </c>
      <c r="Q75" s="29" t="e">
        <f>IF(#REF!&lt;&gt;"N/A",Priority!$C75,"")</f>
        <v>#REF!</v>
      </c>
      <c r="R75" s="31"/>
      <c r="S75" s="29" t="e">
        <f>IF(#REF!&lt;&gt;"N/A",Priority!$C75,"")</f>
        <v>#REF!</v>
      </c>
      <c r="T75" s="29" t="e">
        <f>IF(#REF!&lt;&gt;"N/A",Priority!$C75,"")</f>
        <v>#REF!</v>
      </c>
      <c r="U75" s="29" t="e">
        <f>IF(#REF!&lt;&gt;"N/A",Priority!$C75,"")</f>
        <v>#REF!</v>
      </c>
      <c r="V75" s="29" t="e">
        <f>IF(#REF!&lt;&gt;"N/A",Priority!$C75,"")</f>
        <v>#REF!</v>
      </c>
      <c r="W75" s="29" t="e">
        <f>IF(#REF!&lt;&gt;"N/A",Priority!$C75,"")</f>
        <v>#REF!</v>
      </c>
      <c r="X75" s="29" t="e">
        <f>IF(#REF!&lt;&gt;"N/A",Priority!$C75,"")</f>
        <v>#REF!</v>
      </c>
      <c r="Y75" s="31"/>
      <c r="Z75" s="29" t="e">
        <f>IF(#REF!&lt;&gt;"N/A",Priority!$C75,"")</f>
        <v>#REF!</v>
      </c>
      <c r="AA75" s="29" t="e">
        <f>IF(#REF!&lt;&gt;"N/A",Priority!$C75,"")</f>
        <v>#REF!</v>
      </c>
      <c r="AB75" s="29" t="e">
        <f>IF(#REF!&lt;&gt;"N/A",Priority!$C75,"")</f>
        <v>#REF!</v>
      </c>
      <c r="AC75" s="29" t="e">
        <f>IF(#REF!&lt;&gt;"N/A",Priority!$C75,"")</f>
        <v>#REF!</v>
      </c>
      <c r="AD75" s="29" t="e">
        <f>IF(#REF!&lt;&gt;"N/A",Priority!$C75,"")</f>
        <v>#REF!</v>
      </c>
      <c r="AE75" s="29" t="e">
        <f>IF(#REF!&lt;&gt;"N/A",Priority!$C75,"")</f>
        <v>#REF!</v>
      </c>
      <c r="AF75" s="29" t="e">
        <f>IF(#REF!&lt;&gt;"N/A",Priority!$C75,"")</f>
        <v>#REF!</v>
      </c>
      <c r="AG75" s="29" t="e">
        <f>IF(#REF!&lt;&gt;"N/A",Priority!$C75,"")</f>
        <v>#REF!</v>
      </c>
      <c r="AH75" s="29" t="e">
        <f>IF(#REF!&lt;&gt;"N/A",Priority!$C75,"")</f>
        <v>#REF!</v>
      </c>
      <c r="AI75" s="29" t="e">
        <f>IF(#REF!&lt;&gt;"N/A",Priority!$C75,"")</f>
        <v>#REF!</v>
      </c>
      <c r="AJ75" s="31"/>
      <c r="AK75" s="29" t="e">
        <f>IF(#REF!&lt;&gt;"N/A",Priority!$C75,"")</f>
        <v>#REF!</v>
      </c>
      <c r="AL75" s="29" t="e">
        <f>IF(#REF!&lt;&gt;"N/A",Priority!$C75,"")</f>
        <v>#REF!</v>
      </c>
      <c r="AM75" s="29" t="e">
        <f>IF(#REF!&lt;&gt;"N/A",Priority!$C75,"")</f>
        <v>#REF!</v>
      </c>
      <c r="AN75" s="29" t="e">
        <f>IF(#REF!&lt;&gt;"N/A",Priority!$C75,"")</f>
        <v>#REF!</v>
      </c>
      <c r="AO75" s="29" t="e">
        <f>IF(#REF!&lt;&gt;"N/A",Priority!$C75,"")</f>
        <v>#REF!</v>
      </c>
      <c r="AP75" s="29" t="e">
        <f>IF(#REF!&lt;&gt;"N/A",Priority!$C75,"")</f>
        <v>#REF!</v>
      </c>
      <c r="AQ75" s="29" t="e">
        <f>IF(#REF!&lt;&gt;"N/A",Priority!$C75,"")</f>
        <v>#REF!</v>
      </c>
      <c r="AR75" s="29" t="e">
        <f>IF(#REF!&lt;&gt;"N/A",Priority!$C75,"")</f>
        <v>#REF!</v>
      </c>
      <c r="AS75" s="29" t="e">
        <f>IF(#REF!&lt;&gt;"N/A",Priority!$C75,"")</f>
        <v>#REF!</v>
      </c>
      <c r="AT75" s="29" t="e">
        <f>IF(#REF!&lt;&gt;"N/A",Priority!$C75,"")</f>
        <v>#REF!</v>
      </c>
      <c r="AU75" s="31"/>
      <c r="AV75" s="29" t="e">
        <f>IF(#REF!&lt;&gt;"N/A",Priority!$C75,"")</f>
        <v>#REF!</v>
      </c>
      <c r="AW75" s="29" t="e">
        <f>IF(#REF!&lt;&gt;"N/A",Priority!$C75,"")</f>
        <v>#REF!</v>
      </c>
      <c r="AX75" s="29" t="e">
        <f>IF(#REF!&lt;&gt;"N/A",Priority!$C75,"")</f>
        <v>#REF!</v>
      </c>
      <c r="AY75" s="29" t="e">
        <f>IF(#REF!&lt;&gt;"N/A",Priority!$C75,"")</f>
        <v>#REF!</v>
      </c>
      <c r="AZ75" s="29" t="e">
        <f>IF(#REF!&lt;&gt;"N/A",Priority!$C75,"")</f>
        <v>#REF!</v>
      </c>
      <c r="BA75" s="29" t="e">
        <f>IF(#REF!&lt;&gt;"N/A",Priority!$C75,"")</f>
        <v>#REF!</v>
      </c>
      <c r="BB75" s="29" t="e">
        <f>IF(#REF!&lt;&gt;"N/A",Priority!$C75,"")</f>
        <v>#REF!</v>
      </c>
      <c r="BC75" s="31"/>
      <c r="BD75" s="29" t="e">
        <f>IF(#REF!&lt;&gt;"N/A",Priority!$C75,"")</f>
        <v>#REF!</v>
      </c>
      <c r="BE75" s="29" t="e">
        <f>IF(#REF!&lt;&gt;"N/A",Priority!$C75,"")</f>
        <v>#REF!</v>
      </c>
      <c r="BF75" s="29" t="e">
        <f>IF(#REF!&lt;&gt;"N/A",Priority!$C75,"")</f>
        <v>#REF!</v>
      </c>
      <c r="BG75" s="29" t="e">
        <f>IF(#REF!&lt;&gt;"N/A",Priority!$C75,"")</f>
        <v>#REF!</v>
      </c>
      <c r="BH75" s="29" t="e">
        <f>IF(#REF!&lt;&gt;"N/A",Priority!$C75,"")</f>
        <v>#REF!</v>
      </c>
      <c r="BI75" s="29" t="e">
        <f>IF(#REF!&lt;&gt;"N/A",Priority!$C75,"")</f>
        <v>#REF!</v>
      </c>
      <c r="BJ75" s="29" t="e">
        <f>IF(#REF!&lt;&gt;"N/A",Priority!$C75,"")</f>
        <v>#REF!</v>
      </c>
      <c r="BK75" s="29" t="e">
        <f>IF(#REF!&lt;&gt;"N/A",Priority!$C75,"")</f>
        <v>#REF!</v>
      </c>
      <c r="BL75" s="29" t="e">
        <f>IF(#REF!&lt;&gt;"N/A",Priority!$C75,"")</f>
        <v>#REF!</v>
      </c>
      <c r="BM75" s="31"/>
      <c r="BN75" s="29" t="e">
        <f>IF(#REF!&lt;&gt;"N/A",Priority!$C75,"")</f>
        <v>#REF!</v>
      </c>
      <c r="BO75" s="29" t="e">
        <f>IF(#REF!&lt;&gt;"N/A",Priority!$C75,"")</f>
        <v>#REF!</v>
      </c>
      <c r="BP75" s="29" t="e">
        <f>IF(#REF!&lt;&gt;"N/A",Priority!$C75,"")</f>
        <v>#REF!</v>
      </c>
      <c r="BQ75" s="29" t="e">
        <f>IF(#REF!&lt;&gt;"N/A",Priority!$C75,"")</f>
        <v>#REF!</v>
      </c>
      <c r="BR75" s="29" t="e">
        <f>IF(#REF!&lt;&gt;"N/A",Priority!$C75,"")</f>
        <v>#REF!</v>
      </c>
      <c r="BS75" s="29" t="e">
        <f>IF(#REF!&lt;&gt;"N/A",Priority!$C75,"")</f>
        <v>#REF!</v>
      </c>
      <c r="BT75" s="29" t="e">
        <f>IF(#REF!&lt;&gt;"N/A",Priority!$C75,"")</f>
        <v>#REF!</v>
      </c>
      <c r="BU75" s="31"/>
      <c r="BV75" s="29" t="e">
        <f>IF(#REF!&lt;&gt;"N/A",Priority!$C75,"")</f>
        <v>#REF!</v>
      </c>
      <c r="BW75" s="29" t="e">
        <f>IF(#REF!&lt;&gt;"N/A",Priority!$C75,"")</f>
        <v>#REF!</v>
      </c>
      <c r="BX75" s="29" t="e">
        <f>IF(#REF!&lt;&gt;"N/A",Priority!$C75,"")</f>
        <v>#REF!</v>
      </c>
      <c r="BY75" s="29" t="e">
        <f>IF(#REF!&lt;&gt;"N/A",Priority!$C75,"")</f>
        <v>#REF!</v>
      </c>
      <c r="BZ75" s="29" t="e">
        <f>IF(#REF!&lt;&gt;"N/A",Priority!$C75,"")</f>
        <v>#REF!</v>
      </c>
      <c r="CA75" s="29" t="e">
        <f>IF(#REF!&lt;&gt;"N/A",Priority!$C75,"")</f>
        <v>#REF!</v>
      </c>
      <c r="CB75" s="31"/>
      <c r="CC75" s="29" t="e">
        <f>IF(#REF!&lt;&gt;"N/A",Priority!$C75,"")</f>
        <v>#REF!</v>
      </c>
      <c r="CD75" s="29" t="e">
        <f>IF(#REF!&lt;&gt;"N/A",Priority!$C75,"")</f>
        <v>#REF!</v>
      </c>
      <c r="CE75" s="29" t="e">
        <f>IF(#REF!&lt;&gt;"N/A",Priority!$C75,"")</f>
        <v>#REF!</v>
      </c>
      <c r="CF75" s="29" t="e">
        <f>IF(#REF!&lt;&gt;"N/A",Priority!$C75,"")</f>
        <v>#REF!</v>
      </c>
    </row>
    <row r="76" spans="1:84" ht="30">
      <c r="A76" s="15" t="e">
        <f>#REF!</f>
        <v>#REF!</v>
      </c>
      <c r="B76" s="15" t="e">
        <f>#REF!</f>
        <v>#REF!</v>
      </c>
      <c r="C76" s="15" t="e">
        <f>#REF!</f>
        <v>#REF!</v>
      </c>
      <c r="D76" s="28" t="s">
        <v>173</v>
      </c>
      <c r="E76" s="30" t="str">
        <f t="shared" si="15"/>
        <v>Pending</v>
      </c>
      <c r="F76" s="30" t="str">
        <f t="shared" si="16"/>
        <v>Pass:  0     /Accept:  0/     Fail:  0/     NT:  0</v>
      </c>
      <c r="G76" s="29" t="e">
        <f>IF(#REF!&lt;&gt;"N/A",Priority!$C76,"")</f>
        <v>#REF!</v>
      </c>
      <c r="H76" s="29" t="e">
        <f>IF(#REF!&lt;&gt;"N/A",Priority!$C76,"")</f>
        <v>#REF!</v>
      </c>
      <c r="I76" s="29" t="e">
        <f>IF(#REF!&lt;&gt;"N/A",Priority!$C76,"")</f>
        <v>#REF!</v>
      </c>
      <c r="J76" s="29" t="e">
        <f>IF(#REF!&lt;&gt;"N/A",Priority!$C76,"")</f>
        <v>#REF!</v>
      </c>
      <c r="K76" s="29" t="e">
        <f>IF(#REF!&lt;&gt;"N/A",Priority!$C76,"")</f>
        <v>#REF!</v>
      </c>
      <c r="L76" s="31"/>
      <c r="M76" s="29" t="e">
        <f>IF(#REF!&lt;&gt;"N/A",Priority!$C76,"")</f>
        <v>#REF!</v>
      </c>
      <c r="N76" s="29" t="e">
        <f>IF(#REF!&lt;&gt;"N/A",Priority!$C76,"")</f>
        <v>#REF!</v>
      </c>
      <c r="O76" s="29" t="e">
        <f>IF(#REF!&lt;&gt;"N/A",Priority!$C76,"")</f>
        <v>#REF!</v>
      </c>
      <c r="P76" s="29" t="e">
        <f>IF(#REF!&lt;&gt;"N/A",Priority!$C76,"")</f>
        <v>#REF!</v>
      </c>
      <c r="Q76" s="29" t="e">
        <f>IF(#REF!&lt;&gt;"N/A",Priority!$C76,"")</f>
        <v>#REF!</v>
      </c>
      <c r="R76" s="31"/>
      <c r="S76" s="29" t="e">
        <f>IF(#REF!&lt;&gt;"N/A",Priority!$C76,"")</f>
        <v>#REF!</v>
      </c>
      <c r="T76" s="29" t="e">
        <f>IF(#REF!&lt;&gt;"N/A",Priority!$C76,"")</f>
        <v>#REF!</v>
      </c>
      <c r="U76" s="29" t="e">
        <f>IF(#REF!&lt;&gt;"N/A",Priority!$C76,"")</f>
        <v>#REF!</v>
      </c>
      <c r="V76" s="29" t="e">
        <f>IF(#REF!&lt;&gt;"N/A",Priority!$C76,"")</f>
        <v>#REF!</v>
      </c>
      <c r="W76" s="29" t="e">
        <f>IF(#REF!&lt;&gt;"N/A",Priority!$C76,"")</f>
        <v>#REF!</v>
      </c>
      <c r="X76" s="29" t="e">
        <f>IF(#REF!&lt;&gt;"N/A",Priority!$C76,"")</f>
        <v>#REF!</v>
      </c>
      <c r="Y76" s="31"/>
      <c r="Z76" s="29" t="e">
        <f>IF(#REF!&lt;&gt;"N/A",Priority!$C76,"")</f>
        <v>#REF!</v>
      </c>
      <c r="AA76" s="29" t="e">
        <f>IF(#REF!&lt;&gt;"N/A",Priority!$C76,"")</f>
        <v>#REF!</v>
      </c>
      <c r="AB76" s="29" t="e">
        <f>IF(#REF!&lt;&gt;"N/A",Priority!$C76,"")</f>
        <v>#REF!</v>
      </c>
      <c r="AC76" s="29" t="e">
        <f>IF(#REF!&lt;&gt;"N/A",Priority!$C76,"")</f>
        <v>#REF!</v>
      </c>
      <c r="AD76" s="29" t="e">
        <f>IF(#REF!&lt;&gt;"N/A",Priority!$C76,"")</f>
        <v>#REF!</v>
      </c>
      <c r="AE76" s="29" t="e">
        <f>IF(#REF!&lt;&gt;"N/A",Priority!$C76,"")</f>
        <v>#REF!</v>
      </c>
      <c r="AF76" s="29" t="e">
        <f>IF(#REF!&lt;&gt;"N/A",Priority!$C76,"")</f>
        <v>#REF!</v>
      </c>
      <c r="AG76" s="29" t="e">
        <f>IF(#REF!&lt;&gt;"N/A",Priority!$C76,"")</f>
        <v>#REF!</v>
      </c>
      <c r="AH76" s="29" t="e">
        <f>IF(#REF!&lt;&gt;"N/A",Priority!$C76,"")</f>
        <v>#REF!</v>
      </c>
      <c r="AI76" s="29" t="e">
        <f>IF(#REF!&lt;&gt;"N/A",Priority!$C76,"")</f>
        <v>#REF!</v>
      </c>
      <c r="AJ76" s="31"/>
      <c r="AK76" s="29" t="e">
        <f>IF(#REF!&lt;&gt;"N/A",Priority!$C76,"")</f>
        <v>#REF!</v>
      </c>
      <c r="AL76" s="29" t="e">
        <f>IF(#REF!&lt;&gt;"N/A",Priority!$C76,"")</f>
        <v>#REF!</v>
      </c>
      <c r="AM76" s="29" t="e">
        <f>IF(#REF!&lt;&gt;"N/A",Priority!$C76,"")</f>
        <v>#REF!</v>
      </c>
      <c r="AN76" s="29" t="e">
        <f>IF(#REF!&lt;&gt;"N/A",Priority!$C76,"")</f>
        <v>#REF!</v>
      </c>
      <c r="AO76" s="29" t="e">
        <f>IF(#REF!&lt;&gt;"N/A",Priority!$C76,"")</f>
        <v>#REF!</v>
      </c>
      <c r="AP76" s="29" t="e">
        <f>IF(#REF!&lt;&gt;"N/A",Priority!$C76,"")</f>
        <v>#REF!</v>
      </c>
      <c r="AQ76" s="29" t="e">
        <f>IF(#REF!&lt;&gt;"N/A",Priority!$C76,"")</f>
        <v>#REF!</v>
      </c>
      <c r="AR76" s="29" t="e">
        <f>IF(#REF!&lt;&gt;"N/A",Priority!$C76,"")</f>
        <v>#REF!</v>
      </c>
      <c r="AS76" s="29" t="e">
        <f>IF(#REF!&lt;&gt;"N/A",Priority!$C76,"")</f>
        <v>#REF!</v>
      </c>
      <c r="AT76" s="29" t="e">
        <f>IF(#REF!&lt;&gt;"N/A",Priority!$C76,"")</f>
        <v>#REF!</v>
      </c>
      <c r="AU76" s="31"/>
      <c r="AV76" s="29" t="e">
        <f>IF(#REF!&lt;&gt;"N/A",Priority!$C76,"")</f>
        <v>#REF!</v>
      </c>
      <c r="AW76" s="29" t="e">
        <f>IF(#REF!&lt;&gt;"N/A",Priority!$C76,"")</f>
        <v>#REF!</v>
      </c>
      <c r="AX76" s="29" t="e">
        <f>IF(#REF!&lt;&gt;"N/A",Priority!$C76,"")</f>
        <v>#REF!</v>
      </c>
      <c r="AY76" s="29" t="e">
        <f>IF(#REF!&lt;&gt;"N/A",Priority!$C76,"")</f>
        <v>#REF!</v>
      </c>
      <c r="AZ76" s="29" t="e">
        <f>IF(#REF!&lt;&gt;"N/A",Priority!$C76,"")</f>
        <v>#REF!</v>
      </c>
      <c r="BA76" s="29" t="e">
        <f>IF(#REF!&lt;&gt;"N/A",Priority!$C76,"")</f>
        <v>#REF!</v>
      </c>
      <c r="BB76" s="29" t="e">
        <f>IF(#REF!&lt;&gt;"N/A",Priority!$C76,"")</f>
        <v>#REF!</v>
      </c>
      <c r="BC76" s="31"/>
      <c r="BD76" s="29" t="e">
        <f>IF(#REF!&lt;&gt;"N/A",Priority!$C76,"")</f>
        <v>#REF!</v>
      </c>
      <c r="BE76" s="29" t="e">
        <f>IF(#REF!&lt;&gt;"N/A",Priority!$C76,"")</f>
        <v>#REF!</v>
      </c>
      <c r="BF76" s="29" t="e">
        <f>IF(#REF!&lt;&gt;"N/A",Priority!$C76,"")</f>
        <v>#REF!</v>
      </c>
      <c r="BG76" s="29" t="e">
        <f>IF(#REF!&lt;&gt;"N/A",Priority!$C76,"")</f>
        <v>#REF!</v>
      </c>
      <c r="BH76" s="29" t="e">
        <f>IF(#REF!&lt;&gt;"N/A",Priority!$C76,"")</f>
        <v>#REF!</v>
      </c>
      <c r="BI76" s="29" t="e">
        <f>IF(#REF!&lt;&gt;"N/A",Priority!$C76,"")</f>
        <v>#REF!</v>
      </c>
      <c r="BJ76" s="29" t="e">
        <f>IF(#REF!&lt;&gt;"N/A",Priority!$C76,"")</f>
        <v>#REF!</v>
      </c>
      <c r="BK76" s="29" t="e">
        <f>IF(#REF!&lt;&gt;"N/A",Priority!$C76,"")</f>
        <v>#REF!</v>
      </c>
      <c r="BL76" s="29" t="e">
        <f>IF(#REF!&lt;&gt;"N/A",Priority!$C76,"")</f>
        <v>#REF!</v>
      </c>
      <c r="BM76" s="31"/>
      <c r="BN76" s="29" t="e">
        <f>IF(#REF!&lt;&gt;"N/A",Priority!$C76,"")</f>
        <v>#REF!</v>
      </c>
      <c r="BO76" s="29" t="e">
        <f>IF(#REF!&lt;&gt;"N/A",Priority!$C76,"")</f>
        <v>#REF!</v>
      </c>
      <c r="BP76" s="29" t="e">
        <f>IF(#REF!&lt;&gt;"N/A",Priority!$C76,"")</f>
        <v>#REF!</v>
      </c>
      <c r="BQ76" s="29" t="e">
        <f>IF(#REF!&lt;&gt;"N/A",Priority!$C76,"")</f>
        <v>#REF!</v>
      </c>
      <c r="BR76" s="29" t="e">
        <f>IF(#REF!&lt;&gt;"N/A",Priority!$C76,"")</f>
        <v>#REF!</v>
      </c>
      <c r="BS76" s="29" t="e">
        <f>IF(#REF!&lt;&gt;"N/A",Priority!$C76,"")</f>
        <v>#REF!</v>
      </c>
      <c r="BT76" s="29" t="e">
        <f>IF(#REF!&lt;&gt;"N/A",Priority!$C76,"")</f>
        <v>#REF!</v>
      </c>
      <c r="BU76" s="31"/>
      <c r="BV76" s="29" t="e">
        <f>IF(#REF!&lt;&gt;"N/A",Priority!$C76,"")</f>
        <v>#REF!</v>
      </c>
      <c r="BW76" s="29" t="e">
        <f>IF(#REF!&lt;&gt;"N/A",Priority!$C76,"")</f>
        <v>#REF!</v>
      </c>
      <c r="BX76" s="29" t="e">
        <f>IF(#REF!&lt;&gt;"N/A",Priority!$C76,"")</f>
        <v>#REF!</v>
      </c>
      <c r="BY76" s="29" t="e">
        <f>IF(#REF!&lt;&gt;"N/A",Priority!$C76,"")</f>
        <v>#REF!</v>
      </c>
      <c r="BZ76" s="29" t="e">
        <f>IF(#REF!&lt;&gt;"N/A",Priority!$C76,"")</f>
        <v>#REF!</v>
      </c>
      <c r="CA76" s="29" t="e">
        <f>IF(#REF!&lt;&gt;"N/A",Priority!$C76,"")</f>
        <v>#REF!</v>
      </c>
      <c r="CB76" s="31"/>
      <c r="CC76" s="29" t="e">
        <f>IF(#REF!&lt;&gt;"N/A",Priority!$C76,"")</f>
        <v>#REF!</v>
      </c>
      <c r="CD76" s="29" t="e">
        <f>IF(#REF!&lt;&gt;"N/A",Priority!$C76,"")</f>
        <v>#REF!</v>
      </c>
      <c r="CE76" s="29" t="e">
        <f>IF(#REF!&lt;&gt;"N/A",Priority!$C76,"")</f>
        <v>#REF!</v>
      </c>
      <c r="CF76" s="29" t="e">
        <f>IF(#REF!&lt;&gt;"N/A",Priority!$C76,"")</f>
        <v>#REF!</v>
      </c>
    </row>
    <row r="77" spans="1:84" ht="30">
      <c r="A77" s="15" t="e">
        <f>#REF!</f>
        <v>#REF!</v>
      </c>
      <c r="B77" s="15" t="e">
        <f>#REF!</f>
        <v>#REF!</v>
      </c>
      <c r="C77" s="15" t="e">
        <f>#REF!</f>
        <v>#REF!</v>
      </c>
      <c r="D77" s="28" t="s">
        <v>173</v>
      </c>
      <c r="E77" s="30" t="str">
        <f t="shared" si="15"/>
        <v>Pending</v>
      </c>
      <c r="F77" s="30" t="str">
        <f t="shared" si="16"/>
        <v>Pass:  0     /Accept:  0/     Fail:  0/     NT:  0</v>
      </c>
      <c r="G77" s="29" t="e">
        <f>IF(#REF!&lt;&gt;"N/A",Priority!$C77,"")</f>
        <v>#REF!</v>
      </c>
      <c r="H77" s="29" t="e">
        <f>IF(#REF!&lt;&gt;"N/A",Priority!$C77,"")</f>
        <v>#REF!</v>
      </c>
      <c r="I77" s="29" t="e">
        <f>IF(#REF!&lt;&gt;"N/A",Priority!$C77,"")</f>
        <v>#REF!</v>
      </c>
      <c r="J77" s="29" t="e">
        <f>IF(#REF!&lt;&gt;"N/A",Priority!$C77,"")</f>
        <v>#REF!</v>
      </c>
      <c r="K77" s="29" t="e">
        <f>IF(#REF!&lt;&gt;"N/A",Priority!$C77,"")</f>
        <v>#REF!</v>
      </c>
      <c r="L77" s="31"/>
      <c r="M77" s="29" t="e">
        <f>IF(#REF!&lt;&gt;"N/A",Priority!$C77,"")</f>
        <v>#REF!</v>
      </c>
      <c r="N77" s="29" t="e">
        <f>IF(#REF!&lt;&gt;"N/A",Priority!$C77,"")</f>
        <v>#REF!</v>
      </c>
      <c r="O77" s="29" t="e">
        <f>IF(#REF!&lt;&gt;"N/A",Priority!$C77,"")</f>
        <v>#REF!</v>
      </c>
      <c r="P77" s="29" t="e">
        <f>IF(#REF!&lt;&gt;"N/A",Priority!$C77,"")</f>
        <v>#REF!</v>
      </c>
      <c r="Q77" s="29" t="e">
        <f>IF(#REF!&lt;&gt;"N/A",Priority!$C77,"")</f>
        <v>#REF!</v>
      </c>
      <c r="R77" s="31"/>
      <c r="S77" s="29" t="e">
        <f>IF(#REF!&lt;&gt;"N/A",Priority!$C77,"")</f>
        <v>#REF!</v>
      </c>
      <c r="T77" s="29" t="e">
        <f>IF(#REF!&lt;&gt;"N/A",Priority!$C77,"")</f>
        <v>#REF!</v>
      </c>
      <c r="U77" s="29" t="e">
        <f>IF(#REF!&lt;&gt;"N/A",Priority!$C77,"")</f>
        <v>#REF!</v>
      </c>
      <c r="V77" s="29" t="e">
        <f>IF(#REF!&lt;&gt;"N/A",Priority!$C77,"")</f>
        <v>#REF!</v>
      </c>
      <c r="W77" s="29" t="e">
        <f>IF(#REF!&lt;&gt;"N/A",Priority!$C77,"")</f>
        <v>#REF!</v>
      </c>
      <c r="X77" s="29" t="e">
        <f>IF(#REF!&lt;&gt;"N/A",Priority!$C77,"")</f>
        <v>#REF!</v>
      </c>
      <c r="Y77" s="31"/>
      <c r="Z77" s="29" t="e">
        <f>IF(#REF!&lt;&gt;"N/A",Priority!$C77,"")</f>
        <v>#REF!</v>
      </c>
      <c r="AA77" s="29" t="e">
        <f>IF(#REF!&lt;&gt;"N/A",Priority!$C77,"")</f>
        <v>#REF!</v>
      </c>
      <c r="AB77" s="29" t="e">
        <f>IF(#REF!&lt;&gt;"N/A",Priority!$C77,"")</f>
        <v>#REF!</v>
      </c>
      <c r="AC77" s="29" t="e">
        <f>IF(#REF!&lt;&gt;"N/A",Priority!$C77,"")</f>
        <v>#REF!</v>
      </c>
      <c r="AD77" s="29" t="e">
        <f>IF(#REF!&lt;&gt;"N/A",Priority!$C77,"")</f>
        <v>#REF!</v>
      </c>
      <c r="AE77" s="29" t="e">
        <f>IF(#REF!&lt;&gt;"N/A",Priority!$C77,"")</f>
        <v>#REF!</v>
      </c>
      <c r="AF77" s="29" t="e">
        <f>IF(#REF!&lt;&gt;"N/A",Priority!$C77,"")</f>
        <v>#REF!</v>
      </c>
      <c r="AG77" s="29" t="e">
        <f>IF(#REF!&lt;&gt;"N/A",Priority!$C77,"")</f>
        <v>#REF!</v>
      </c>
      <c r="AH77" s="29" t="e">
        <f>IF(#REF!&lt;&gt;"N/A",Priority!$C77,"")</f>
        <v>#REF!</v>
      </c>
      <c r="AI77" s="29" t="e">
        <f>IF(#REF!&lt;&gt;"N/A",Priority!$C77,"")</f>
        <v>#REF!</v>
      </c>
      <c r="AJ77" s="31"/>
      <c r="AK77" s="29" t="e">
        <f>IF(#REF!&lt;&gt;"N/A",Priority!$C77,"")</f>
        <v>#REF!</v>
      </c>
      <c r="AL77" s="29" t="e">
        <f>IF(#REF!&lt;&gt;"N/A",Priority!$C77,"")</f>
        <v>#REF!</v>
      </c>
      <c r="AM77" s="29" t="e">
        <f>IF(#REF!&lt;&gt;"N/A",Priority!$C77,"")</f>
        <v>#REF!</v>
      </c>
      <c r="AN77" s="29" t="e">
        <f>IF(#REF!&lt;&gt;"N/A",Priority!$C77,"")</f>
        <v>#REF!</v>
      </c>
      <c r="AO77" s="29" t="e">
        <f>IF(#REF!&lt;&gt;"N/A",Priority!$C77,"")</f>
        <v>#REF!</v>
      </c>
      <c r="AP77" s="29" t="e">
        <f>IF(#REF!&lt;&gt;"N/A",Priority!$C77,"")</f>
        <v>#REF!</v>
      </c>
      <c r="AQ77" s="29" t="e">
        <f>IF(#REF!&lt;&gt;"N/A",Priority!$C77,"")</f>
        <v>#REF!</v>
      </c>
      <c r="AR77" s="29" t="e">
        <f>IF(#REF!&lt;&gt;"N/A",Priority!$C77,"")</f>
        <v>#REF!</v>
      </c>
      <c r="AS77" s="29" t="e">
        <f>IF(#REF!&lt;&gt;"N/A",Priority!$C77,"")</f>
        <v>#REF!</v>
      </c>
      <c r="AT77" s="29" t="e">
        <f>IF(#REF!&lt;&gt;"N/A",Priority!$C77,"")</f>
        <v>#REF!</v>
      </c>
      <c r="AU77" s="31"/>
      <c r="AV77" s="29" t="e">
        <f>IF(#REF!&lt;&gt;"N/A",Priority!$C77,"")</f>
        <v>#REF!</v>
      </c>
      <c r="AW77" s="29" t="e">
        <f>IF(#REF!&lt;&gt;"N/A",Priority!$C77,"")</f>
        <v>#REF!</v>
      </c>
      <c r="AX77" s="29" t="e">
        <f>IF(#REF!&lt;&gt;"N/A",Priority!$C77,"")</f>
        <v>#REF!</v>
      </c>
      <c r="AY77" s="29" t="e">
        <f>IF(#REF!&lt;&gt;"N/A",Priority!$C77,"")</f>
        <v>#REF!</v>
      </c>
      <c r="AZ77" s="29" t="e">
        <f>IF(#REF!&lt;&gt;"N/A",Priority!$C77,"")</f>
        <v>#REF!</v>
      </c>
      <c r="BA77" s="29" t="e">
        <f>IF(#REF!&lt;&gt;"N/A",Priority!$C77,"")</f>
        <v>#REF!</v>
      </c>
      <c r="BB77" s="29" t="e">
        <f>IF(#REF!&lt;&gt;"N/A",Priority!$C77,"")</f>
        <v>#REF!</v>
      </c>
      <c r="BC77" s="31"/>
      <c r="BD77" s="29" t="e">
        <f>IF(#REF!&lt;&gt;"N/A",Priority!$C77,"")</f>
        <v>#REF!</v>
      </c>
      <c r="BE77" s="29" t="e">
        <f>IF(#REF!&lt;&gt;"N/A",Priority!$C77,"")</f>
        <v>#REF!</v>
      </c>
      <c r="BF77" s="29" t="e">
        <f>IF(#REF!&lt;&gt;"N/A",Priority!$C77,"")</f>
        <v>#REF!</v>
      </c>
      <c r="BG77" s="29" t="e">
        <f>IF(#REF!&lt;&gt;"N/A",Priority!$C77,"")</f>
        <v>#REF!</v>
      </c>
      <c r="BH77" s="29" t="e">
        <f>IF(#REF!&lt;&gt;"N/A",Priority!$C77,"")</f>
        <v>#REF!</v>
      </c>
      <c r="BI77" s="29" t="e">
        <f>IF(#REF!&lt;&gt;"N/A",Priority!$C77,"")</f>
        <v>#REF!</v>
      </c>
      <c r="BJ77" s="29" t="e">
        <f>IF(#REF!&lt;&gt;"N/A",Priority!$C77,"")</f>
        <v>#REF!</v>
      </c>
      <c r="BK77" s="29" t="e">
        <f>IF(#REF!&lt;&gt;"N/A",Priority!$C77,"")</f>
        <v>#REF!</v>
      </c>
      <c r="BL77" s="29" t="e">
        <f>IF(#REF!&lt;&gt;"N/A",Priority!$C77,"")</f>
        <v>#REF!</v>
      </c>
      <c r="BM77" s="31"/>
      <c r="BN77" s="29" t="e">
        <f>IF(#REF!&lt;&gt;"N/A",Priority!$C77,"")</f>
        <v>#REF!</v>
      </c>
      <c r="BO77" s="29" t="e">
        <f>IF(#REF!&lt;&gt;"N/A",Priority!$C77,"")</f>
        <v>#REF!</v>
      </c>
      <c r="BP77" s="29" t="e">
        <f>IF(#REF!&lt;&gt;"N/A",Priority!$C77,"")</f>
        <v>#REF!</v>
      </c>
      <c r="BQ77" s="29" t="e">
        <f>IF(#REF!&lt;&gt;"N/A",Priority!$C77,"")</f>
        <v>#REF!</v>
      </c>
      <c r="BR77" s="29" t="e">
        <f>IF(#REF!&lt;&gt;"N/A",Priority!$C77,"")</f>
        <v>#REF!</v>
      </c>
      <c r="BS77" s="29" t="e">
        <f>IF(#REF!&lt;&gt;"N/A",Priority!$C77,"")</f>
        <v>#REF!</v>
      </c>
      <c r="BT77" s="29" t="e">
        <f>IF(#REF!&lt;&gt;"N/A",Priority!$C77,"")</f>
        <v>#REF!</v>
      </c>
      <c r="BU77" s="31"/>
      <c r="BV77" s="29" t="e">
        <f>IF(#REF!&lt;&gt;"N/A",Priority!$C77,"")</f>
        <v>#REF!</v>
      </c>
      <c r="BW77" s="29" t="e">
        <f>IF(#REF!&lt;&gt;"N/A",Priority!$C77,"")</f>
        <v>#REF!</v>
      </c>
      <c r="BX77" s="29" t="e">
        <f>IF(#REF!&lt;&gt;"N/A",Priority!$C77,"")</f>
        <v>#REF!</v>
      </c>
      <c r="BY77" s="29" t="e">
        <f>IF(#REF!&lt;&gt;"N/A",Priority!$C77,"")</f>
        <v>#REF!</v>
      </c>
      <c r="BZ77" s="29" t="e">
        <f>IF(#REF!&lt;&gt;"N/A",Priority!$C77,"")</f>
        <v>#REF!</v>
      </c>
      <c r="CA77" s="29" t="e">
        <f>IF(#REF!&lt;&gt;"N/A",Priority!$C77,"")</f>
        <v>#REF!</v>
      </c>
      <c r="CB77" s="31"/>
      <c r="CC77" s="29" t="e">
        <f>IF(#REF!&lt;&gt;"N/A",Priority!$C77,"")</f>
        <v>#REF!</v>
      </c>
      <c r="CD77" s="29" t="e">
        <f>IF(#REF!&lt;&gt;"N/A",Priority!$C77,"")</f>
        <v>#REF!</v>
      </c>
      <c r="CE77" s="29" t="e">
        <f>IF(#REF!&lt;&gt;"N/A",Priority!$C77,"")</f>
        <v>#REF!</v>
      </c>
      <c r="CF77" s="29" t="e">
        <f>IF(#REF!&lt;&gt;"N/A",Priority!$C77,"")</f>
        <v>#REF!</v>
      </c>
    </row>
    <row r="78" spans="1:84" ht="30">
      <c r="A78" s="15" t="e">
        <f>#REF!</f>
        <v>#REF!</v>
      </c>
      <c r="B78" s="15" t="e">
        <f>#REF!</f>
        <v>#REF!</v>
      </c>
      <c r="C78" s="15" t="e">
        <f>#REF!</f>
        <v>#REF!</v>
      </c>
      <c r="D78" s="28" t="s">
        <v>78</v>
      </c>
      <c r="E78" s="30" t="str">
        <f t="shared" si="15"/>
        <v>Pending</v>
      </c>
      <c r="F78" s="30" t="str">
        <f t="shared" si="16"/>
        <v>Pass:  0     /Accept:  0/     Fail:  0/     NT:  0</v>
      </c>
      <c r="G78" s="29" t="e">
        <f>IF(#REF!&lt;&gt;"N/A",Priority!$C78,"")</f>
        <v>#REF!</v>
      </c>
      <c r="H78" s="29" t="e">
        <f>IF(#REF!&lt;&gt;"N/A",Priority!$C78,"")</f>
        <v>#REF!</v>
      </c>
      <c r="I78" s="29" t="e">
        <f>IF(#REF!&lt;&gt;"N/A",Priority!$C78,"")</f>
        <v>#REF!</v>
      </c>
      <c r="J78" s="29" t="e">
        <f>IF(#REF!&lt;&gt;"N/A",Priority!$C78,"")</f>
        <v>#REF!</v>
      </c>
      <c r="K78" s="29" t="e">
        <f>IF(#REF!&lt;&gt;"N/A",Priority!$C78,"")</f>
        <v>#REF!</v>
      </c>
      <c r="L78" s="31"/>
      <c r="M78" s="29" t="e">
        <f>IF(#REF!&lt;&gt;"N/A",Priority!$C78,"")</f>
        <v>#REF!</v>
      </c>
      <c r="N78" s="29" t="e">
        <f>IF(#REF!&lt;&gt;"N/A",Priority!$C78,"")</f>
        <v>#REF!</v>
      </c>
      <c r="O78" s="29" t="e">
        <f>IF(#REF!&lt;&gt;"N/A",Priority!$C78,"")</f>
        <v>#REF!</v>
      </c>
      <c r="P78" s="29" t="e">
        <f>IF(#REF!&lt;&gt;"N/A",Priority!$C78,"")</f>
        <v>#REF!</v>
      </c>
      <c r="Q78" s="29" t="e">
        <f>IF(#REF!&lt;&gt;"N/A",Priority!$C78,"")</f>
        <v>#REF!</v>
      </c>
      <c r="R78" s="31"/>
      <c r="S78" s="29" t="e">
        <f>IF(#REF!&lt;&gt;"N/A",Priority!$C78,"")</f>
        <v>#REF!</v>
      </c>
      <c r="T78" s="29" t="e">
        <f>IF(#REF!&lt;&gt;"N/A",Priority!$C78,"")</f>
        <v>#REF!</v>
      </c>
      <c r="U78" s="29" t="e">
        <f>IF(#REF!&lt;&gt;"N/A",Priority!$C78,"")</f>
        <v>#REF!</v>
      </c>
      <c r="V78" s="29" t="e">
        <f>IF(#REF!&lt;&gt;"N/A",Priority!$C78,"")</f>
        <v>#REF!</v>
      </c>
      <c r="W78" s="29" t="e">
        <f>IF(#REF!&lt;&gt;"N/A",Priority!$C78,"")</f>
        <v>#REF!</v>
      </c>
      <c r="X78" s="29" t="e">
        <f>IF(#REF!&lt;&gt;"N/A",Priority!$C78,"")</f>
        <v>#REF!</v>
      </c>
      <c r="Y78" s="31"/>
      <c r="Z78" s="29" t="e">
        <f>IF(#REF!&lt;&gt;"N/A",Priority!$C78,"")</f>
        <v>#REF!</v>
      </c>
      <c r="AA78" s="29" t="e">
        <f>IF(#REF!&lt;&gt;"N/A",Priority!$C78,"")</f>
        <v>#REF!</v>
      </c>
      <c r="AB78" s="29" t="e">
        <f>IF(#REF!&lt;&gt;"N/A",Priority!$C78,"")</f>
        <v>#REF!</v>
      </c>
      <c r="AC78" s="29" t="e">
        <f>IF(#REF!&lt;&gt;"N/A",Priority!$C78,"")</f>
        <v>#REF!</v>
      </c>
      <c r="AD78" s="29" t="e">
        <f>IF(#REF!&lt;&gt;"N/A",Priority!$C78,"")</f>
        <v>#REF!</v>
      </c>
      <c r="AE78" s="29" t="e">
        <f>IF(#REF!&lt;&gt;"N/A",Priority!$C78,"")</f>
        <v>#REF!</v>
      </c>
      <c r="AF78" s="29" t="e">
        <f>IF(#REF!&lt;&gt;"N/A",Priority!$C78,"")</f>
        <v>#REF!</v>
      </c>
      <c r="AG78" s="29" t="e">
        <f>IF(#REF!&lt;&gt;"N/A",Priority!$C78,"")</f>
        <v>#REF!</v>
      </c>
      <c r="AH78" s="29" t="e">
        <f>IF(#REF!&lt;&gt;"N/A",Priority!$C78,"")</f>
        <v>#REF!</v>
      </c>
      <c r="AI78" s="29" t="e">
        <f>IF(#REF!&lt;&gt;"N/A",Priority!$C78,"")</f>
        <v>#REF!</v>
      </c>
      <c r="AJ78" s="31"/>
      <c r="AK78" s="29" t="e">
        <f>IF(#REF!&lt;&gt;"N/A",Priority!$C78,"")</f>
        <v>#REF!</v>
      </c>
      <c r="AL78" s="29" t="e">
        <f>IF(#REF!&lt;&gt;"N/A",Priority!$C78,"")</f>
        <v>#REF!</v>
      </c>
      <c r="AM78" s="29" t="e">
        <f>IF(#REF!&lt;&gt;"N/A",Priority!$C78,"")</f>
        <v>#REF!</v>
      </c>
      <c r="AN78" s="29" t="e">
        <f>IF(#REF!&lt;&gt;"N/A",Priority!$C78,"")</f>
        <v>#REF!</v>
      </c>
      <c r="AO78" s="29" t="e">
        <f>IF(#REF!&lt;&gt;"N/A",Priority!$C78,"")</f>
        <v>#REF!</v>
      </c>
      <c r="AP78" s="29" t="e">
        <f>IF(#REF!&lt;&gt;"N/A",Priority!$C78,"")</f>
        <v>#REF!</v>
      </c>
      <c r="AQ78" s="29" t="e">
        <f>IF(#REF!&lt;&gt;"N/A",Priority!$C78,"")</f>
        <v>#REF!</v>
      </c>
      <c r="AR78" s="29" t="e">
        <f>IF(#REF!&lt;&gt;"N/A",Priority!$C78,"")</f>
        <v>#REF!</v>
      </c>
      <c r="AS78" s="29" t="e">
        <f>IF(#REF!&lt;&gt;"N/A",Priority!$C78,"")</f>
        <v>#REF!</v>
      </c>
      <c r="AT78" s="29" t="e">
        <f>IF(#REF!&lt;&gt;"N/A",Priority!$C78,"")</f>
        <v>#REF!</v>
      </c>
      <c r="AU78" s="31"/>
      <c r="AV78" s="29" t="e">
        <f>IF(#REF!&lt;&gt;"N/A",Priority!$C78,"")</f>
        <v>#REF!</v>
      </c>
      <c r="AW78" s="29" t="e">
        <f>IF(#REF!&lt;&gt;"N/A",Priority!$C78,"")</f>
        <v>#REF!</v>
      </c>
      <c r="AX78" s="29" t="e">
        <f>IF(#REF!&lt;&gt;"N/A",Priority!$C78,"")</f>
        <v>#REF!</v>
      </c>
      <c r="AY78" s="29" t="e">
        <f>IF(#REF!&lt;&gt;"N/A",Priority!$C78,"")</f>
        <v>#REF!</v>
      </c>
      <c r="AZ78" s="29" t="e">
        <f>IF(#REF!&lt;&gt;"N/A",Priority!$C78,"")</f>
        <v>#REF!</v>
      </c>
      <c r="BA78" s="29" t="e">
        <f>IF(#REF!&lt;&gt;"N/A",Priority!$C78,"")</f>
        <v>#REF!</v>
      </c>
      <c r="BB78" s="29" t="e">
        <f>IF(#REF!&lt;&gt;"N/A",Priority!$C78,"")</f>
        <v>#REF!</v>
      </c>
      <c r="BC78" s="31"/>
      <c r="BD78" s="29" t="e">
        <f>IF(#REF!&lt;&gt;"N/A",Priority!$C78,"")</f>
        <v>#REF!</v>
      </c>
      <c r="BE78" s="29" t="e">
        <f>IF(#REF!&lt;&gt;"N/A",Priority!$C78,"")</f>
        <v>#REF!</v>
      </c>
      <c r="BF78" s="29" t="e">
        <f>IF(#REF!&lt;&gt;"N/A",Priority!$C78,"")</f>
        <v>#REF!</v>
      </c>
      <c r="BG78" s="29" t="e">
        <f>IF(#REF!&lt;&gt;"N/A",Priority!$C78,"")</f>
        <v>#REF!</v>
      </c>
      <c r="BH78" s="29" t="e">
        <f>IF(#REF!&lt;&gt;"N/A",Priority!$C78,"")</f>
        <v>#REF!</v>
      </c>
      <c r="BI78" s="29" t="e">
        <f>IF(#REF!&lt;&gt;"N/A",Priority!$C78,"")</f>
        <v>#REF!</v>
      </c>
      <c r="BJ78" s="29" t="e">
        <f>IF(#REF!&lt;&gt;"N/A",Priority!$C78,"")</f>
        <v>#REF!</v>
      </c>
      <c r="BK78" s="29" t="e">
        <f>IF(#REF!&lt;&gt;"N/A",Priority!$C78,"")</f>
        <v>#REF!</v>
      </c>
      <c r="BL78" s="29" t="e">
        <f>IF(#REF!&lt;&gt;"N/A",Priority!$C78,"")</f>
        <v>#REF!</v>
      </c>
      <c r="BM78" s="31"/>
      <c r="BN78" s="29" t="e">
        <f>IF(#REF!&lt;&gt;"N/A",Priority!$C78,"")</f>
        <v>#REF!</v>
      </c>
      <c r="BO78" s="29" t="e">
        <f>IF(#REF!&lt;&gt;"N/A",Priority!$C78,"")</f>
        <v>#REF!</v>
      </c>
      <c r="BP78" s="29" t="e">
        <f>IF(#REF!&lt;&gt;"N/A",Priority!$C78,"")</f>
        <v>#REF!</v>
      </c>
      <c r="BQ78" s="29" t="e">
        <f>IF(#REF!&lt;&gt;"N/A",Priority!$C78,"")</f>
        <v>#REF!</v>
      </c>
      <c r="BR78" s="29" t="e">
        <f>IF(#REF!&lt;&gt;"N/A",Priority!$C78,"")</f>
        <v>#REF!</v>
      </c>
      <c r="BS78" s="29" t="e">
        <f>IF(#REF!&lt;&gt;"N/A",Priority!$C78,"")</f>
        <v>#REF!</v>
      </c>
      <c r="BT78" s="29" t="e">
        <f>IF(#REF!&lt;&gt;"N/A",Priority!$C78,"")</f>
        <v>#REF!</v>
      </c>
      <c r="BU78" s="31"/>
      <c r="BV78" s="29" t="e">
        <f>IF(#REF!&lt;&gt;"N/A",Priority!$C78,"")</f>
        <v>#REF!</v>
      </c>
      <c r="BW78" s="29" t="e">
        <f>IF(#REF!&lt;&gt;"N/A",Priority!$C78,"")</f>
        <v>#REF!</v>
      </c>
      <c r="BX78" s="29" t="e">
        <f>IF(#REF!&lt;&gt;"N/A",Priority!$C78,"")</f>
        <v>#REF!</v>
      </c>
      <c r="BY78" s="29" t="e">
        <f>IF(#REF!&lt;&gt;"N/A",Priority!$C78,"")</f>
        <v>#REF!</v>
      </c>
      <c r="BZ78" s="29" t="e">
        <f>IF(#REF!&lt;&gt;"N/A",Priority!$C78,"")</f>
        <v>#REF!</v>
      </c>
      <c r="CA78" s="29" t="e">
        <f>IF(#REF!&lt;&gt;"N/A",Priority!$C78,"")</f>
        <v>#REF!</v>
      </c>
      <c r="CB78" s="31"/>
      <c r="CC78" s="29" t="e">
        <f>IF(#REF!&lt;&gt;"N/A",Priority!$C78,"")</f>
        <v>#REF!</v>
      </c>
      <c r="CD78" s="29" t="e">
        <f>IF(#REF!&lt;&gt;"N/A",Priority!$C78,"")</f>
        <v>#REF!</v>
      </c>
      <c r="CE78" s="29" t="e">
        <f>IF(#REF!&lt;&gt;"N/A",Priority!$C78,"")</f>
        <v>#REF!</v>
      </c>
      <c r="CF78" s="29" t="e">
        <f>IF(#REF!&lt;&gt;"N/A",Priority!$C78,"")</f>
        <v>#REF!</v>
      </c>
    </row>
    <row r="79" spans="1:84" ht="30">
      <c r="A79" s="15" t="e">
        <f>#REF!</f>
        <v>#REF!</v>
      </c>
      <c r="B79" s="15" t="e">
        <f>#REF!</f>
        <v>#REF!</v>
      </c>
      <c r="C79" s="15" t="e">
        <f>#REF!</f>
        <v>#REF!</v>
      </c>
      <c r="D79" s="28" t="s">
        <v>41</v>
      </c>
      <c r="E79" s="30" t="str">
        <f t="shared" si="15"/>
        <v>Pending</v>
      </c>
      <c r="F79" s="30" t="str">
        <f t="shared" si="16"/>
        <v>Pass:  0     /Accept:  0/     Fail:  0/     NT:  0</v>
      </c>
      <c r="G79" s="29" t="e">
        <f>IF(#REF!&lt;&gt;"N/A",Priority!$C79,"")</f>
        <v>#REF!</v>
      </c>
      <c r="H79" s="29" t="e">
        <f>IF(#REF!&lt;&gt;"N/A",Priority!$C79,"")</f>
        <v>#REF!</v>
      </c>
      <c r="I79" s="29" t="e">
        <f>IF(#REF!&lt;&gt;"N/A",Priority!$C79,"")</f>
        <v>#REF!</v>
      </c>
      <c r="J79" s="29" t="e">
        <f>IF(#REF!&lt;&gt;"N/A",Priority!$C79,"")</f>
        <v>#REF!</v>
      </c>
      <c r="K79" s="29" t="e">
        <f>IF(#REF!&lt;&gt;"N/A",Priority!$C79,"")</f>
        <v>#REF!</v>
      </c>
      <c r="L79" s="31"/>
      <c r="M79" s="29" t="e">
        <f>IF(#REF!&lt;&gt;"N/A",Priority!$C79,"")</f>
        <v>#REF!</v>
      </c>
      <c r="N79" s="29" t="e">
        <f>IF(#REF!&lt;&gt;"N/A",Priority!$C79,"")</f>
        <v>#REF!</v>
      </c>
      <c r="O79" s="29" t="e">
        <f>IF(#REF!&lt;&gt;"N/A",Priority!$C79,"")</f>
        <v>#REF!</v>
      </c>
      <c r="P79" s="29" t="e">
        <f>IF(#REF!&lt;&gt;"N/A",Priority!$C79,"")</f>
        <v>#REF!</v>
      </c>
      <c r="Q79" s="29" t="e">
        <f>IF(#REF!&lt;&gt;"N/A",Priority!$C79,"")</f>
        <v>#REF!</v>
      </c>
      <c r="R79" s="31"/>
      <c r="S79" s="29" t="e">
        <f>IF(#REF!&lt;&gt;"N/A",Priority!$C79,"")</f>
        <v>#REF!</v>
      </c>
      <c r="T79" s="29" t="e">
        <f>IF(#REF!&lt;&gt;"N/A",Priority!$C79,"")</f>
        <v>#REF!</v>
      </c>
      <c r="U79" s="29" t="e">
        <f>IF(#REF!&lt;&gt;"N/A",Priority!$C79,"")</f>
        <v>#REF!</v>
      </c>
      <c r="V79" s="29" t="e">
        <f>IF(#REF!&lt;&gt;"N/A",Priority!$C79,"")</f>
        <v>#REF!</v>
      </c>
      <c r="W79" s="29" t="e">
        <f>IF(#REF!&lt;&gt;"N/A",Priority!$C79,"")</f>
        <v>#REF!</v>
      </c>
      <c r="X79" s="29" t="e">
        <f>IF(#REF!&lt;&gt;"N/A",Priority!$C79,"")</f>
        <v>#REF!</v>
      </c>
      <c r="Y79" s="31"/>
      <c r="Z79" s="29" t="e">
        <f>IF(#REF!&lt;&gt;"N/A",Priority!$C79,"")</f>
        <v>#REF!</v>
      </c>
      <c r="AA79" s="29" t="e">
        <f>IF(#REF!&lt;&gt;"N/A",Priority!$C79,"")</f>
        <v>#REF!</v>
      </c>
      <c r="AB79" s="29" t="e">
        <f>IF(#REF!&lt;&gt;"N/A",Priority!$C79,"")</f>
        <v>#REF!</v>
      </c>
      <c r="AC79" s="29" t="e">
        <f>IF(#REF!&lt;&gt;"N/A",Priority!$C79,"")</f>
        <v>#REF!</v>
      </c>
      <c r="AD79" s="29" t="e">
        <f>IF(#REF!&lt;&gt;"N/A",Priority!$C79,"")</f>
        <v>#REF!</v>
      </c>
      <c r="AE79" s="29" t="e">
        <f>IF(#REF!&lt;&gt;"N/A",Priority!$C79,"")</f>
        <v>#REF!</v>
      </c>
      <c r="AF79" s="29" t="e">
        <f>IF(#REF!&lt;&gt;"N/A",Priority!$C79,"")</f>
        <v>#REF!</v>
      </c>
      <c r="AG79" s="29" t="e">
        <f>IF(#REF!&lt;&gt;"N/A",Priority!$C79,"")</f>
        <v>#REF!</v>
      </c>
      <c r="AH79" s="29" t="e">
        <f>IF(#REF!&lt;&gt;"N/A",Priority!$C79,"")</f>
        <v>#REF!</v>
      </c>
      <c r="AI79" s="29" t="e">
        <f>IF(#REF!&lt;&gt;"N/A",Priority!$C79,"")</f>
        <v>#REF!</v>
      </c>
      <c r="AJ79" s="31"/>
      <c r="AK79" s="29" t="e">
        <f>IF(#REF!&lt;&gt;"N/A",Priority!$C79,"")</f>
        <v>#REF!</v>
      </c>
      <c r="AL79" s="29" t="e">
        <f>IF(#REF!&lt;&gt;"N/A",Priority!$C79,"")</f>
        <v>#REF!</v>
      </c>
      <c r="AM79" s="29" t="e">
        <f>IF(#REF!&lt;&gt;"N/A",Priority!$C79,"")</f>
        <v>#REF!</v>
      </c>
      <c r="AN79" s="29" t="e">
        <f>IF(#REF!&lt;&gt;"N/A",Priority!$C79,"")</f>
        <v>#REF!</v>
      </c>
      <c r="AO79" s="29" t="e">
        <f>IF(#REF!&lt;&gt;"N/A",Priority!$C79,"")</f>
        <v>#REF!</v>
      </c>
      <c r="AP79" s="29" t="e">
        <f>IF(#REF!&lt;&gt;"N/A",Priority!$C79,"")</f>
        <v>#REF!</v>
      </c>
      <c r="AQ79" s="29" t="e">
        <f>IF(#REF!&lt;&gt;"N/A",Priority!$C79,"")</f>
        <v>#REF!</v>
      </c>
      <c r="AR79" s="29" t="e">
        <f>IF(#REF!&lt;&gt;"N/A",Priority!$C79,"")</f>
        <v>#REF!</v>
      </c>
      <c r="AS79" s="29" t="e">
        <f>IF(#REF!&lt;&gt;"N/A",Priority!$C79,"")</f>
        <v>#REF!</v>
      </c>
      <c r="AT79" s="29" t="e">
        <f>IF(#REF!&lt;&gt;"N/A",Priority!$C79,"")</f>
        <v>#REF!</v>
      </c>
      <c r="AU79" s="31"/>
      <c r="AV79" s="29" t="e">
        <f>IF(#REF!&lt;&gt;"N/A",Priority!$C79,"")</f>
        <v>#REF!</v>
      </c>
      <c r="AW79" s="29" t="e">
        <f>IF(#REF!&lt;&gt;"N/A",Priority!$C79,"")</f>
        <v>#REF!</v>
      </c>
      <c r="AX79" s="29" t="e">
        <f>IF(#REF!&lt;&gt;"N/A",Priority!$C79,"")</f>
        <v>#REF!</v>
      </c>
      <c r="AY79" s="29" t="e">
        <f>IF(#REF!&lt;&gt;"N/A",Priority!$C79,"")</f>
        <v>#REF!</v>
      </c>
      <c r="AZ79" s="29" t="e">
        <f>IF(#REF!&lt;&gt;"N/A",Priority!$C79,"")</f>
        <v>#REF!</v>
      </c>
      <c r="BA79" s="29" t="e">
        <f>IF(#REF!&lt;&gt;"N/A",Priority!$C79,"")</f>
        <v>#REF!</v>
      </c>
      <c r="BB79" s="29" t="e">
        <f>IF(#REF!&lt;&gt;"N/A",Priority!$C79,"")</f>
        <v>#REF!</v>
      </c>
      <c r="BC79" s="31"/>
      <c r="BD79" s="29" t="e">
        <f>IF(#REF!&lt;&gt;"N/A",Priority!$C79,"")</f>
        <v>#REF!</v>
      </c>
      <c r="BE79" s="29" t="e">
        <f>IF(#REF!&lt;&gt;"N/A",Priority!$C79,"")</f>
        <v>#REF!</v>
      </c>
      <c r="BF79" s="29" t="e">
        <f>IF(#REF!&lt;&gt;"N/A",Priority!$C79,"")</f>
        <v>#REF!</v>
      </c>
      <c r="BG79" s="29" t="e">
        <f>IF(#REF!&lt;&gt;"N/A",Priority!$C79,"")</f>
        <v>#REF!</v>
      </c>
      <c r="BH79" s="29" t="e">
        <f>IF(#REF!&lt;&gt;"N/A",Priority!$C79,"")</f>
        <v>#REF!</v>
      </c>
      <c r="BI79" s="29" t="e">
        <f>IF(#REF!&lt;&gt;"N/A",Priority!$C79,"")</f>
        <v>#REF!</v>
      </c>
      <c r="BJ79" s="29" t="e">
        <f>IF(#REF!&lt;&gt;"N/A",Priority!$C79,"")</f>
        <v>#REF!</v>
      </c>
      <c r="BK79" s="29" t="e">
        <f>IF(#REF!&lt;&gt;"N/A",Priority!$C79,"")</f>
        <v>#REF!</v>
      </c>
      <c r="BL79" s="29" t="e">
        <f>IF(#REF!&lt;&gt;"N/A",Priority!$C79,"")</f>
        <v>#REF!</v>
      </c>
      <c r="BM79" s="31"/>
      <c r="BN79" s="29" t="e">
        <f>IF(#REF!&lt;&gt;"N/A",Priority!$C79,"")</f>
        <v>#REF!</v>
      </c>
      <c r="BO79" s="29" t="e">
        <f>IF(#REF!&lt;&gt;"N/A",Priority!$C79,"")</f>
        <v>#REF!</v>
      </c>
      <c r="BP79" s="29" t="e">
        <f>IF(#REF!&lt;&gt;"N/A",Priority!$C79,"")</f>
        <v>#REF!</v>
      </c>
      <c r="BQ79" s="29" t="e">
        <f>IF(#REF!&lt;&gt;"N/A",Priority!$C79,"")</f>
        <v>#REF!</v>
      </c>
      <c r="BR79" s="29" t="e">
        <f>IF(#REF!&lt;&gt;"N/A",Priority!$C79,"")</f>
        <v>#REF!</v>
      </c>
      <c r="BS79" s="29" t="e">
        <f>IF(#REF!&lt;&gt;"N/A",Priority!$C79,"")</f>
        <v>#REF!</v>
      </c>
      <c r="BT79" s="29" t="e">
        <f>IF(#REF!&lt;&gt;"N/A",Priority!$C79,"")</f>
        <v>#REF!</v>
      </c>
      <c r="BU79" s="31"/>
      <c r="BV79" s="29" t="e">
        <f>IF(#REF!&lt;&gt;"N/A",Priority!$C79,"")</f>
        <v>#REF!</v>
      </c>
      <c r="BW79" s="29" t="e">
        <f>IF(#REF!&lt;&gt;"N/A",Priority!$C79,"")</f>
        <v>#REF!</v>
      </c>
      <c r="BX79" s="29" t="e">
        <f>IF(#REF!&lt;&gt;"N/A",Priority!$C79,"")</f>
        <v>#REF!</v>
      </c>
      <c r="BY79" s="29" t="e">
        <f>IF(#REF!&lt;&gt;"N/A",Priority!$C79,"")</f>
        <v>#REF!</v>
      </c>
      <c r="BZ79" s="29" t="e">
        <f>IF(#REF!&lt;&gt;"N/A",Priority!$C79,"")</f>
        <v>#REF!</v>
      </c>
      <c r="CA79" s="29" t="e">
        <f>IF(#REF!&lt;&gt;"N/A",Priority!$C79,"")</f>
        <v>#REF!</v>
      </c>
      <c r="CB79" s="31"/>
      <c r="CC79" s="29" t="e">
        <f>IF(#REF!&lt;&gt;"N/A",Priority!$C79,"")</f>
        <v>#REF!</v>
      </c>
      <c r="CD79" s="29" t="e">
        <f>IF(#REF!&lt;&gt;"N/A",Priority!$C79,"")</f>
        <v>#REF!</v>
      </c>
      <c r="CE79" s="29" t="e">
        <f>IF(#REF!&lt;&gt;"N/A",Priority!$C79,"")</f>
        <v>#REF!</v>
      </c>
      <c r="CF79" s="29" t="e">
        <f>IF(#REF!&lt;&gt;"N/A",Priority!$C79,"")</f>
        <v>#REF!</v>
      </c>
    </row>
    <row r="80" spans="1:84" ht="30">
      <c r="A80" s="15" t="e">
        <f>#REF!</f>
        <v>#REF!</v>
      </c>
      <c r="B80" s="15" t="e">
        <f>#REF!</f>
        <v>#REF!</v>
      </c>
      <c r="C80" s="15" t="e">
        <f>#REF!</f>
        <v>#REF!</v>
      </c>
      <c r="D80" s="28" t="s">
        <v>41</v>
      </c>
      <c r="E80" s="30" t="str">
        <f t="shared" si="15"/>
        <v>Pending</v>
      </c>
      <c r="F80" s="30" t="str">
        <f t="shared" si="16"/>
        <v>Pass:  0     /Accept:  0/     Fail:  0/     NT:  0</v>
      </c>
      <c r="G80" s="29" t="e">
        <f>IF(#REF!&lt;&gt;"N/A",Priority!$C80,"")</f>
        <v>#REF!</v>
      </c>
      <c r="H80" s="29" t="e">
        <f>IF(#REF!&lt;&gt;"N/A",Priority!$C80,"")</f>
        <v>#REF!</v>
      </c>
      <c r="I80" s="29" t="e">
        <f>IF(#REF!&lt;&gt;"N/A",Priority!$C80,"")</f>
        <v>#REF!</v>
      </c>
      <c r="J80" s="29" t="e">
        <f>IF(#REF!&lt;&gt;"N/A",Priority!$C80,"")</f>
        <v>#REF!</v>
      </c>
      <c r="K80" s="29" t="e">
        <f>IF(#REF!&lt;&gt;"N/A",Priority!$C80,"")</f>
        <v>#REF!</v>
      </c>
      <c r="L80" s="31"/>
      <c r="M80" s="29" t="e">
        <f>IF(#REF!&lt;&gt;"N/A",Priority!$C80,"")</f>
        <v>#REF!</v>
      </c>
      <c r="N80" s="29" t="e">
        <f>IF(#REF!&lt;&gt;"N/A",Priority!$C80,"")</f>
        <v>#REF!</v>
      </c>
      <c r="O80" s="29" t="e">
        <f>IF(#REF!&lt;&gt;"N/A",Priority!$C80,"")</f>
        <v>#REF!</v>
      </c>
      <c r="P80" s="29" t="e">
        <f>IF(#REF!&lt;&gt;"N/A",Priority!$C80,"")</f>
        <v>#REF!</v>
      </c>
      <c r="Q80" s="29" t="e">
        <f>IF(#REF!&lt;&gt;"N/A",Priority!$C80,"")</f>
        <v>#REF!</v>
      </c>
      <c r="R80" s="31"/>
      <c r="S80" s="29" t="e">
        <f>IF(#REF!&lt;&gt;"N/A",Priority!$C80,"")</f>
        <v>#REF!</v>
      </c>
      <c r="T80" s="29" t="e">
        <f>IF(#REF!&lt;&gt;"N/A",Priority!$C80,"")</f>
        <v>#REF!</v>
      </c>
      <c r="U80" s="29" t="e">
        <f>IF(#REF!&lt;&gt;"N/A",Priority!$C80,"")</f>
        <v>#REF!</v>
      </c>
      <c r="V80" s="29" t="e">
        <f>IF(#REF!&lt;&gt;"N/A",Priority!$C80,"")</f>
        <v>#REF!</v>
      </c>
      <c r="W80" s="29" t="e">
        <f>IF(#REF!&lt;&gt;"N/A",Priority!$C80,"")</f>
        <v>#REF!</v>
      </c>
      <c r="X80" s="29" t="e">
        <f>IF(#REF!&lt;&gt;"N/A",Priority!$C80,"")</f>
        <v>#REF!</v>
      </c>
      <c r="Y80" s="31"/>
      <c r="Z80" s="29" t="e">
        <f>IF(#REF!&lt;&gt;"N/A",Priority!$C80,"")</f>
        <v>#REF!</v>
      </c>
      <c r="AA80" s="29" t="e">
        <f>IF(#REF!&lt;&gt;"N/A",Priority!$C80,"")</f>
        <v>#REF!</v>
      </c>
      <c r="AB80" s="29" t="e">
        <f>IF(#REF!&lt;&gt;"N/A",Priority!$C80,"")</f>
        <v>#REF!</v>
      </c>
      <c r="AC80" s="29" t="e">
        <f>IF(#REF!&lt;&gt;"N/A",Priority!$C80,"")</f>
        <v>#REF!</v>
      </c>
      <c r="AD80" s="29" t="e">
        <f>IF(#REF!&lt;&gt;"N/A",Priority!$C80,"")</f>
        <v>#REF!</v>
      </c>
      <c r="AE80" s="29" t="e">
        <f>IF(#REF!&lt;&gt;"N/A",Priority!$C80,"")</f>
        <v>#REF!</v>
      </c>
      <c r="AF80" s="29" t="e">
        <f>IF(#REF!&lt;&gt;"N/A",Priority!$C80,"")</f>
        <v>#REF!</v>
      </c>
      <c r="AG80" s="29" t="e">
        <f>IF(#REF!&lt;&gt;"N/A",Priority!$C80,"")</f>
        <v>#REF!</v>
      </c>
      <c r="AH80" s="29" t="e">
        <f>IF(#REF!&lt;&gt;"N/A",Priority!$C80,"")</f>
        <v>#REF!</v>
      </c>
      <c r="AI80" s="29" t="e">
        <f>IF(#REF!&lt;&gt;"N/A",Priority!$C80,"")</f>
        <v>#REF!</v>
      </c>
      <c r="AJ80" s="31"/>
      <c r="AK80" s="29" t="e">
        <f>IF(#REF!&lt;&gt;"N/A",Priority!$C80,"")</f>
        <v>#REF!</v>
      </c>
      <c r="AL80" s="29" t="e">
        <f>IF(#REF!&lt;&gt;"N/A",Priority!$C80,"")</f>
        <v>#REF!</v>
      </c>
      <c r="AM80" s="29" t="e">
        <f>IF(#REF!&lt;&gt;"N/A",Priority!$C80,"")</f>
        <v>#REF!</v>
      </c>
      <c r="AN80" s="29" t="e">
        <f>IF(#REF!&lt;&gt;"N/A",Priority!$C80,"")</f>
        <v>#REF!</v>
      </c>
      <c r="AO80" s="29" t="e">
        <f>IF(#REF!&lt;&gt;"N/A",Priority!$C80,"")</f>
        <v>#REF!</v>
      </c>
      <c r="AP80" s="29" t="e">
        <f>IF(#REF!&lt;&gt;"N/A",Priority!$C80,"")</f>
        <v>#REF!</v>
      </c>
      <c r="AQ80" s="29" t="e">
        <f>IF(#REF!&lt;&gt;"N/A",Priority!$C80,"")</f>
        <v>#REF!</v>
      </c>
      <c r="AR80" s="29" t="e">
        <f>IF(#REF!&lt;&gt;"N/A",Priority!$C80,"")</f>
        <v>#REF!</v>
      </c>
      <c r="AS80" s="29" t="e">
        <f>IF(#REF!&lt;&gt;"N/A",Priority!$C80,"")</f>
        <v>#REF!</v>
      </c>
      <c r="AT80" s="29" t="e">
        <f>IF(#REF!&lt;&gt;"N/A",Priority!$C80,"")</f>
        <v>#REF!</v>
      </c>
      <c r="AU80" s="31"/>
      <c r="AV80" s="29" t="e">
        <f>IF(#REF!&lt;&gt;"N/A",Priority!$C80,"")</f>
        <v>#REF!</v>
      </c>
      <c r="AW80" s="29" t="e">
        <f>IF(#REF!&lt;&gt;"N/A",Priority!$C80,"")</f>
        <v>#REF!</v>
      </c>
      <c r="AX80" s="29" t="e">
        <f>IF(#REF!&lt;&gt;"N/A",Priority!$C80,"")</f>
        <v>#REF!</v>
      </c>
      <c r="AY80" s="29" t="e">
        <f>IF(#REF!&lt;&gt;"N/A",Priority!$C80,"")</f>
        <v>#REF!</v>
      </c>
      <c r="AZ80" s="29" t="e">
        <f>IF(#REF!&lt;&gt;"N/A",Priority!$C80,"")</f>
        <v>#REF!</v>
      </c>
      <c r="BA80" s="29" t="e">
        <f>IF(#REF!&lt;&gt;"N/A",Priority!$C80,"")</f>
        <v>#REF!</v>
      </c>
      <c r="BB80" s="29" t="e">
        <f>IF(#REF!&lt;&gt;"N/A",Priority!$C80,"")</f>
        <v>#REF!</v>
      </c>
      <c r="BC80" s="31"/>
      <c r="BD80" s="29" t="e">
        <f>IF(#REF!&lt;&gt;"N/A",Priority!$C80,"")</f>
        <v>#REF!</v>
      </c>
      <c r="BE80" s="29" t="e">
        <f>IF(#REF!&lt;&gt;"N/A",Priority!$C80,"")</f>
        <v>#REF!</v>
      </c>
      <c r="BF80" s="29" t="e">
        <f>IF(#REF!&lt;&gt;"N/A",Priority!$C80,"")</f>
        <v>#REF!</v>
      </c>
      <c r="BG80" s="29" t="e">
        <f>IF(#REF!&lt;&gt;"N/A",Priority!$C80,"")</f>
        <v>#REF!</v>
      </c>
      <c r="BH80" s="29" t="e">
        <f>IF(#REF!&lt;&gt;"N/A",Priority!$C80,"")</f>
        <v>#REF!</v>
      </c>
      <c r="BI80" s="29" t="e">
        <f>IF(#REF!&lt;&gt;"N/A",Priority!$C80,"")</f>
        <v>#REF!</v>
      </c>
      <c r="BJ80" s="29" t="e">
        <f>IF(#REF!&lt;&gt;"N/A",Priority!$C80,"")</f>
        <v>#REF!</v>
      </c>
      <c r="BK80" s="29" t="e">
        <f>IF(#REF!&lt;&gt;"N/A",Priority!$C80,"")</f>
        <v>#REF!</v>
      </c>
      <c r="BL80" s="29" t="e">
        <f>IF(#REF!&lt;&gt;"N/A",Priority!$C80,"")</f>
        <v>#REF!</v>
      </c>
      <c r="BM80" s="31"/>
      <c r="BN80" s="29" t="e">
        <f>IF(#REF!&lt;&gt;"N/A",Priority!$C80,"")</f>
        <v>#REF!</v>
      </c>
      <c r="BO80" s="29" t="e">
        <f>IF(#REF!&lt;&gt;"N/A",Priority!$C80,"")</f>
        <v>#REF!</v>
      </c>
      <c r="BP80" s="29" t="e">
        <f>IF(#REF!&lt;&gt;"N/A",Priority!$C80,"")</f>
        <v>#REF!</v>
      </c>
      <c r="BQ80" s="29" t="e">
        <f>IF(#REF!&lt;&gt;"N/A",Priority!$C80,"")</f>
        <v>#REF!</v>
      </c>
      <c r="BR80" s="29" t="e">
        <f>IF(#REF!&lt;&gt;"N/A",Priority!$C80,"")</f>
        <v>#REF!</v>
      </c>
      <c r="BS80" s="29" t="e">
        <f>IF(#REF!&lt;&gt;"N/A",Priority!$C80,"")</f>
        <v>#REF!</v>
      </c>
      <c r="BT80" s="29" t="e">
        <f>IF(#REF!&lt;&gt;"N/A",Priority!$C80,"")</f>
        <v>#REF!</v>
      </c>
      <c r="BU80" s="31"/>
      <c r="BV80" s="29" t="e">
        <f>IF(#REF!&lt;&gt;"N/A",Priority!$C80,"")</f>
        <v>#REF!</v>
      </c>
      <c r="BW80" s="29" t="e">
        <f>IF(#REF!&lt;&gt;"N/A",Priority!$C80,"")</f>
        <v>#REF!</v>
      </c>
      <c r="BX80" s="29" t="e">
        <f>IF(#REF!&lt;&gt;"N/A",Priority!$C80,"")</f>
        <v>#REF!</v>
      </c>
      <c r="BY80" s="29" t="e">
        <f>IF(#REF!&lt;&gt;"N/A",Priority!$C80,"")</f>
        <v>#REF!</v>
      </c>
      <c r="BZ80" s="29" t="e">
        <f>IF(#REF!&lt;&gt;"N/A",Priority!$C80,"")</f>
        <v>#REF!</v>
      </c>
      <c r="CA80" s="29" t="e">
        <f>IF(#REF!&lt;&gt;"N/A",Priority!$C80,"")</f>
        <v>#REF!</v>
      </c>
      <c r="CB80" s="31"/>
      <c r="CC80" s="29" t="e">
        <f>IF(#REF!&lt;&gt;"N/A",Priority!$C80,"")</f>
        <v>#REF!</v>
      </c>
      <c r="CD80" s="29" t="e">
        <f>IF(#REF!&lt;&gt;"N/A",Priority!$C80,"")</f>
        <v>#REF!</v>
      </c>
      <c r="CE80" s="29" t="e">
        <f>IF(#REF!&lt;&gt;"N/A",Priority!$C80,"")</f>
        <v>#REF!</v>
      </c>
      <c r="CF80" s="29" t="e">
        <f>IF(#REF!&lt;&gt;"N/A",Priority!$C80,"")</f>
        <v>#REF!</v>
      </c>
    </row>
    <row r="81" spans="1:1" ht="15.75">
      <c r="A81" s="15"/>
    </row>
  </sheetData>
  <autoFilter ref="C2:CF80"/>
  <conditionalFormatting sqref="M3:Q3 M5:Q7 M14:Q19 M21:Q44 M46:Q51 M53:Q57 M59:Q64 M67:Q71 M73:Q80 Z14:AI19 Z46:AI51 Z53:AI57 Z59:AI64 Z67:AI71 Z73:AI80 AK5:AT7 AK9:AT11 AK14:AT19 AK21:AT44 AK46:AT51 AK53:AT57 AK59:AT64 AK67:AT71 AK73:AT80 AV5:BB7 AV9:BB11 AV14:BB19 AV21:BB44 AV59:BB64 AV67:BB71 AV73:BB80 BD5:BL7 BD9:BL11 BD14:BL19 BD21:BL44 BD46:BL51 BD53:BL57 BD59:BL64 BD67:BL71 BD73:BL80 AK3:AT3 AV3:BB3 BD3:BL3 Z3:AI3 Z21:AI44 Z5:AI7 BM1 BC1 AU1 AT2:AU65536 AJ1 Y2:Z65536 Y1 R1 Q2:R65536 L1 N1:P1048576 L2:M65536 AK1:AS1048576 BL2:BM65536 AV1:BA1048576 AA1:AF1048576 BB2:BC65536 BD1:BK1048576 BN1:IV1048576 A1:K1048576 M9:Q12 S1:X1048576 Z9:AI12 AG2:AJ65536 AV46:BB57">
    <cfRule type="cellIs" dxfId="336" priority="67" operator="equal">
      <formula>"N/A"</formula>
    </cfRule>
  </conditionalFormatting>
  <printOptions horizontalCentered="1"/>
  <pageMargins left="0.5" right="0.5" top="0.9" bottom="0.5" header="0.3" footer="0.3"/>
  <pageSetup scale="11" fitToHeight="99" orientation="portrait" r:id="rId1"/>
  <headerFooter>
    <oddHeader>&amp;C&amp;"-,Bold"&amp;14Centralized Access for Data Exchange (CAFDEx)
Requirements Traceability Matrix (RTM)</oddHeader>
  </headerFooter>
</worksheet>
</file>

<file path=xl/worksheets/sheet6.xml><?xml version="1.0" encoding="utf-8"?>
<worksheet xmlns="http://schemas.openxmlformats.org/spreadsheetml/2006/main" xmlns:r="http://schemas.openxmlformats.org/officeDocument/2006/relationships">
  <sheetPr>
    <tabColor rgb="FF0066CC"/>
    <pageSetUpPr fitToPage="1"/>
  </sheetPr>
  <dimension ref="A1:N112"/>
  <sheetViews>
    <sheetView topLeftCell="A57" zoomScale="80" zoomScaleNormal="80" workbookViewId="0">
      <selection sqref="A1:G1"/>
    </sheetView>
  </sheetViews>
  <sheetFormatPr defaultRowHeight="15"/>
  <cols>
    <col min="1" max="1" width="9.28515625" style="278" customWidth="1"/>
    <col min="2" max="2" width="13" style="278" bestFit="1" customWidth="1"/>
    <col min="3" max="3" width="70.5703125" style="280" customWidth="1"/>
    <col min="4" max="4" width="10.28515625" style="407" bestFit="1" customWidth="1"/>
    <col min="5" max="5" width="16" style="341" bestFit="1" customWidth="1"/>
    <col min="6" max="6" width="13.7109375" style="279" customWidth="1"/>
    <col min="7" max="7" width="13.7109375" style="341" customWidth="1"/>
    <col min="8" max="9" width="11.42578125" style="279" customWidth="1"/>
    <col min="10" max="10" width="12.28515625" style="279" bestFit="1" customWidth="1"/>
    <col min="11" max="11" width="4.85546875" style="281" bestFit="1" customWidth="1"/>
    <col min="12" max="12" width="4.140625" style="281" bestFit="1" customWidth="1"/>
    <col min="13" max="13" width="7" style="335" bestFit="1" customWidth="1"/>
    <col min="14" max="14" width="11.7109375" style="335" customWidth="1"/>
    <col min="15" max="16384" width="9.140625" style="335"/>
  </cols>
  <sheetData>
    <row r="1" spans="1:14" s="350" customFormat="1" ht="28.5" customHeight="1">
      <c r="A1" s="510"/>
      <c r="B1" s="510"/>
      <c r="C1" s="510"/>
      <c r="D1" s="510"/>
      <c r="E1" s="510"/>
      <c r="F1" s="510"/>
      <c r="G1" s="510"/>
      <c r="H1" s="361" t="s">
        <v>607</v>
      </c>
      <c r="I1" s="362" t="s">
        <v>608</v>
      </c>
      <c r="J1" s="511"/>
      <c r="K1" s="511"/>
      <c r="L1" s="511"/>
      <c r="M1" s="511"/>
      <c r="N1" s="511"/>
    </row>
    <row r="2" spans="1:14" s="320" customFormat="1" ht="27" customHeight="1">
      <c r="A2" s="346" t="s">
        <v>0</v>
      </c>
      <c r="B2" s="239" t="s">
        <v>182</v>
      </c>
      <c r="C2" s="239" t="s">
        <v>585</v>
      </c>
      <c r="D2" s="339" t="s">
        <v>595</v>
      </c>
      <c r="E2" s="339" t="s">
        <v>214</v>
      </c>
      <c r="F2" s="339" t="s">
        <v>1223</v>
      </c>
      <c r="G2" s="339" t="s">
        <v>1224</v>
      </c>
      <c r="H2" s="339" t="s">
        <v>588</v>
      </c>
      <c r="I2" s="339" t="s">
        <v>588</v>
      </c>
      <c r="J2" s="239" t="s">
        <v>587</v>
      </c>
      <c r="K2" s="238" t="s">
        <v>2</v>
      </c>
      <c r="L2" s="283" t="s">
        <v>579</v>
      </c>
      <c r="M2" s="240" t="s">
        <v>583</v>
      </c>
      <c r="N2" s="239" t="s">
        <v>586</v>
      </c>
    </row>
    <row r="3" spans="1:14" s="342" customFormat="1" ht="15" customHeight="1">
      <c r="A3" s="512" t="s">
        <v>1483</v>
      </c>
      <c r="B3" s="513"/>
      <c r="C3" s="513"/>
      <c r="D3" s="513"/>
      <c r="E3" s="513"/>
      <c r="F3" s="513"/>
      <c r="G3" s="513"/>
      <c r="H3" s="513"/>
      <c r="I3" s="513"/>
      <c r="J3" s="513"/>
      <c r="K3" s="513"/>
      <c r="L3" s="513"/>
      <c r="M3" s="513"/>
      <c r="N3" s="513"/>
    </row>
    <row r="4" spans="1:14" s="342" customFormat="1" ht="15" customHeight="1">
      <c r="A4" s="304" t="str">
        <f>'(BT44) WWD MEMOS'!A12</f>
        <v>Major</v>
      </c>
      <c r="B4" s="304" t="str">
        <f>'(BT44) WWD MEMOS'!B12</f>
        <v>BT31RTDWD</v>
      </c>
      <c r="C4" s="304" t="str">
        <f>'(BT44) WWD MEMOS'!C12</f>
        <v xml:space="preserve">Initiate WWD Return to Duty (RTD) Case </v>
      </c>
      <c r="D4" s="405" t="str">
        <f>'(BT44) WWD MEMOS'!D12</f>
        <v>IP - 3</v>
      </c>
      <c r="E4" s="408" t="str">
        <f>'(BT44) WWD MEMOS'!E12</f>
        <v>Ready To Test</v>
      </c>
      <c r="F4" s="344">
        <v>41737</v>
      </c>
      <c r="G4" s="340">
        <v>41737</v>
      </c>
      <c r="H4" s="297" t="s">
        <v>17</v>
      </c>
      <c r="I4" s="297" t="s">
        <v>17</v>
      </c>
      <c r="J4" s="306" t="s">
        <v>17</v>
      </c>
      <c r="K4" s="404" t="s">
        <v>603</v>
      </c>
      <c r="L4" s="303"/>
      <c r="M4" s="303"/>
      <c r="N4" s="303"/>
    </row>
    <row r="5" spans="1:14" s="342" customFormat="1" ht="30">
      <c r="A5" s="304" t="str">
        <f>'(BT44) WWD MEMOS'!A54</f>
        <v>Major</v>
      </c>
      <c r="B5" s="304" t="str">
        <f>'(BT44) WWD MEMOS'!B54</f>
        <v>BT31WDPKG</v>
      </c>
      <c r="C5" s="304" t="str">
        <f>'(BT44) WWD MEMOS'!C54</f>
        <v>WD Package Review</v>
      </c>
      <c r="D5" s="405" t="s">
        <v>604</v>
      </c>
      <c r="E5" s="408" t="str">
        <f>'(BT44) WWD MEMOS'!E54</f>
        <v>Ready To Test</v>
      </c>
      <c r="F5" s="344">
        <v>41737</v>
      </c>
      <c r="G5" s="344">
        <v>41737</v>
      </c>
      <c r="H5" s="297" t="s">
        <v>17</v>
      </c>
      <c r="I5" s="297" t="s">
        <v>17</v>
      </c>
      <c r="J5" s="306" t="s">
        <v>17</v>
      </c>
      <c r="K5" s="404" t="s">
        <v>603</v>
      </c>
      <c r="L5" s="303"/>
      <c r="M5" s="303"/>
      <c r="N5" s="303"/>
    </row>
    <row r="6" spans="1:14" s="342" customFormat="1" ht="30">
      <c r="A6" s="304" t="str">
        <f>'(BT44) WWD MEMOS'!A66</f>
        <v>Major</v>
      </c>
      <c r="B6" s="304" t="str">
        <f>'(BT44) WWD MEMOS'!B66</f>
        <v>BT31WDMED</v>
      </c>
      <c r="C6" s="304" t="str">
        <f>'(BT44) WWD MEMOS'!C66</f>
        <v>WD Medical Review</v>
      </c>
      <c r="D6" s="405" t="s">
        <v>604</v>
      </c>
      <c r="E6" s="408" t="str">
        <f>'(BT44) WWD MEMOS'!E66</f>
        <v>Ready To Test</v>
      </c>
      <c r="F6" s="344">
        <v>41737</v>
      </c>
      <c r="G6" s="344">
        <v>41737</v>
      </c>
      <c r="H6" s="297" t="s">
        <v>17</v>
      </c>
      <c r="I6" s="297" t="s">
        <v>17</v>
      </c>
      <c r="J6" s="306" t="s">
        <v>17</v>
      </c>
      <c r="K6" s="404" t="s">
        <v>603</v>
      </c>
      <c r="L6" s="303"/>
      <c r="M6" s="303"/>
      <c r="N6" s="303"/>
    </row>
    <row r="7" spans="1:14" s="342" customFormat="1" ht="30">
      <c r="A7" s="304" t="str">
        <f>'(BT44) WWD MEMOS'!A84</f>
        <v>Major</v>
      </c>
      <c r="B7" s="304" t="str">
        <f>'(BT44) WWD MEMOS'!B84</f>
        <v>BT31WDFINAL</v>
      </c>
      <c r="C7" s="304" t="str">
        <f>'(BT44) WWD MEMOS'!C84</f>
        <v>WD Final Review</v>
      </c>
      <c r="D7" s="405" t="s">
        <v>604</v>
      </c>
      <c r="E7" s="408" t="str">
        <f>'(BT44) WWD MEMOS'!E84</f>
        <v>Ready To Test</v>
      </c>
      <c r="F7" s="344">
        <v>41737</v>
      </c>
      <c r="G7" s="344">
        <v>41737</v>
      </c>
      <c r="H7" s="297" t="s">
        <v>17</v>
      </c>
      <c r="I7" s="297" t="s">
        <v>17</v>
      </c>
      <c r="J7" s="306" t="s">
        <v>17</v>
      </c>
      <c r="K7" s="404" t="s">
        <v>603</v>
      </c>
      <c r="L7" s="303"/>
      <c r="M7" s="303"/>
      <c r="N7" s="303"/>
    </row>
    <row r="8" spans="1:14" ht="30">
      <c r="A8" s="304" t="str">
        <f>'(BT44) WWD MEMOS'!A101</f>
        <v>Major</v>
      </c>
      <c r="B8" s="304" t="str">
        <f>'(BT44) WWD MEMOS'!B101</f>
        <v>BT31WDAdmin</v>
      </c>
      <c r="C8" s="304" t="str">
        <f>'(BT44) WWD MEMOS'!C101</f>
        <v>Initiate WWD Admin Case</v>
      </c>
      <c r="D8" s="405" t="s">
        <v>604</v>
      </c>
      <c r="E8" s="408" t="str">
        <f>'(BT44) WWD MEMOS'!E101</f>
        <v>Ready To Test</v>
      </c>
      <c r="F8" s="344">
        <v>41737</v>
      </c>
      <c r="G8" s="344">
        <v>41737</v>
      </c>
      <c r="H8" s="297" t="s">
        <v>17</v>
      </c>
      <c r="I8" s="297" t="s">
        <v>17</v>
      </c>
      <c r="J8" s="306" t="s">
        <v>17</v>
      </c>
      <c r="K8" s="404" t="s">
        <v>603</v>
      </c>
      <c r="L8" s="303"/>
      <c r="M8" s="303"/>
      <c r="N8" s="303"/>
    </row>
    <row r="9" spans="1:14" ht="30">
      <c r="A9" s="304" t="str">
        <f>'(BT44) WWD MEMOS'!A108</f>
        <v>Major</v>
      </c>
      <c r="B9" s="304" t="str">
        <f>'(BT44) WWD MEMOS'!B108</f>
        <v>BT31WDAdminPKG</v>
      </c>
      <c r="C9" s="304" t="str">
        <f>'(BT44) WWD MEMOS'!C108</f>
        <v>WD Package Admin Review</v>
      </c>
      <c r="D9" s="405" t="s">
        <v>604</v>
      </c>
      <c r="E9" s="408" t="str">
        <f>'(BT44) WWD MEMOS'!E108</f>
        <v>Ready To Test</v>
      </c>
      <c r="F9" s="344">
        <v>41737</v>
      </c>
      <c r="G9" s="344">
        <v>41737</v>
      </c>
      <c r="H9" s="297" t="s">
        <v>17</v>
      </c>
      <c r="I9" s="297" t="s">
        <v>17</v>
      </c>
      <c r="J9" s="306" t="s">
        <v>17</v>
      </c>
      <c r="K9" s="404" t="s">
        <v>603</v>
      </c>
      <c r="L9" s="303"/>
      <c r="M9" s="303"/>
      <c r="N9" s="303"/>
    </row>
    <row r="10" spans="1:14" s="350" customFormat="1" ht="30">
      <c r="A10" s="304" t="str">
        <f>'(BT44) WWD MEMOS'!A113</f>
        <v>Major</v>
      </c>
      <c r="B10" s="304" t="str">
        <f>'(BT44) WWD MEMOS'!B113</f>
        <v>BT31WDAdminMED</v>
      </c>
      <c r="C10" s="304" t="str">
        <f>'(BT44) WWD MEMOS'!C113</f>
        <v>WD Medical Admin Review</v>
      </c>
      <c r="D10" s="405" t="s">
        <v>604</v>
      </c>
      <c r="E10" s="408" t="str">
        <f>'(BT44) WWD MEMOS'!E113</f>
        <v>Ready To Test</v>
      </c>
      <c r="F10" s="344">
        <v>41737</v>
      </c>
      <c r="G10" s="344">
        <v>41737</v>
      </c>
      <c r="H10" s="297" t="s">
        <v>17</v>
      </c>
      <c r="I10" s="297" t="s">
        <v>1222</v>
      </c>
      <c r="J10" s="306" t="s">
        <v>17</v>
      </c>
      <c r="K10" s="404" t="s">
        <v>603</v>
      </c>
      <c r="L10" s="303"/>
      <c r="M10" s="303"/>
      <c r="N10" s="303"/>
    </row>
    <row r="11" spans="1:14" s="350" customFormat="1" ht="30">
      <c r="A11" s="304" t="str">
        <f>'(BT44) WWD MEMOS'!A131</f>
        <v>Major</v>
      </c>
      <c r="B11" s="304" t="str">
        <f>'(BT44) WWD MEMOS'!B131</f>
        <v>BT31WDAdminFINAL</v>
      </c>
      <c r="C11" s="304" t="str">
        <f>'(BT44) WWD MEMOS'!C131</f>
        <v>WD Final Admin Review</v>
      </c>
      <c r="D11" s="405" t="s">
        <v>604</v>
      </c>
      <c r="E11" s="408" t="str">
        <f>'(BT44) WWD MEMOS'!E131</f>
        <v>Ready To Test</v>
      </c>
      <c r="F11" s="344">
        <v>41737</v>
      </c>
      <c r="G11" s="344">
        <v>41737</v>
      </c>
      <c r="H11" s="297" t="s">
        <v>1222</v>
      </c>
      <c r="I11" s="297" t="s">
        <v>1222</v>
      </c>
      <c r="J11" s="306" t="s">
        <v>17</v>
      </c>
      <c r="K11" s="404" t="s">
        <v>603</v>
      </c>
      <c r="L11" s="303"/>
      <c r="M11" s="303"/>
      <c r="N11" s="303"/>
    </row>
    <row r="12" spans="1:14" s="350" customFormat="1">
      <c r="A12" s="304" t="str">
        <f>'(BT44) WWD MEMOS'!A149</f>
        <v>Major</v>
      </c>
      <c r="B12" s="304" t="str">
        <f>'(BT44) WWD MEMOS'!B149</f>
        <v>BT31WDDQ</v>
      </c>
      <c r="C12" s="304" t="str">
        <f>'(BT44) WWD MEMOS'!C149</f>
        <v>Initiate WWD DQ Case</v>
      </c>
      <c r="D12" s="405" t="s">
        <v>604</v>
      </c>
      <c r="E12" s="408" t="str">
        <f>'(BT44) WWD MEMOS'!E149</f>
        <v>Ready To Test</v>
      </c>
      <c r="F12" s="344">
        <v>41737</v>
      </c>
      <c r="G12" s="344">
        <v>41737</v>
      </c>
      <c r="H12" s="297" t="s">
        <v>1222</v>
      </c>
      <c r="I12" s="297" t="s">
        <v>1222</v>
      </c>
      <c r="J12" s="306" t="s">
        <v>17</v>
      </c>
      <c r="K12" s="404" t="s">
        <v>603</v>
      </c>
      <c r="L12" s="303"/>
      <c r="M12" s="303"/>
      <c r="N12" s="303"/>
    </row>
    <row r="13" spans="1:14" ht="30">
      <c r="A13" s="304" t="str">
        <f>'(BT44) WWD MEMOS'!A156</f>
        <v>Major</v>
      </c>
      <c r="B13" s="304" t="str">
        <f>'(BT44) WWD MEMOS'!B156</f>
        <v>BT31WDDQPKG</v>
      </c>
      <c r="C13" s="304" t="str">
        <f>'(BT44) WWD MEMOS'!C156</f>
        <v>WD Package DQ Review</v>
      </c>
      <c r="D13" s="405" t="s">
        <v>604</v>
      </c>
      <c r="E13" s="408" t="str">
        <f>'(BT44) WWD MEMOS'!E156</f>
        <v>Ready To Test</v>
      </c>
      <c r="F13" s="344">
        <v>41737</v>
      </c>
      <c r="G13" s="344">
        <v>41737</v>
      </c>
      <c r="H13" s="297" t="s">
        <v>17</v>
      </c>
      <c r="I13" s="297" t="s">
        <v>17</v>
      </c>
      <c r="J13" s="306" t="s">
        <v>17</v>
      </c>
      <c r="K13" s="404" t="s">
        <v>603</v>
      </c>
      <c r="L13" s="303"/>
      <c r="M13" s="303"/>
      <c r="N13" s="303"/>
    </row>
    <row r="14" spans="1:14" ht="30">
      <c r="A14" s="304" t="str">
        <f>'(BT44) WWD MEMOS'!A161</f>
        <v>Major</v>
      </c>
      <c r="B14" s="304" t="str">
        <f>'(BT44) WWD MEMOS'!B161</f>
        <v>BT31WDDQMED</v>
      </c>
      <c r="C14" s="304" t="str">
        <f>'(BT44) WWD MEMOS'!C161</f>
        <v>WD Medical DQ Review</v>
      </c>
      <c r="D14" s="405" t="s">
        <v>604</v>
      </c>
      <c r="E14" s="408" t="str">
        <f>'(BT44) WWD MEMOS'!E161</f>
        <v>Ready To Test</v>
      </c>
      <c r="F14" s="344">
        <v>41737</v>
      </c>
      <c r="G14" s="344">
        <v>41737</v>
      </c>
      <c r="H14" s="297" t="s">
        <v>17</v>
      </c>
      <c r="I14" s="297" t="s">
        <v>17</v>
      </c>
      <c r="J14" s="306" t="s">
        <v>17</v>
      </c>
      <c r="K14" s="404" t="s">
        <v>603</v>
      </c>
      <c r="L14" s="303"/>
      <c r="M14" s="303"/>
      <c r="N14" s="303"/>
    </row>
    <row r="15" spans="1:14" ht="15" customHeight="1">
      <c r="A15" s="304" t="str">
        <f>'(BT44) WWD MEMOS'!A178</f>
        <v>Major</v>
      </c>
      <c r="B15" s="304" t="str">
        <f>'(BT44) WWD MEMOS'!B178</f>
        <v>BT31WDDQFINAL</v>
      </c>
      <c r="C15" s="304" t="str">
        <f>'(BT44) WWD MEMOS'!C178</f>
        <v>WD Final DQ Review</v>
      </c>
      <c r="D15" s="405" t="s">
        <v>604</v>
      </c>
      <c r="E15" s="408" t="str">
        <f>'(BT44) WWD MEMOS'!E178</f>
        <v>Ready To Test</v>
      </c>
      <c r="F15" s="344">
        <v>41737</v>
      </c>
      <c r="G15" s="344">
        <v>41737</v>
      </c>
      <c r="H15" s="297" t="s">
        <v>17</v>
      </c>
      <c r="I15" s="297" t="s">
        <v>1222</v>
      </c>
      <c r="J15" s="306" t="s">
        <v>17</v>
      </c>
      <c r="K15" s="404" t="s">
        <v>603</v>
      </c>
      <c r="L15" s="303"/>
      <c r="M15" s="303"/>
      <c r="N15" s="303"/>
    </row>
    <row r="16" spans="1:14">
      <c r="A16" s="304" t="str">
        <f>'(BT44) WWD MEMOS'!A191</f>
        <v>Major</v>
      </c>
      <c r="B16" s="304" t="str">
        <f>'(BT44) WWD MEMOS'!B191</f>
        <v>BT31WDSAF</v>
      </c>
      <c r="C16" s="304" t="str">
        <f>'(BT44) WWD MEMOS'!C191</f>
        <v>WD SAF Disposition</v>
      </c>
      <c r="D16" s="405" t="s">
        <v>604</v>
      </c>
      <c r="E16" s="408" t="str">
        <f>'(BT44) WWD MEMOS'!E191</f>
        <v>Ready To Test</v>
      </c>
      <c r="F16" s="344">
        <v>41737</v>
      </c>
      <c r="G16" s="344">
        <v>41737</v>
      </c>
      <c r="H16" s="297" t="s">
        <v>17</v>
      </c>
      <c r="I16" s="297" t="s">
        <v>17</v>
      </c>
      <c r="J16" s="306" t="s">
        <v>17</v>
      </c>
      <c r="K16" s="404" t="s">
        <v>603</v>
      </c>
      <c r="L16" s="303"/>
      <c r="M16" s="303"/>
      <c r="N16" s="303"/>
    </row>
    <row r="17" spans="1:14" s="350" customFormat="1" ht="30">
      <c r="A17" s="304" t="str">
        <f>'(BT44) WWD MEMOS'!A206</f>
        <v>Major</v>
      </c>
      <c r="B17" s="304" t="str">
        <f>'(BT44) WWD MEMOS'!B206</f>
        <v>BT31WDMEDRTD</v>
      </c>
      <c r="C17" s="304" t="str">
        <f>'(BT44) WWD MEMOS'!C206</f>
        <v>WD Board Medical Review - Select RTD Memo - SAF</v>
      </c>
      <c r="D17" s="405" t="s">
        <v>604</v>
      </c>
      <c r="E17" s="408" t="str">
        <f>'(BT44) WWD MEMOS'!E206</f>
        <v>Ready To Test</v>
      </c>
      <c r="F17" s="344">
        <v>41737</v>
      </c>
      <c r="G17" s="344">
        <v>41737</v>
      </c>
      <c r="H17" s="297" t="s">
        <v>17</v>
      </c>
      <c r="I17" s="297" t="s">
        <v>17</v>
      </c>
      <c r="J17" s="306" t="s">
        <v>17</v>
      </c>
      <c r="K17" s="404" t="s">
        <v>603</v>
      </c>
      <c r="L17" s="303"/>
      <c r="M17" s="303"/>
      <c r="N17" s="303"/>
    </row>
    <row r="18" spans="1:14" s="350" customFormat="1" ht="30">
      <c r="A18" s="304" t="str">
        <f>'(BT44) WWD MEMOS'!A219</f>
        <v>Major</v>
      </c>
      <c r="B18" s="304" t="str">
        <f>'(BT44) WWD MEMOS'!B219</f>
        <v>BT31WDDQFINAL</v>
      </c>
      <c r="C18" s="304" t="str">
        <f>'(BT44) WWD MEMOS'!C219</f>
        <v>WD Final Review - Generate Memo - SAF</v>
      </c>
      <c r="D18" s="405" t="s">
        <v>604</v>
      </c>
      <c r="E18" s="408" t="str">
        <f>'(BT44) WWD MEMOS'!E219</f>
        <v>Ready To Test</v>
      </c>
      <c r="F18" s="344">
        <v>41737</v>
      </c>
      <c r="G18" s="344">
        <v>41737</v>
      </c>
      <c r="H18" s="297" t="s">
        <v>17</v>
      </c>
      <c r="I18" s="297" t="s">
        <v>17</v>
      </c>
      <c r="J18" s="306" t="s">
        <v>17</v>
      </c>
      <c r="K18" s="404" t="s">
        <v>603</v>
      </c>
      <c r="L18" s="303"/>
      <c r="M18" s="303"/>
      <c r="N18" s="303"/>
    </row>
    <row r="19" spans="1:14" s="350" customFormat="1">
      <c r="A19" s="304" t="str">
        <f>'(BT44) WWD MEMOS'!A237</f>
        <v>Major</v>
      </c>
      <c r="B19" s="304" t="str">
        <f>'(BT44) WWD MEMOS'!B237</f>
        <v>BT31WDHIV</v>
      </c>
      <c r="C19" s="304" t="str">
        <f>'(BT44) WWD MEMOS'!C237</f>
        <v>Initiate WWD HIV Case</v>
      </c>
      <c r="D19" s="405" t="s">
        <v>604</v>
      </c>
      <c r="E19" s="408" t="str">
        <f>'(BT44) WWD MEMOS'!E237</f>
        <v>Ready To Test</v>
      </c>
      <c r="F19" s="344">
        <v>41737</v>
      </c>
      <c r="G19" s="344">
        <v>41737</v>
      </c>
      <c r="H19" s="297" t="s">
        <v>17</v>
      </c>
      <c r="I19" s="297" t="s">
        <v>17</v>
      </c>
      <c r="J19" s="306" t="s">
        <v>17</v>
      </c>
      <c r="K19" s="404" t="s">
        <v>603</v>
      </c>
      <c r="L19" s="303"/>
      <c r="M19" s="303"/>
      <c r="N19" s="303"/>
    </row>
    <row r="20" spans="1:14" s="350" customFormat="1" ht="30">
      <c r="A20" s="304" t="str">
        <f>'(BT44) WWD MEMOS'!A243</f>
        <v>Major</v>
      </c>
      <c r="B20" s="304" t="str">
        <f>'(BT44) WWD MEMOS'!B243</f>
        <v>BT31WDHIVPKG</v>
      </c>
      <c r="C20" s="304" t="str">
        <f>'(BT44) WWD MEMOS'!C243</f>
        <v>WD Package HIV Review</v>
      </c>
      <c r="D20" s="405" t="s">
        <v>604</v>
      </c>
      <c r="E20" s="408" t="str">
        <f>'(BT44) WWD MEMOS'!E243</f>
        <v>Ready To Test</v>
      </c>
      <c r="F20" s="344">
        <v>41737</v>
      </c>
      <c r="G20" s="344">
        <v>41737</v>
      </c>
      <c r="H20" s="297" t="s">
        <v>17</v>
      </c>
      <c r="I20" s="297" t="s">
        <v>17</v>
      </c>
      <c r="J20" s="306" t="s">
        <v>17</v>
      </c>
      <c r="K20" s="404" t="s">
        <v>603</v>
      </c>
      <c r="L20" s="303"/>
      <c r="M20" s="303"/>
      <c r="N20" s="303"/>
    </row>
    <row r="21" spans="1:14" ht="30">
      <c r="A21" s="304" t="str">
        <f>'(BT44) WWD MEMOS'!A248</f>
        <v>Major</v>
      </c>
      <c r="B21" s="304" t="str">
        <f>'(BT44) WWD MEMOS'!B248</f>
        <v>BT31WD HIVMED</v>
      </c>
      <c r="C21" s="304" t="str">
        <f>'(BT44) WWD MEMOS'!C248</f>
        <v>WD Medical HIV Review</v>
      </c>
      <c r="D21" s="405" t="s">
        <v>604</v>
      </c>
      <c r="E21" s="408" t="str">
        <f>'(BT44) WWD MEMOS'!E248</f>
        <v>Ready To Test</v>
      </c>
      <c r="F21" s="344">
        <v>41737</v>
      </c>
      <c r="G21" s="344">
        <v>41737</v>
      </c>
      <c r="H21" s="297" t="s">
        <v>17</v>
      </c>
      <c r="I21" s="297" t="s">
        <v>17</v>
      </c>
      <c r="J21" s="306" t="s">
        <v>17</v>
      </c>
      <c r="K21" s="404" t="s">
        <v>603</v>
      </c>
      <c r="L21" s="303"/>
      <c r="M21" s="303"/>
      <c r="N21" s="303"/>
    </row>
    <row r="22" spans="1:14" ht="30">
      <c r="A22" s="304" t="str">
        <f>'(BT44) WWD MEMOS'!A264</f>
        <v>Major</v>
      </c>
      <c r="B22" s="304" t="str">
        <f>'(BT44) WWD MEMOS'!B264</f>
        <v>BT31WDHIVFINAL</v>
      </c>
      <c r="C22" s="304" t="str">
        <f>'(BT44) WWD MEMOS'!C264</f>
        <v>WD Final HIV Review</v>
      </c>
      <c r="D22" s="405" t="s">
        <v>604</v>
      </c>
      <c r="E22" s="408" t="str">
        <f>'(BT44) WWD MEMOS'!E264</f>
        <v>Ready To Test</v>
      </c>
      <c r="F22" s="344">
        <v>41737</v>
      </c>
      <c r="G22" s="344">
        <v>41737</v>
      </c>
      <c r="H22" s="297" t="s">
        <v>17</v>
      </c>
      <c r="I22" s="297" t="s">
        <v>17</v>
      </c>
      <c r="J22" s="306" t="s">
        <v>17</v>
      </c>
      <c r="K22" s="404" t="s">
        <v>603</v>
      </c>
      <c r="L22" s="303"/>
      <c r="M22" s="303"/>
      <c r="N22" s="303"/>
    </row>
    <row r="23" spans="1:14" s="282" customFormat="1" ht="15" customHeight="1">
      <c r="A23" s="512" t="s">
        <v>1471</v>
      </c>
      <c r="B23" s="513"/>
      <c r="C23" s="513"/>
      <c r="D23" s="513"/>
      <c r="E23" s="513"/>
      <c r="F23" s="513"/>
      <c r="G23" s="513"/>
      <c r="H23" s="513"/>
      <c r="I23" s="513"/>
      <c r="J23" s="513"/>
      <c r="K23" s="513"/>
      <c r="L23" s="513"/>
      <c r="M23" s="513"/>
      <c r="N23" s="513"/>
    </row>
    <row r="24" spans="1:14" s="282" customFormat="1">
      <c r="A24" s="304" t="str">
        <f>'(BT44) IRILO MEMOS'!A12</f>
        <v>Major</v>
      </c>
      <c r="B24" s="237" t="str">
        <f>'(BT44) IRILO MEMOS'!B12</f>
        <v>BT31NEWIR</v>
      </c>
      <c r="C24" s="237" t="str">
        <f>'(BT44) IRILO MEMOS'!C12</f>
        <v>Initiate IRILO Return to Duty (RTD) Case</v>
      </c>
      <c r="D24" s="306" t="s">
        <v>604</v>
      </c>
      <c r="E24" s="297" t="str">
        <f>'(BT44) IRILO MEMOS'!E12</f>
        <v>Ready To Test</v>
      </c>
      <c r="F24" s="344">
        <v>41737</v>
      </c>
      <c r="G24" s="344">
        <v>41737</v>
      </c>
      <c r="H24" s="297" t="s">
        <v>1222</v>
      </c>
      <c r="I24" s="297" t="s">
        <v>1222</v>
      </c>
      <c r="J24" s="306" t="s">
        <v>17</v>
      </c>
      <c r="K24" s="403" t="s">
        <v>603</v>
      </c>
      <c r="L24" s="403"/>
      <c r="M24" s="403"/>
      <c r="N24" s="403"/>
    </row>
    <row r="25" spans="1:14" s="282" customFormat="1">
      <c r="A25" s="304" t="str">
        <f>'(BT44) IRILO MEMOS'!A46</f>
        <v>Major</v>
      </c>
      <c r="B25" s="237" t="str">
        <f>'(BT44) IRILO MEMOS'!B46</f>
        <v>BT31IRPKG</v>
      </c>
      <c r="C25" s="237" t="str">
        <f>'(BT44) IRILO MEMOS'!C46</f>
        <v>IRILO Package Review</v>
      </c>
      <c r="D25" s="306" t="s">
        <v>604</v>
      </c>
      <c r="E25" s="297" t="str">
        <f>'(BT44) IRILO MEMOS'!E46</f>
        <v>Ready To Test</v>
      </c>
      <c r="F25" s="344">
        <v>41737</v>
      </c>
      <c r="G25" s="344">
        <v>41737</v>
      </c>
      <c r="H25" s="297" t="s">
        <v>1222</v>
      </c>
      <c r="I25" s="297" t="s">
        <v>17</v>
      </c>
      <c r="J25" s="306" t="s">
        <v>1222</v>
      </c>
      <c r="K25" s="403" t="s">
        <v>603</v>
      </c>
      <c r="L25" s="403"/>
      <c r="M25" s="403"/>
      <c r="N25" s="403"/>
    </row>
    <row r="26" spans="1:14" s="360" customFormat="1">
      <c r="A26" s="304" t="str">
        <f>'(BT44) IRILO MEMOS'!A58</f>
        <v>Major</v>
      </c>
      <c r="B26" s="237" t="str">
        <f>'(BT44) IRILO MEMOS'!B58</f>
        <v>BT31IRMED</v>
      </c>
      <c r="C26" s="237" t="str">
        <f>'(BT44) IRILO MEMOS'!C58</f>
        <v>IRILO Board Medical Review</v>
      </c>
      <c r="D26" s="306" t="s">
        <v>604</v>
      </c>
      <c r="E26" s="297" t="str">
        <f>'(BT44) IRILO MEMOS'!E58</f>
        <v>Ready To Test</v>
      </c>
      <c r="F26" s="344">
        <v>41737</v>
      </c>
      <c r="G26" s="344">
        <v>41737</v>
      </c>
      <c r="H26" s="297" t="s">
        <v>1222</v>
      </c>
      <c r="I26" s="297" t="s">
        <v>17</v>
      </c>
      <c r="J26" s="306" t="s">
        <v>1222</v>
      </c>
      <c r="K26" s="403" t="s">
        <v>603</v>
      </c>
      <c r="L26" s="403"/>
      <c r="M26" s="403"/>
      <c r="N26" s="403"/>
    </row>
    <row r="27" spans="1:14" s="282" customFormat="1" ht="30">
      <c r="A27" s="304" t="str">
        <f>'(BT44) IRILO MEMOS'!A79</f>
        <v>Major</v>
      </c>
      <c r="B27" s="237" t="str">
        <f>'(BT44) IRILO MEMOS'!B79</f>
        <v>BT31IRFINAL</v>
      </c>
      <c r="C27" s="237" t="str">
        <f>'(BT44) IRILO MEMOS'!C79</f>
        <v>IRILO Final Review</v>
      </c>
      <c r="D27" s="306" t="s">
        <v>604</v>
      </c>
      <c r="E27" s="297" t="str">
        <f>'(BT44) IRILO MEMOS'!E79</f>
        <v>Ready To Test</v>
      </c>
      <c r="F27" s="344">
        <v>41737</v>
      </c>
      <c r="G27" s="344">
        <v>41737</v>
      </c>
      <c r="H27" s="297" t="s">
        <v>1222</v>
      </c>
      <c r="I27" s="297" t="s">
        <v>17</v>
      </c>
      <c r="J27" s="306" t="s">
        <v>1222</v>
      </c>
      <c r="K27" s="403" t="s">
        <v>603</v>
      </c>
      <c r="L27" s="403"/>
      <c r="M27" s="403"/>
      <c r="N27" s="403"/>
    </row>
    <row r="28" spans="1:14" s="282" customFormat="1" ht="30">
      <c r="A28" s="304" t="str">
        <f>'(BT44) IRILO MEMOS'!A100</f>
        <v>Major</v>
      </c>
      <c r="B28" s="237" t="str">
        <f>'(BT44) IRILO MEMOS'!B100</f>
        <v>BT31IRAdmin</v>
      </c>
      <c r="C28" s="237" t="str">
        <f>'(BT44) IRILO MEMOS'!C100</f>
        <v>Initiate IRILO Admin Case</v>
      </c>
      <c r="D28" s="306" t="s">
        <v>604</v>
      </c>
      <c r="E28" s="297" t="str">
        <f>'(BT44) IRILO MEMOS'!E100</f>
        <v>Ready To Test</v>
      </c>
      <c r="F28" s="344">
        <v>41737</v>
      </c>
      <c r="G28" s="344">
        <v>41737</v>
      </c>
      <c r="H28" s="297" t="s">
        <v>17</v>
      </c>
      <c r="I28" s="297" t="s">
        <v>17</v>
      </c>
      <c r="J28" s="306" t="s">
        <v>1222</v>
      </c>
      <c r="K28" s="403" t="s">
        <v>603</v>
      </c>
      <c r="L28" s="403"/>
      <c r="M28" s="403"/>
      <c r="N28" s="403"/>
    </row>
    <row r="29" spans="1:14" s="282" customFormat="1" ht="30">
      <c r="A29" s="304" t="str">
        <f>'(BT44) IRILO MEMOS'!A107</f>
        <v>Major</v>
      </c>
      <c r="B29" s="237" t="str">
        <f>'(BT44) IRILO MEMOS'!B107</f>
        <v>BT31IRAdminPKG</v>
      </c>
      <c r="C29" s="237" t="str">
        <f>'(BT44) IRILO MEMOS'!C107</f>
        <v>IRILO Package Admin Review</v>
      </c>
      <c r="D29" s="306" t="s">
        <v>604</v>
      </c>
      <c r="E29" s="297" t="str">
        <f>'(BT44) IRILO MEMOS'!E107</f>
        <v>Ready To Test</v>
      </c>
      <c r="F29" s="344">
        <v>41737</v>
      </c>
      <c r="G29" s="344">
        <v>41737</v>
      </c>
      <c r="H29" s="297" t="s">
        <v>17</v>
      </c>
      <c r="I29" s="297" t="s">
        <v>17</v>
      </c>
      <c r="J29" s="306" t="s">
        <v>1222</v>
      </c>
      <c r="K29" s="403" t="s">
        <v>603</v>
      </c>
      <c r="L29" s="403"/>
      <c r="M29" s="403"/>
      <c r="N29" s="403"/>
    </row>
    <row r="30" spans="1:14" s="282" customFormat="1" ht="30">
      <c r="A30" s="304" t="str">
        <f>'(BT44) IRILO MEMOS'!A112</f>
        <v>Major</v>
      </c>
      <c r="B30" s="237" t="str">
        <f>'(BT44) IRILO MEMOS'!B112</f>
        <v>BT31IRAdminMED</v>
      </c>
      <c r="C30" s="237" t="str">
        <f>'(BT44) IRILO MEMOS'!C112</f>
        <v>IRILO Medical Admin Review</v>
      </c>
      <c r="D30" s="306" t="s">
        <v>604</v>
      </c>
      <c r="E30" s="297" t="str">
        <f>'(BT44) IRILO MEMOS'!E112</f>
        <v>Ready To Test</v>
      </c>
      <c r="F30" s="344">
        <v>41737</v>
      </c>
      <c r="G30" s="344">
        <v>41737</v>
      </c>
      <c r="H30" s="297" t="s">
        <v>17</v>
      </c>
      <c r="I30" s="297" t="s">
        <v>17</v>
      </c>
      <c r="J30" s="306" t="s">
        <v>1222</v>
      </c>
      <c r="K30" s="403" t="s">
        <v>603</v>
      </c>
      <c r="L30" s="403"/>
      <c r="M30" s="403"/>
      <c r="N30" s="403"/>
    </row>
    <row r="31" spans="1:14" ht="30">
      <c r="A31" s="304" t="str">
        <f>'(BT44) IRILO MEMOS'!A128</f>
        <v>Major</v>
      </c>
      <c r="B31" s="237" t="str">
        <f>'(BT44) IRILO MEMOS'!B128</f>
        <v>BT31IRAdminFINAL</v>
      </c>
      <c r="C31" s="237" t="str">
        <f>'(BT44) IRILO MEMOS'!C128</f>
        <v>IRILO Final Admin Review</v>
      </c>
      <c r="D31" s="306" t="s">
        <v>604</v>
      </c>
      <c r="E31" s="297" t="str">
        <f>'(BT44) IRILO MEMOS'!E128</f>
        <v>Ready To Test</v>
      </c>
      <c r="F31" s="344">
        <v>41737</v>
      </c>
      <c r="G31" s="344">
        <v>41737</v>
      </c>
      <c r="H31" s="297" t="s">
        <v>17</v>
      </c>
      <c r="I31" s="297" t="s">
        <v>17</v>
      </c>
      <c r="J31" s="306" t="s">
        <v>1222</v>
      </c>
      <c r="K31" s="403" t="s">
        <v>603</v>
      </c>
      <c r="L31" s="403"/>
      <c r="M31" s="403"/>
      <c r="N31" s="403"/>
    </row>
    <row r="32" spans="1:14" s="360" customFormat="1">
      <c r="A32" s="304" t="str">
        <f>'(BT44) IRILO MEMOS'!A146</f>
        <v>Major</v>
      </c>
      <c r="B32" s="237" t="str">
        <f>'(BT44) IRILO MEMOS'!B146</f>
        <v>BT31IRDQ</v>
      </c>
      <c r="C32" s="237" t="str">
        <f>'(BT44) IRILO MEMOS'!C146</f>
        <v>Initiate IRILO DQ Case</v>
      </c>
      <c r="D32" s="306" t="s">
        <v>604</v>
      </c>
      <c r="E32" s="297" t="str">
        <f>'(BT44) IRILO MEMOS'!E146</f>
        <v>Ready To Test</v>
      </c>
      <c r="F32" s="344">
        <v>41737</v>
      </c>
      <c r="G32" s="344">
        <v>41737</v>
      </c>
      <c r="H32" s="297" t="s">
        <v>1222</v>
      </c>
      <c r="I32" s="297" t="s">
        <v>1222</v>
      </c>
      <c r="J32" s="306" t="s">
        <v>1222</v>
      </c>
      <c r="K32" s="403" t="s">
        <v>603</v>
      </c>
      <c r="L32" s="403"/>
      <c r="M32" s="403"/>
      <c r="N32" s="403"/>
    </row>
    <row r="33" spans="1:14" s="360" customFormat="1" ht="30">
      <c r="A33" s="304" t="str">
        <f>'(BT44) IRILO MEMOS'!A153</f>
        <v>Major</v>
      </c>
      <c r="B33" s="237" t="str">
        <f>'(BT44) IRILO MEMOS'!B153</f>
        <v>BT31IRDQPKG</v>
      </c>
      <c r="C33" s="237" t="str">
        <f>'(BT44) IRILO MEMOS'!C21</f>
        <v>Select IRILO Date</v>
      </c>
      <c r="D33" s="306" t="s">
        <v>604</v>
      </c>
      <c r="E33" s="297" t="str">
        <f>'(BT44) IRILO MEMOS'!E153</f>
        <v>Ready To Test</v>
      </c>
      <c r="F33" s="344">
        <v>41737</v>
      </c>
      <c r="G33" s="344">
        <v>41737</v>
      </c>
      <c r="H33" s="297" t="s">
        <v>1222</v>
      </c>
      <c r="I33" s="297" t="s">
        <v>17</v>
      </c>
      <c r="J33" s="306" t="s">
        <v>1222</v>
      </c>
      <c r="K33" s="403" t="s">
        <v>603</v>
      </c>
      <c r="L33" s="403"/>
      <c r="M33" s="403"/>
      <c r="N33" s="403"/>
    </row>
    <row r="34" spans="1:14" s="360" customFormat="1" ht="30">
      <c r="A34" s="304" t="str">
        <f>'(BT44) IRILO MEMOS'!A158</f>
        <v>Major</v>
      </c>
      <c r="B34" s="237" t="str">
        <f>'(BT44) IRILO MEMOS'!B158</f>
        <v>BT31IRDQMED</v>
      </c>
      <c r="C34" s="237" t="str">
        <f>'(BT44) IRILO MEMOS'!C153</f>
        <v>IRILO Package DQ Review</v>
      </c>
      <c r="D34" s="306" t="s">
        <v>604</v>
      </c>
      <c r="E34" s="297" t="str">
        <f>'(BT44) IRILO MEMOS'!E158</f>
        <v>Ready To Test</v>
      </c>
      <c r="F34" s="344">
        <v>41737</v>
      </c>
      <c r="G34" s="344">
        <v>41737</v>
      </c>
      <c r="H34" s="297" t="s">
        <v>1222</v>
      </c>
      <c r="I34" s="297" t="s">
        <v>17</v>
      </c>
      <c r="J34" s="306" t="s">
        <v>1222</v>
      </c>
      <c r="K34" s="403" t="s">
        <v>603</v>
      </c>
      <c r="L34" s="403"/>
      <c r="M34" s="403"/>
      <c r="N34" s="403"/>
    </row>
    <row r="35" spans="1:14" s="360" customFormat="1" ht="30">
      <c r="A35" s="304" t="str">
        <f>'(BT44) IRILO MEMOS'!A174</f>
        <v>Major</v>
      </c>
      <c r="B35" s="237" t="str">
        <f>'(BT44) IRILO MEMOS'!B174</f>
        <v>BT31IRDQFINAL</v>
      </c>
      <c r="C35" s="237" t="str">
        <f>'(BT44) IRILO MEMOS'!C158</f>
        <v>IRILO Medical DQ Review</v>
      </c>
      <c r="D35" s="306" t="s">
        <v>604</v>
      </c>
      <c r="E35" s="297" t="str">
        <f>'(BT44) IRILO MEMOS'!E174</f>
        <v>Ready To Test</v>
      </c>
      <c r="F35" s="344">
        <v>41737</v>
      </c>
      <c r="G35" s="344">
        <v>41737</v>
      </c>
      <c r="H35" s="297" t="s">
        <v>1222</v>
      </c>
      <c r="I35" s="297" t="s">
        <v>17</v>
      </c>
      <c r="J35" s="306" t="s">
        <v>1222</v>
      </c>
      <c r="K35" s="403" t="s">
        <v>603</v>
      </c>
      <c r="L35" s="403"/>
      <c r="M35" s="403"/>
      <c r="N35" s="403"/>
    </row>
    <row r="36" spans="1:14" s="360" customFormat="1">
      <c r="A36" s="304" t="str">
        <f>'(BT44) IRILO MEMOS'!A182</f>
        <v>Major</v>
      </c>
      <c r="B36" s="237" t="str">
        <f>'(BT44) IRILO MEMOS'!B182</f>
        <v>BT31IRHIV</v>
      </c>
      <c r="C36" s="237" t="str">
        <f>'(BT44) IRILO MEMOS'!C174</f>
        <v>IRILO Final DQ Review</v>
      </c>
      <c r="D36" s="306" t="s">
        <v>604</v>
      </c>
      <c r="E36" s="297" t="str">
        <f>'(BT44) IRILO MEMOS'!E182</f>
        <v>Ready To Test</v>
      </c>
      <c r="F36" s="344">
        <v>41737</v>
      </c>
      <c r="G36" s="344">
        <v>41737</v>
      </c>
      <c r="H36" s="297" t="s">
        <v>17</v>
      </c>
      <c r="I36" s="297" t="s">
        <v>17</v>
      </c>
      <c r="J36" s="306" t="s">
        <v>1222</v>
      </c>
      <c r="K36" s="403" t="s">
        <v>603</v>
      </c>
      <c r="L36" s="403"/>
      <c r="M36" s="403"/>
      <c r="N36" s="403"/>
    </row>
    <row r="37" spans="1:14" s="360" customFormat="1" ht="30">
      <c r="A37" s="304" t="str">
        <f>'(BT44) IRILO MEMOS'!A188</f>
        <v>Major</v>
      </c>
      <c r="B37" s="237" t="str">
        <f>'(BT44) IRILO MEMOS'!B188</f>
        <v>BT31IRHIVPKG</v>
      </c>
      <c r="C37" s="237" t="str">
        <f>'(BT44) IRILO MEMOS'!C182</f>
        <v>Initiate IRILO HIV Case</v>
      </c>
      <c r="D37" s="306" t="s">
        <v>604</v>
      </c>
      <c r="E37" s="297" t="str">
        <f>'(BT44) IRILO MEMOS'!E188</f>
        <v>Ready To Test</v>
      </c>
      <c r="F37" s="344">
        <v>41737</v>
      </c>
      <c r="G37" s="344">
        <v>41737</v>
      </c>
      <c r="H37" s="297" t="s">
        <v>17</v>
      </c>
      <c r="I37" s="297" t="s">
        <v>17</v>
      </c>
      <c r="J37" s="306" t="s">
        <v>1222</v>
      </c>
      <c r="K37" s="403" t="s">
        <v>603</v>
      </c>
      <c r="L37" s="403"/>
      <c r="M37" s="403"/>
      <c r="N37" s="403"/>
    </row>
    <row r="38" spans="1:14" s="360" customFormat="1" ht="30">
      <c r="A38" s="304" t="str">
        <f>'(BT44) IRILO MEMOS'!A193</f>
        <v>Major</v>
      </c>
      <c r="B38" s="237" t="str">
        <f>'(BT44) IRILO MEMOS'!B193</f>
        <v>BT31IRHIVMED</v>
      </c>
      <c r="C38" s="237" t="str">
        <f>'(BT44) IRILO MEMOS'!C188</f>
        <v>IRILO Package HIV Review</v>
      </c>
      <c r="D38" s="306" t="s">
        <v>604</v>
      </c>
      <c r="E38" s="297" t="str">
        <f>'(BT44) IRILO MEMOS'!E193</f>
        <v>Ready To Test</v>
      </c>
      <c r="F38" s="344">
        <v>41737</v>
      </c>
      <c r="G38" s="344">
        <v>41737</v>
      </c>
      <c r="H38" s="297" t="s">
        <v>17</v>
      </c>
      <c r="I38" s="297" t="s">
        <v>17</v>
      </c>
      <c r="J38" s="306" t="s">
        <v>1222</v>
      </c>
      <c r="K38" s="403" t="s">
        <v>603</v>
      </c>
      <c r="L38" s="403"/>
      <c r="M38" s="403"/>
      <c r="N38" s="403"/>
    </row>
    <row r="39" spans="1:14" s="360" customFormat="1" ht="30">
      <c r="A39" s="304" t="str">
        <f>'(BT44) IRILO MEMOS'!A209</f>
        <v>Major</v>
      </c>
      <c r="B39" s="237" t="str">
        <f>'(BT44) IRILO MEMOS'!B209</f>
        <v>BT31IRHIVFINAL</v>
      </c>
      <c r="C39" s="237" t="str">
        <f>'(BT44) IRILO MEMOS'!C209</f>
        <v>IRILO Final HIV Review</v>
      </c>
      <c r="D39" s="306" t="s">
        <v>604</v>
      </c>
      <c r="E39" s="297" t="str">
        <f>'(BT44) IRILO MEMOS'!E209</f>
        <v>Ready To Test</v>
      </c>
      <c r="F39" s="344">
        <v>41737</v>
      </c>
      <c r="G39" s="344">
        <v>41737</v>
      </c>
      <c r="H39" s="297" t="s">
        <v>17</v>
      </c>
      <c r="I39" s="297" t="s">
        <v>17</v>
      </c>
      <c r="J39" s="306" t="s">
        <v>1222</v>
      </c>
      <c r="K39" s="403" t="s">
        <v>603</v>
      </c>
      <c r="L39" s="403"/>
      <c r="M39" s="403"/>
      <c r="N39" s="403"/>
    </row>
    <row r="40" spans="1:14" s="350" customFormat="1" ht="15" customHeight="1">
      <c r="A40" s="512" t="s">
        <v>1484</v>
      </c>
      <c r="B40" s="513"/>
      <c r="C40" s="513"/>
      <c r="D40" s="513"/>
      <c r="E40" s="513"/>
      <c r="F40" s="513"/>
      <c r="G40" s="513"/>
      <c r="H40" s="513"/>
      <c r="I40" s="513"/>
      <c r="J40" s="513"/>
      <c r="K40" s="513"/>
      <c r="L40" s="513"/>
      <c r="M40" s="513"/>
      <c r="N40" s="513"/>
    </row>
    <row r="41" spans="1:14" s="350" customFormat="1">
      <c r="A41" s="304" t="str">
        <f>'(BT44) MEB MEMOS'!A12</f>
        <v>Major</v>
      </c>
      <c r="B41" s="304" t="str">
        <f>'(BT44) MEB MEMOS'!B12</f>
        <v>BT31MBRTD</v>
      </c>
      <c r="C41" s="304" t="str">
        <f>'(BT44) MEB MEMOS'!C12</f>
        <v>Initiate MEB Return to Duty (RTD) Case</v>
      </c>
      <c r="D41" s="405" t="s">
        <v>604</v>
      </c>
      <c r="E41" s="408" t="str">
        <f>'(BT44) MEB MEMOS'!E12</f>
        <v>Ready To Test</v>
      </c>
      <c r="F41" s="344">
        <v>41737</v>
      </c>
      <c r="G41" s="344">
        <v>41737</v>
      </c>
      <c r="H41" s="297" t="s">
        <v>17</v>
      </c>
      <c r="I41" s="297" t="s">
        <v>17</v>
      </c>
      <c r="J41" s="306" t="s">
        <v>17</v>
      </c>
      <c r="K41" s="404" t="s">
        <v>603</v>
      </c>
      <c r="L41" s="303"/>
      <c r="M41" s="303"/>
      <c r="N41" s="303"/>
    </row>
    <row r="42" spans="1:14" s="350" customFormat="1" ht="30">
      <c r="A42" s="304" t="str">
        <f>'(BT44) MEB MEMOS'!A42</f>
        <v>Major</v>
      </c>
      <c r="B42" s="304" t="str">
        <f>'(BT44) MEB MEMOS'!B42</f>
        <v>BT31MBMED</v>
      </c>
      <c r="C42" s="304" t="str">
        <f>'(BT44) MEB MEMOS'!C42</f>
        <v>MEB Board Medical Review</v>
      </c>
      <c r="D42" s="405" t="s">
        <v>604</v>
      </c>
      <c r="E42" s="408" t="str">
        <f>'(BT44) MEB MEMOS'!E42</f>
        <v>Ready To Test</v>
      </c>
      <c r="F42" s="344">
        <v>41737</v>
      </c>
      <c r="G42" s="344">
        <v>41737</v>
      </c>
      <c r="H42" s="297" t="s">
        <v>17</v>
      </c>
      <c r="I42" s="297" t="s">
        <v>17</v>
      </c>
      <c r="J42" s="306" t="s">
        <v>17</v>
      </c>
      <c r="K42" s="404" t="s">
        <v>603</v>
      </c>
      <c r="L42" s="303"/>
      <c r="M42" s="303"/>
      <c r="N42" s="303"/>
    </row>
    <row r="43" spans="1:14" s="350" customFormat="1" ht="30">
      <c r="A43" s="304" t="str">
        <f>'(BT44) MEB MEMOS'!A59</f>
        <v>Major</v>
      </c>
      <c r="B43" s="304" t="str">
        <f>'(BT44) MEB MEMOS'!B59</f>
        <v>BT31MBFINAL</v>
      </c>
      <c r="C43" s="304" t="str">
        <f>'(BT44) MEB MEMOS'!C59</f>
        <v>MEB Final Review</v>
      </c>
      <c r="D43" s="405" t="s">
        <v>604</v>
      </c>
      <c r="E43" s="408" t="str">
        <f>'(BT44) MEB MEMOS'!E59</f>
        <v>Ready To Test</v>
      </c>
      <c r="F43" s="344">
        <v>41737</v>
      </c>
      <c r="G43" s="344">
        <v>41737</v>
      </c>
      <c r="H43" s="297" t="s">
        <v>17</v>
      </c>
      <c r="I43" s="297" t="s">
        <v>17</v>
      </c>
      <c r="J43" s="306" t="s">
        <v>17</v>
      </c>
      <c r="K43" s="404" t="s">
        <v>603</v>
      </c>
      <c r="L43" s="303"/>
      <c r="M43" s="303"/>
      <c r="N43" s="303"/>
    </row>
    <row r="44" spans="1:14" s="350" customFormat="1">
      <c r="A44" s="304" t="str">
        <f>'(BT44) MEB MEMOS'!A87</f>
        <v>Major</v>
      </c>
      <c r="B44" s="304" t="str">
        <f>'(BT44) MEB MEMOS'!B87</f>
        <v>BT31MBDQ</v>
      </c>
      <c r="C44" s="304" t="str">
        <f>'(BT44) MEB MEMOS'!C87</f>
        <v>Initiate MEB DQ Case</v>
      </c>
      <c r="D44" s="405" t="s">
        <v>604</v>
      </c>
      <c r="E44" s="408" t="str">
        <f>'(BT44) MEB MEMOS'!E87</f>
        <v>Ready To Test</v>
      </c>
      <c r="F44" s="344">
        <v>41737</v>
      </c>
      <c r="G44" s="344">
        <v>41737</v>
      </c>
      <c r="H44" s="297" t="s">
        <v>17</v>
      </c>
      <c r="I44" s="297" t="s">
        <v>17</v>
      </c>
      <c r="J44" s="306" t="s">
        <v>17</v>
      </c>
      <c r="K44" s="404" t="s">
        <v>603</v>
      </c>
      <c r="L44" s="303"/>
      <c r="M44" s="303"/>
      <c r="N44" s="303"/>
    </row>
    <row r="45" spans="1:14" s="350" customFormat="1" ht="30">
      <c r="A45" s="304" t="str">
        <f>'(BT44) MEB MEMOS'!A115</f>
        <v>Major</v>
      </c>
      <c r="B45" s="304" t="str">
        <f>'(BT44) MEB MEMOS'!B115</f>
        <v>BT31MBDQMED</v>
      </c>
      <c r="C45" s="304" t="str">
        <f>'(BT44) MEB MEMOS'!C115</f>
        <v>MEB DQ Board Medical Review</v>
      </c>
      <c r="D45" s="405" t="s">
        <v>604</v>
      </c>
      <c r="E45" s="408" t="str">
        <f>'(BT44) MEB MEMOS'!E115</f>
        <v>Ready To Test</v>
      </c>
      <c r="F45" s="344">
        <v>41737</v>
      </c>
      <c r="G45" s="344">
        <v>41737</v>
      </c>
      <c r="H45" s="297" t="s">
        <v>17</v>
      </c>
      <c r="I45" s="297" t="s">
        <v>17</v>
      </c>
      <c r="J45" s="306" t="s">
        <v>17</v>
      </c>
      <c r="K45" s="404" t="s">
        <v>603</v>
      </c>
      <c r="L45" s="303"/>
      <c r="M45" s="303"/>
      <c r="N45" s="303"/>
    </row>
    <row r="46" spans="1:14" s="350" customFormat="1" ht="15" customHeight="1">
      <c r="A46" s="304" t="str">
        <f>'(BT44) MEB MEMOS'!A132</f>
        <v>Major</v>
      </c>
      <c r="B46" s="304" t="str">
        <f>'(BT44) MEB MEMOS'!B132</f>
        <v>BT31MBDQFINAL</v>
      </c>
      <c r="C46" s="304" t="str">
        <f>'(BT44) MEB MEMOS'!C132</f>
        <v>MEB Final Review</v>
      </c>
      <c r="D46" s="405" t="s">
        <v>604</v>
      </c>
      <c r="E46" s="408" t="str">
        <f>'(BT44) MEB MEMOS'!E132</f>
        <v>Ready To Test</v>
      </c>
      <c r="F46" s="344">
        <v>41737</v>
      </c>
      <c r="G46" s="340">
        <v>41737</v>
      </c>
      <c r="H46" s="297" t="s">
        <v>17</v>
      </c>
      <c r="I46" s="297" t="s">
        <v>17</v>
      </c>
      <c r="J46" s="306" t="s">
        <v>17</v>
      </c>
      <c r="K46" s="404" t="s">
        <v>603</v>
      </c>
      <c r="L46" s="303"/>
      <c r="M46" s="303"/>
      <c r="N46" s="303"/>
    </row>
    <row r="47" spans="1:14" s="350" customFormat="1" ht="30">
      <c r="A47" s="304" t="str">
        <f>'(BT44) MEB MEMOS'!A151</f>
        <v>Major</v>
      </c>
      <c r="B47" s="304" t="str">
        <f>'(BT44) MEB MEMOS'!B151</f>
        <v>BT31MBRWOA</v>
      </c>
      <c r="C47" s="304" t="str">
        <f>'(BT44) MEB MEMOS'!C151</f>
        <v>MEB Return Without Action</v>
      </c>
      <c r="D47" s="405" t="s">
        <v>604</v>
      </c>
      <c r="E47" s="408" t="str">
        <f>'(BT44) MEB MEMOS'!E151</f>
        <v>Ready To Test</v>
      </c>
      <c r="F47" s="344">
        <v>41737</v>
      </c>
      <c r="G47" s="344">
        <v>41737</v>
      </c>
      <c r="H47" s="297" t="s">
        <v>17</v>
      </c>
      <c r="I47" s="297" t="s">
        <v>17</v>
      </c>
      <c r="J47" s="306" t="s">
        <v>17</v>
      </c>
      <c r="K47" s="404" t="s">
        <v>603</v>
      </c>
      <c r="L47" s="303"/>
      <c r="M47" s="303"/>
      <c r="N47" s="303"/>
    </row>
    <row r="48" spans="1:14" s="350" customFormat="1" ht="30">
      <c r="A48" s="304" t="str">
        <f>'(BT44) MEB MEMOS'!A162</f>
        <v>Major</v>
      </c>
      <c r="B48" s="304" t="str">
        <f>'(BT44) MEB MEMOS'!B162</f>
        <v>BT31MBAFPC</v>
      </c>
      <c r="C48" s="304" t="str">
        <f>'(BT44) MEB MEMOS'!C162</f>
        <v>MEB AFPC Disposition</v>
      </c>
      <c r="D48" s="405" t="s">
        <v>604</v>
      </c>
      <c r="E48" s="408" t="str">
        <f>'(BT44) MEB MEMOS'!E162</f>
        <v>Ready To Test</v>
      </c>
      <c r="F48" s="344">
        <v>41737</v>
      </c>
      <c r="G48" s="344">
        <v>41737</v>
      </c>
      <c r="H48" s="297" t="s">
        <v>17</v>
      </c>
      <c r="I48" s="297" t="s">
        <v>17</v>
      </c>
      <c r="J48" s="306" t="s">
        <v>17</v>
      </c>
      <c r="K48" s="404" t="s">
        <v>603</v>
      </c>
      <c r="L48" s="303"/>
      <c r="M48" s="303"/>
      <c r="N48" s="303"/>
    </row>
    <row r="49" spans="1:14" s="350" customFormat="1" ht="30">
      <c r="A49" s="304" t="str">
        <f>'(BT44) MEB MEMOS'!A177</f>
        <v>Major</v>
      </c>
      <c r="B49" s="304" t="str">
        <f>'(BT44) MEB MEMOS'!B177</f>
        <v>BT31MBMEDRTD</v>
      </c>
      <c r="C49" s="304" t="str">
        <f>'(BT44) MEB MEMOS'!C177</f>
        <v>MEB Board Medical Review - Select RTD Memo - AFPC</v>
      </c>
      <c r="D49" s="405" t="s">
        <v>604</v>
      </c>
      <c r="E49" s="408" t="str">
        <f>'(BT44) MEB MEMOS'!E177</f>
        <v>Ready To Test</v>
      </c>
      <c r="F49" s="344">
        <v>41737</v>
      </c>
      <c r="G49" s="344">
        <v>41737</v>
      </c>
      <c r="H49" s="297" t="s">
        <v>17</v>
      </c>
      <c r="I49" s="297" t="s">
        <v>17</v>
      </c>
      <c r="J49" s="306" t="s">
        <v>17</v>
      </c>
      <c r="K49" s="404" t="s">
        <v>603</v>
      </c>
      <c r="L49" s="303"/>
      <c r="M49" s="303"/>
      <c r="N49" s="303"/>
    </row>
    <row r="50" spans="1:14" s="350" customFormat="1" ht="30">
      <c r="A50" s="304" t="str">
        <f>'(BT44) MEB MEMOS'!A190</f>
        <v>Major</v>
      </c>
      <c r="B50" s="304" t="str">
        <f>'(BT44) MEB MEMOS'!B190</f>
        <v>BT31MBDQFINAL</v>
      </c>
      <c r="C50" s="304" t="str">
        <f>'(BT44) MEB MEMOS'!C190</f>
        <v>MEB Final Review - Generate Memo - AFPC</v>
      </c>
      <c r="D50" s="405" t="s">
        <v>604</v>
      </c>
      <c r="E50" s="408" t="str">
        <f>'(BT44) MEB MEMOS'!E190</f>
        <v>Ready To Test</v>
      </c>
      <c r="F50" s="344">
        <v>41737</v>
      </c>
      <c r="G50" s="344">
        <v>41737</v>
      </c>
      <c r="H50" s="297" t="s">
        <v>17</v>
      </c>
      <c r="I50" s="297" t="s">
        <v>17</v>
      </c>
      <c r="J50" s="306" t="s">
        <v>17</v>
      </c>
      <c r="K50" s="404" t="s">
        <v>603</v>
      </c>
      <c r="L50" s="303"/>
      <c r="M50" s="303"/>
      <c r="N50" s="303"/>
    </row>
    <row r="51" spans="1:14" s="350" customFormat="1" ht="15" customHeight="1">
      <c r="A51" s="512" t="s">
        <v>1473</v>
      </c>
      <c r="B51" s="513"/>
      <c r="C51" s="513"/>
      <c r="D51" s="513"/>
      <c r="E51" s="513"/>
      <c r="F51" s="513"/>
      <c r="G51" s="513"/>
      <c r="H51" s="513"/>
      <c r="I51" s="513"/>
      <c r="J51" s="513"/>
      <c r="K51" s="513"/>
      <c r="L51" s="513"/>
      <c r="M51" s="513"/>
      <c r="N51" s="513"/>
    </row>
    <row r="52" spans="1:14" s="350" customFormat="1">
      <c r="A52" s="304" t="str">
        <f>'(BT44) BMT WF'!A12</f>
        <v>Major</v>
      </c>
      <c r="B52" s="304" t="str">
        <f>'(BT44) BMT WF'!B12</f>
        <v>BT31BTWF</v>
      </c>
      <c r="C52" s="304" t="str">
        <f>'(BT44) BMT WF'!C12</f>
        <v>Initiate BMT Case</v>
      </c>
      <c r="D52" s="405" t="s">
        <v>604</v>
      </c>
      <c r="E52" s="408" t="str">
        <f>'(BT44) BMT WF'!E12</f>
        <v>Ready To Test</v>
      </c>
      <c r="F52" s="344">
        <v>41737</v>
      </c>
      <c r="G52" s="344">
        <v>41737</v>
      </c>
      <c r="H52" s="297" t="s">
        <v>17</v>
      </c>
      <c r="I52" s="297" t="s">
        <v>17</v>
      </c>
      <c r="J52" s="306" t="s">
        <v>17</v>
      </c>
      <c r="K52" s="404" t="s">
        <v>603</v>
      </c>
      <c r="L52" s="303"/>
      <c r="M52" s="303"/>
      <c r="N52" s="303"/>
    </row>
    <row r="53" spans="1:14" s="350" customFormat="1">
      <c r="A53" s="304" t="str">
        <f>'(BT44) BMT WF'!A32</f>
        <v>Major</v>
      </c>
      <c r="B53" s="304" t="str">
        <f>'(BT44) BMT WF'!B32</f>
        <v>BT31BTMED</v>
      </c>
      <c r="C53" s="304" t="str">
        <f>'(BT44) BMT WF'!C32</f>
        <v>BT Medical Review</v>
      </c>
      <c r="D53" s="405" t="s">
        <v>604</v>
      </c>
      <c r="E53" s="408" t="str">
        <f>'(BT44) BMT WF'!E32</f>
        <v>Ready To Test</v>
      </c>
      <c r="F53" s="344">
        <v>41737</v>
      </c>
      <c r="G53" s="344">
        <v>41737</v>
      </c>
      <c r="H53" s="297" t="s">
        <v>17</v>
      </c>
      <c r="I53" s="297" t="s">
        <v>17</v>
      </c>
      <c r="J53" s="306" t="s">
        <v>17</v>
      </c>
      <c r="K53" s="404" t="s">
        <v>603</v>
      </c>
      <c r="L53" s="303"/>
      <c r="M53" s="303"/>
      <c r="N53" s="303"/>
    </row>
    <row r="54" spans="1:14" s="350" customFormat="1" ht="30">
      <c r="A54" s="304" t="str">
        <f>'(BT44) BMT WF'!A47</f>
        <v>Major</v>
      </c>
      <c r="B54" s="304" t="str">
        <f>'(BT44) BMT WF'!B47</f>
        <v>BT31BTFINAL</v>
      </c>
      <c r="C54" s="304" t="str">
        <f>'(BT44) BMT WF'!C47</f>
        <v>BT Final Review</v>
      </c>
      <c r="D54" s="405" t="s">
        <v>604</v>
      </c>
      <c r="E54" s="408" t="str">
        <f>'(BT44) BMT WF'!E47</f>
        <v>Ready To Test</v>
      </c>
      <c r="F54" s="344">
        <v>41737</v>
      </c>
      <c r="G54" s="344">
        <v>41737</v>
      </c>
      <c r="H54" s="297" t="s">
        <v>17</v>
      </c>
      <c r="I54" s="297" t="s">
        <v>17</v>
      </c>
      <c r="J54" s="306" t="s">
        <v>17</v>
      </c>
      <c r="K54" s="404" t="s">
        <v>603</v>
      </c>
      <c r="L54" s="303"/>
      <c r="M54" s="303"/>
      <c r="N54" s="303"/>
    </row>
    <row r="55" spans="1:14" s="350" customFormat="1" ht="15" customHeight="1">
      <c r="A55" s="512" t="s">
        <v>1482</v>
      </c>
      <c r="B55" s="513"/>
      <c r="C55" s="513"/>
      <c r="D55" s="513"/>
      <c r="E55" s="513"/>
      <c r="F55" s="513"/>
      <c r="G55" s="513"/>
      <c r="H55" s="513"/>
      <c r="I55" s="513"/>
      <c r="J55" s="513"/>
      <c r="K55" s="513"/>
      <c r="L55" s="513"/>
      <c r="M55" s="513"/>
      <c r="N55" s="513"/>
    </row>
    <row r="56" spans="1:14" s="350" customFormat="1" ht="30">
      <c r="A56" s="304" t="str">
        <f>'Informal LOD'!A12</f>
        <v>Major</v>
      </c>
      <c r="B56" s="304" t="str">
        <f>'Informal LOD'!B12</f>
        <v>BT31INFORMAL</v>
      </c>
      <c r="C56" s="304" t="str">
        <f>'Informal LOD'!C12</f>
        <v>Initiate Informal LOD Case</v>
      </c>
      <c r="D56" s="405" t="s">
        <v>604</v>
      </c>
      <c r="E56" s="408" t="str">
        <f>'Informal LOD'!E12</f>
        <v>Ready To Test</v>
      </c>
      <c r="F56" s="344">
        <v>41737</v>
      </c>
      <c r="G56" s="344">
        <v>41737</v>
      </c>
      <c r="H56" s="297" t="s">
        <v>17</v>
      </c>
      <c r="I56" s="297" t="s">
        <v>17</v>
      </c>
      <c r="J56" s="306" t="s">
        <v>17</v>
      </c>
      <c r="K56" s="404" t="s">
        <v>603</v>
      </c>
      <c r="L56" s="303"/>
      <c r="M56" s="303"/>
      <c r="N56" s="303"/>
    </row>
    <row r="57" spans="1:14" s="350" customFormat="1" ht="30">
      <c r="A57" s="304" t="str">
        <f>'Informal LOD'!A39</f>
        <v>Major</v>
      </c>
      <c r="B57" s="304" t="str">
        <f>'Informal LOD'!B39</f>
        <v>BT31MEDOFF</v>
      </c>
      <c r="C57" s="304" t="str">
        <f>'Informal LOD'!C39</f>
        <v>Medical Officer Review</v>
      </c>
      <c r="D57" s="405" t="s">
        <v>604</v>
      </c>
      <c r="E57" s="408" t="str">
        <f>'Informal LOD'!E39</f>
        <v>Ready To Test</v>
      </c>
      <c r="F57" s="344">
        <v>41737</v>
      </c>
      <c r="G57" s="344">
        <v>41737</v>
      </c>
      <c r="H57" s="297" t="s">
        <v>17</v>
      </c>
      <c r="I57" s="297" t="s">
        <v>17</v>
      </c>
      <c r="J57" s="306" t="s">
        <v>17</v>
      </c>
      <c r="K57" s="404" t="s">
        <v>603</v>
      </c>
      <c r="L57" s="303"/>
      <c r="M57" s="303"/>
      <c r="N57" s="303"/>
    </row>
    <row r="58" spans="1:14" s="350" customFormat="1">
      <c r="A58" s="304" t="str">
        <f>'Informal LOD'!A57</f>
        <v>Major</v>
      </c>
      <c r="B58" s="304" t="str">
        <f>'Informal LOD'!B57</f>
        <v>BT31UNITCC</v>
      </c>
      <c r="C58" s="304" t="str">
        <f>'Informal LOD'!C57</f>
        <v>Unit Commander Review</v>
      </c>
      <c r="D58" s="405" t="s">
        <v>604</v>
      </c>
      <c r="E58" s="408" t="str">
        <f>'Informal LOD'!E57</f>
        <v>Ready To Test</v>
      </c>
      <c r="F58" s="344">
        <v>41737</v>
      </c>
      <c r="G58" s="344">
        <v>41737</v>
      </c>
      <c r="H58" s="297" t="s">
        <v>17</v>
      </c>
      <c r="I58" s="297" t="s">
        <v>17</v>
      </c>
      <c r="J58" s="306" t="s">
        <v>17</v>
      </c>
      <c r="K58" s="404" t="s">
        <v>603</v>
      </c>
      <c r="L58" s="303"/>
      <c r="M58" s="303"/>
      <c r="N58" s="303"/>
    </row>
    <row r="59" spans="1:14" s="350" customFormat="1" ht="30">
      <c r="A59" s="304" t="str">
        <f>'Informal LOD'!A81</f>
        <v>Major</v>
      </c>
      <c r="B59" s="304" t="str">
        <f>'Informal LOD'!B81</f>
        <v>BT31WINGJA</v>
      </c>
      <c r="C59" s="304" t="str">
        <f>'Informal LOD'!C81</f>
        <v>Wing Judge Advocate Review</v>
      </c>
      <c r="D59" s="405" t="s">
        <v>604</v>
      </c>
      <c r="E59" s="408" t="str">
        <f>'Informal LOD'!E81</f>
        <v>Ready To Test</v>
      </c>
      <c r="F59" s="344">
        <v>41737</v>
      </c>
      <c r="G59" s="344">
        <v>41737</v>
      </c>
      <c r="H59" s="297" t="s">
        <v>17</v>
      </c>
      <c r="I59" s="297" t="s">
        <v>17</v>
      </c>
      <c r="J59" s="306" t="s">
        <v>17</v>
      </c>
      <c r="K59" s="404" t="s">
        <v>603</v>
      </c>
      <c r="L59" s="303"/>
      <c r="M59" s="303"/>
      <c r="N59" s="303"/>
    </row>
    <row r="60" spans="1:14" s="350" customFormat="1" ht="30">
      <c r="A60" s="304" t="str">
        <f>'Informal LOD'!A100</f>
        <v>Major</v>
      </c>
      <c r="B60" s="304" t="str">
        <f>'Informal LOD'!B100</f>
        <v>BT31WINGCC</v>
      </c>
      <c r="C60" s="304" t="str">
        <f>'Informal LOD'!C100</f>
        <v>Wing Commander Review</v>
      </c>
      <c r="D60" s="405" t="s">
        <v>604</v>
      </c>
      <c r="E60" s="408" t="str">
        <f>'Informal LOD'!E100</f>
        <v>Ready To Test</v>
      </c>
      <c r="F60" s="344">
        <v>41737</v>
      </c>
      <c r="G60" s="344">
        <v>41737</v>
      </c>
      <c r="H60" s="297" t="s">
        <v>17</v>
      </c>
      <c r="I60" s="297" t="s">
        <v>17</v>
      </c>
      <c r="J60" s="306" t="s">
        <v>17</v>
      </c>
      <c r="K60" s="404" t="s">
        <v>603</v>
      </c>
      <c r="L60" s="303"/>
      <c r="M60" s="303"/>
      <c r="N60" s="303"/>
    </row>
    <row r="61" spans="1:14" s="350" customFormat="1" ht="30">
      <c r="A61" s="304" t="str">
        <f>'Informal LOD'!A118</f>
        <v>Major</v>
      </c>
      <c r="B61" s="304" t="str">
        <f>'Informal LOD'!B118</f>
        <v>BT31LODBOARD</v>
      </c>
      <c r="C61" s="304" t="str">
        <f>'Informal LOD'!C118</f>
        <v>LOD Board Review</v>
      </c>
      <c r="D61" s="405" t="s">
        <v>604</v>
      </c>
      <c r="E61" s="408" t="str">
        <f>'Informal LOD'!E118</f>
        <v>Ready To Test</v>
      </c>
      <c r="F61" s="344">
        <v>41737</v>
      </c>
      <c r="G61" s="344">
        <v>41737</v>
      </c>
      <c r="H61" s="297" t="s">
        <v>17</v>
      </c>
      <c r="I61" s="297" t="s">
        <v>17</v>
      </c>
      <c r="J61" s="306" t="s">
        <v>17</v>
      </c>
      <c r="K61" s="404" t="s">
        <v>603</v>
      </c>
      <c r="L61" s="303"/>
      <c r="M61" s="303"/>
      <c r="N61" s="303"/>
    </row>
    <row r="62" spans="1:14" s="350" customFormat="1" ht="15" customHeight="1">
      <c r="A62" s="512" t="s">
        <v>1474</v>
      </c>
      <c r="B62" s="513"/>
      <c r="C62" s="513"/>
      <c r="D62" s="513"/>
      <c r="E62" s="513"/>
      <c r="F62" s="513"/>
      <c r="G62" s="513"/>
      <c r="H62" s="513"/>
      <c r="I62" s="513"/>
      <c r="J62" s="513"/>
      <c r="K62" s="513"/>
      <c r="L62" s="513"/>
      <c r="M62" s="513"/>
      <c r="N62" s="513"/>
    </row>
    <row r="63" spans="1:14" s="350" customFormat="1" ht="15" customHeight="1">
      <c r="A63" s="304" t="str">
        <f>'(BT44) Participation Waiver WF'!A12</f>
        <v>Major</v>
      </c>
      <c r="B63" s="304" t="str">
        <f>'(BT44) Participation Waiver WF'!B12</f>
        <v>BT31PWWF</v>
      </c>
      <c r="C63" s="304" t="str">
        <f>'(BT44) Participation Waiver WF'!C12</f>
        <v>Initiate Participation Waiver Case</v>
      </c>
      <c r="D63" s="405" t="s">
        <v>604</v>
      </c>
      <c r="E63" s="408" t="str">
        <f>'(BT44) Participation Waiver WF'!E12</f>
        <v>Ready To Test</v>
      </c>
      <c r="F63" s="344">
        <v>41823</v>
      </c>
      <c r="G63" s="344">
        <v>41823</v>
      </c>
      <c r="H63" s="297" t="s">
        <v>17</v>
      </c>
      <c r="I63" s="297" t="s">
        <v>17</v>
      </c>
      <c r="J63" s="306" t="s">
        <v>17</v>
      </c>
      <c r="K63" s="404" t="s">
        <v>603</v>
      </c>
      <c r="L63" s="303"/>
      <c r="M63" s="303"/>
      <c r="N63" s="303"/>
    </row>
    <row r="64" spans="1:14" s="350" customFormat="1">
      <c r="A64" s="304" t="str">
        <f>'(BT44) Participation Waiver WF'!A34</f>
        <v>Major</v>
      </c>
      <c r="B64" s="304" t="str">
        <f>'(BT44) Participation Waiver WF'!B34</f>
        <v>BT31PWPKG</v>
      </c>
      <c r="C64" s="304" t="str">
        <f>'(BT44) Participation Waiver WF'!C34</f>
        <v>PW Package Review</v>
      </c>
      <c r="D64" s="405" t="s">
        <v>604</v>
      </c>
      <c r="E64" s="408" t="str">
        <f>'(BT44) Participation Waiver WF'!E34</f>
        <v>Ready To Test</v>
      </c>
      <c r="F64" s="344">
        <v>41823</v>
      </c>
      <c r="G64" s="344">
        <v>41823</v>
      </c>
      <c r="H64" s="297" t="s">
        <v>17</v>
      </c>
      <c r="I64" s="297" t="s">
        <v>17</v>
      </c>
      <c r="J64" s="306" t="s">
        <v>17</v>
      </c>
      <c r="K64" s="404" t="s">
        <v>603</v>
      </c>
      <c r="L64" s="303"/>
      <c r="M64" s="303"/>
      <c r="N64" s="303"/>
    </row>
    <row r="65" spans="1:14" s="350" customFormat="1" ht="30">
      <c r="A65" s="304" t="str">
        <f>'(BT44) Participation Waiver WF'!A47</f>
        <v>Major</v>
      </c>
      <c r="B65" s="304" t="str">
        <f>'(BT44) Participation Waiver WF'!B47</f>
        <v>BT31PWMED</v>
      </c>
      <c r="C65" s="304" t="str">
        <f>'(BT44) Participation Waiver WF'!C47</f>
        <v>PW Medical Review</v>
      </c>
      <c r="D65" s="405" t="s">
        <v>604</v>
      </c>
      <c r="E65" s="408" t="str">
        <f>'(BT44) Participation Waiver WF'!E64</f>
        <v>Ready To Test</v>
      </c>
      <c r="F65" s="344">
        <v>41823</v>
      </c>
      <c r="G65" s="344">
        <v>41823</v>
      </c>
      <c r="H65" s="297" t="s">
        <v>17</v>
      </c>
      <c r="I65" s="297" t="s">
        <v>17</v>
      </c>
      <c r="J65" s="306" t="s">
        <v>17</v>
      </c>
      <c r="K65" s="404" t="s">
        <v>603</v>
      </c>
      <c r="L65" s="303"/>
      <c r="M65" s="303"/>
      <c r="N65" s="303"/>
    </row>
    <row r="66" spans="1:14" s="350" customFormat="1" ht="30">
      <c r="A66" s="304" t="str">
        <f>'(BT44) Participation Waiver WF'!A64</f>
        <v>Major</v>
      </c>
      <c r="B66" s="304" t="str">
        <f>'(BT44) Participation Waiver WF'!B64</f>
        <v>BT31PWFINAL</v>
      </c>
      <c r="C66" s="304" t="str">
        <f>'(BT44) Participation Waiver WF'!C64</f>
        <v>PW Final Review</v>
      </c>
      <c r="D66" s="405" t="s">
        <v>604</v>
      </c>
      <c r="E66" s="408" t="str">
        <f>'(BT44) Participation Waiver WF'!E64</f>
        <v>Ready To Test</v>
      </c>
      <c r="F66" s="344">
        <v>41823</v>
      </c>
      <c r="G66" s="344">
        <v>41823</v>
      </c>
      <c r="H66" s="297" t="s">
        <v>17</v>
      </c>
      <c r="I66" s="297" t="s">
        <v>17</v>
      </c>
      <c r="J66" s="306" t="s">
        <v>17</v>
      </c>
      <c r="K66" s="404" t="s">
        <v>603</v>
      </c>
      <c r="L66" s="303"/>
      <c r="M66" s="303"/>
      <c r="N66" s="303"/>
    </row>
    <row r="67" spans="1:14" s="350" customFormat="1" ht="15" customHeight="1">
      <c r="A67" s="512" t="s">
        <v>1218</v>
      </c>
      <c r="B67" s="513"/>
      <c r="C67" s="513"/>
      <c r="D67" s="513"/>
      <c r="E67" s="513"/>
      <c r="F67" s="513"/>
      <c r="G67" s="513"/>
      <c r="H67" s="513"/>
      <c r="I67" s="513"/>
      <c r="J67" s="513"/>
      <c r="K67" s="513"/>
      <c r="L67" s="513"/>
      <c r="M67" s="513"/>
      <c r="N67" s="513"/>
    </row>
    <row r="68" spans="1:14" s="350" customFormat="1" ht="15" customHeight="1">
      <c r="A68" s="304" t="str">
        <f>'(BT44) MEDICAL HOLDS WF'!A12</f>
        <v>Major</v>
      </c>
      <c r="B68" s="304" t="str">
        <f>'(BT44) MEDICAL HOLDS WF'!B12</f>
        <v>BT44MHINITIATE</v>
      </c>
      <c r="C68" s="304" t="str">
        <f>'(BT44) MEDICAL HOLDS WF'!C12</f>
        <v>Initiate Medical Holds (MH) Case</v>
      </c>
      <c r="D68" s="405" t="s">
        <v>604</v>
      </c>
      <c r="E68" s="408" t="str">
        <f>'[5](BT44) MEDICAL HOLDS WF'!$E$12</f>
        <v>Ready To Test</v>
      </c>
      <c r="F68" s="344">
        <v>41737</v>
      </c>
      <c r="G68" s="340">
        <v>41737</v>
      </c>
      <c r="H68" s="297" t="s">
        <v>17</v>
      </c>
      <c r="I68" s="297" t="s">
        <v>17</v>
      </c>
      <c r="J68" s="306" t="s">
        <v>17</v>
      </c>
      <c r="K68" s="404" t="s">
        <v>603</v>
      </c>
      <c r="L68" s="303"/>
      <c r="M68" s="303"/>
      <c r="N68" s="303"/>
    </row>
    <row r="69" spans="1:14" s="350" customFormat="1" ht="30">
      <c r="A69" s="304" t="str">
        <f>'(BT44) MEDICAL HOLDS WF'!A30</f>
        <v>Major</v>
      </c>
      <c r="B69" s="304" t="str">
        <f>'(BT44) MEDICAL HOLDS WF'!B30</f>
        <v>BT44MHMEDYES</v>
      </c>
      <c r="C69" s="304" t="str">
        <f>'(BT44) MEDICAL HOLDS WF'!C30</f>
        <v>MH Board Medical Review - Approve</v>
      </c>
      <c r="D69" s="405" t="s">
        <v>604</v>
      </c>
      <c r="E69" s="408" t="str">
        <f>'[5](BT44) MEDICAL HOLDS WF'!$E$12</f>
        <v>Ready To Test</v>
      </c>
      <c r="F69" s="344">
        <v>41737</v>
      </c>
      <c r="G69" s="344">
        <v>41737</v>
      </c>
      <c r="H69" s="297" t="s">
        <v>17</v>
      </c>
      <c r="I69" s="297" t="s">
        <v>17</v>
      </c>
      <c r="J69" s="306" t="s">
        <v>17</v>
      </c>
      <c r="K69" s="404" t="s">
        <v>603</v>
      </c>
      <c r="L69" s="303"/>
      <c r="M69" s="303"/>
      <c r="N69" s="303"/>
    </row>
    <row r="70" spans="1:14" s="350" customFormat="1" ht="30">
      <c r="A70" s="304" t="str">
        <f>'(BT44) MEDICAL HOLDS WF'!A44</f>
        <v>Major</v>
      </c>
      <c r="B70" s="304" t="str">
        <f>'(BT44) MEDICAL HOLDS WF'!B44</f>
        <v>BT44MHMEDNO</v>
      </c>
      <c r="C70" s="304" t="str">
        <f>'(BT44) MEDICAL HOLDS WF'!C44</f>
        <v>MH Board Medical Review - Disapprove</v>
      </c>
      <c r="D70" s="405" t="s">
        <v>604</v>
      </c>
      <c r="E70" s="408" t="str">
        <f>'[5](BT44) MEDICAL HOLDS WF'!$E$12</f>
        <v>Ready To Test</v>
      </c>
      <c r="F70" s="344">
        <v>41737</v>
      </c>
      <c r="G70" s="344">
        <v>41737</v>
      </c>
      <c r="H70" s="297" t="s">
        <v>17</v>
      </c>
      <c r="I70" s="297" t="s">
        <v>17</v>
      </c>
      <c r="J70" s="306" t="s">
        <v>17</v>
      </c>
      <c r="K70" s="404" t="s">
        <v>603</v>
      </c>
      <c r="L70" s="303"/>
      <c r="M70" s="303"/>
      <c r="N70" s="303"/>
    </row>
    <row r="71" spans="1:14" s="350" customFormat="1" ht="30">
      <c r="A71" s="304" t="str">
        <f>'(BT44) MEDICAL HOLDS WF'!A55</f>
        <v>Major</v>
      </c>
      <c r="B71" s="304" t="str">
        <f>'(BT44) MEDICAL HOLDS WF'!B55</f>
        <v>BT44IRFINAL</v>
      </c>
      <c r="C71" s="304" t="str">
        <f>'(BT44) MEDICAL HOLDS WF'!C55</f>
        <v>MEB Final Review</v>
      </c>
      <c r="D71" s="405" t="s">
        <v>604</v>
      </c>
      <c r="E71" s="408" t="str">
        <f>'[5](BT44) MEDICAL HOLDS WF'!$E$12</f>
        <v>Ready To Test</v>
      </c>
      <c r="F71" s="344">
        <v>41737</v>
      </c>
      <c r="G71" s="344">
        <v>41737</v>
      </c>
      <c r="H71" s="297" t="s">
        <v>17</v>
      </c>
      <c r="I71" s="297" t="s">
        <v>17</v>
      </c>
      <c r="J71" s="306" t="s">
        <v>17</v>
      </c>
      <c r="K71" s="404" t="s">
        <v>603</v>
      </c>
      <c r="L71" s="303"/>
      <c r="M71" s="303"/>
      <c r="N71" s="303"/>
    </row>
    <row r="72" spans="1:14" s="350" customFormat="1" ht="30">
      <c r="A72" s="304" t="str">
        <f>'(BT44) MEDICAL HOLDS WF'!A69</f>
        <v>Major</v>
      </c>
      <c r="B72" s="304" t="str">
        <f>'(BT44) MEDICAL HOLDS WF'!B69</f>
        <v>BT44MHCANCELMED</v>
      </c>
      <c r="C72" s="304" t="str">
        <f>'(BT44) MEDICAL HOLDS WF'!C69</f>
        <v>MH Cancel - Board Medical</v>
      </c>
      <c r="D72" s="405" t="s">
        <v>604</v>
      </c>
      <c r="E72" s="408" t="str">
        <f>'[5](BT44) MEDICAL HOLDS WF'!$E$12</f>
        <v>Ready To Test</v>
      </c>
      <c r="F72" s="344">
        <v>41737</v>
      </c>
      <c r="G72" s="344">
        <v>41737</v>
      </c>
      <c r="H72" s="297" t="s">
        <v>17</v>
      </c>
      <c r="I72" s="297" t="s">
        <v>17</v>
      </c>
      <c r="J72" s="306" t="s">
        <v>17</v>
      </c>
      <c r="K72" s="404" t="s">
        <v>603</v>
      </c>
      <c r="L72" s="303"/>
      <c r="M72" s="303"/>
      <c r="N72" s="303"/>
    </row>
    <row r="73" spans="1:14" s="350" customFormat="1" ht="30">
      <c r="A73" s="304" t="str">
        <f>'(BT44) MEDICAL HOLDS WF'!A80</f>
        <v>Major</v>
      </c>
      <c r="B73" s="304" t="str">
        <f>'(BT44) MEDICAL HOLDS WF'!B80</f>
        <v>BT44MHCANCELHQ</v>
      </c>
      <c r="C73" s="304" t="str">
        <f>'(BT44) MEDICAL HOLDS WF'!C80</f>
        <v>MH Cancel - HQ AFRC Technician</v>
      </c>
      <c r="D73" s="405" t="s">
        <v>604</v>
      </c>
      <c r="E73" s="408" t="str">
        <f>'[5](BT44) MEDICAL HOLDS WF'!$E$12</f>
        <v>Ready To Test</v>
      </c>
      <c r="F73" s="344">
        <v>41737</v>
      </c>
      <c r="G73" s="344">
        <v>41737</v>
      </c>
      <c r="H73" s="297" t="s">
        <v>17</v>
      </c>
      <c r="I73" s="297" t="s">
        <v>17</v>
      </c>
      <c r="J73" s="306" t="s">
        <v>17</v>
      </c>
      <c r="K73" s="404" t="s">
        <v>603</v>
      </c>
      <c r="L73" s="303"/>
      <c r="M73" s="303"/>
      <c r="N73" s="303"/>
    </row>
    <row r="74" spans="1:14" s="350" customFormat="1" ht="30">
      <c r="A74" s="304" t="str">
        <f>'(BT44) MEDICAL HOLDS WF'!A90</f>
        <v>Major</v>
      </c>
      <c r="B74" s="304" t="str">
        <f>'(BT44) MEDICAL HOLDS WF'!B90</f>
        <v>BT44MHRENEWEXP</v>
      </c>
      <c r="C74" s="304" t="str">
        <f>'(BT44) MEDICAL HOLDS WF'!C90</f>
        <v>MH Renew Expiration Date</v>
      </c>
      <c r="D74" s="405" t="s">
        <v>604</v>
      </c>
      <c r="E74" s="408" t="str">
        <f>'[5](BT44) MEDICAL HOLDS WF'!$E$12</f>
        <v>Ready To Test</v>
      </c>
      <c r="F74" s="344">
        <v>41737</v>
      </c>
      <c r="G74" s="344">
        <v>41737</v>
      </c>
      <c r="H74" s="297" t="s">
        <v>17</v>
      </c>
      <c r="I74" s="297" t="s">
        <v>17</v>
      </c>
      <c r="J74" s="306" t="s">
        <v>17</v>
      </c>
      <c r="K74" s="404" t="s">
        <v>603</v>
      </c>
      <c r="L74" s="303"/>
      <c r="M74" s="303"/>
      <c r="N74" s="303"/>
    </row>
    <row r="75" spans="1:14" s="350" customFormat="1" ht="15" customHeight="1">
      <c r="A75" s="512" t="s">
        <v>1475</v>
      </c>
      <c r="B75" s="513"/>
      <c r="C75" s="513"/>
      <c r="D75" s="513"/>
      <c r="E75" s="513"/>
      <c r="F75" s="513"/>
      <c r="G75" s="513"/>
      <c r="H75" s="513"/>
      <c r="I75" s="513"/>
      <c r="J75" s="513"/>
      <c r="K75" s="513"/>
      <c r="L75" s="513"/>
      <c r="M75" s="513"/>
      <c r="N75" s="513"/>
    </row>
    <row r="76" spans="1:14" s="350" customFormat="1" ht="15" customHeight="1">
      <c r="A76" s="304" t="str">
        <f>'(BT44) Deployment Waiver WF'!A12</f>
        <v>Major</v>
      </c>
      <c r="B76" s="304" t="str">
        <f>'(BT44) Deployment Waiver WF'!B12</f>
        <v>BT31DWWF</v>
      </c>
      <c r="C76" s="304" t="str">
        <f>'(BT44) Deployment Waiver WF'!C12</f>
        <v>Initiate Deployment Waiver Case</v>
      </c>
      <c r="D76" s="405" t="s">
        <v>604</v>
      </c>
      <c r="E76" s="408" t="str">
        <f>'(BT44) Deployment Waiver WF'!E12</f>
        <v>Ready To Test</v>
      </c>
      <c r="F76" s="344">
        <v>41823</v>
      </c>
      <c r="G76" s="344">
        <v>41823</v>
      </c>
      <c r="H76" s="297" t="s">
        <v>17</v>
      </c>
      <c r="I76" s="297" t="s">
        <v>17</v>
      </c>
      <c r="J76" s="306" t="s">
        <v>17</v>
      </c>
      <c r="K76" s="404" t="s">
        <v>603</v>
      </c>
      <c r="L76" s="303"/>
      <c r="M76" s="303"/>
      <c r="N76" s="303"/>
    </row>
    <row r="77" spans="1:14" s="350" customFormat="1" ht="30">
      <c r="A77" s="304" t="str">
        <f>'(BT44) Deployment Waiver WF'!A41</f>
        <v>Major</v>
      </c>
      <c r="B77" s="304" t="str">
        <f>'(BT44) Deployment Waiver WF'!B41</f>
        <v>BT31DWPKG</v>
      </c>
      <c r="C77" s="304" t="str">
        <f>'(BT44) Deployment Waiver WF'!C41</f>
        <v>DW Package Review</v>
      </c>
      <c r="D77" s="405" t="s">
        <v>604</v>
      </c>
      <c r="E77" s="408" t="str">
        <f>'(BT44) Deployment Waiver WF'!E41</f>
        <v>Ready To Test</v>
      </c>
      <c r="F77" s="344">
        <v>41823</v>
      </c>
      <c r="G77" s="344">
        <v>41823</v>
      </c>
      <c r="H77" s="297" t="s">
        <v>17</v>
      </c>
      <c r="I77" s="297" t="s">
        <v>17</v>
      </c>
      <c r="J77" s="306" t="s">
        <v>17</v>
      </c>
      <c r="K77" s="404" t="s">
        <v>603</v>
      </c>
      <c r="L77" s="303"/>
      <c r="M77" s="303"/>
      <c r="N77" s="303"/>
    </row>
    <row r="78" spans="1:14" s="350" customFormat="1" ht="30">
      <c r="A78" s="304" t="str">
        <f>'(BT44) Deployment Waiver WF'!A54</f>
        <v>Major</v>
      </c>
      <c r="B78" s="304" t="str">
        <f>'(BT44) Deployment Waiver WF'!B54</f>
        <v>BT31DWMED</v>
      </c>
      <c r="C78" s="304" t="str">
        <f>'(BT44) Deployment Waiver WF'!C54</f>
        <v>DW Medical Review</v>
      </c>
      <c r="D78" s="405" t="s">
        <v>604</v>
      </c>
      <c r="E78" s="408" t="str">
        <f>'(BT44) Deployment Waiver WF'!E54</f>
        <v>Ready To Test</v>
      </c>
      <c r="F78" s="344">
        <v>41823</v>
      </c>
      <c r="G78" s="344">
        <v>41823</v>
      </c>
      <c r="H78" s="297" t="s">
        <v>17</v>
      </c>
      <c r="I78" s="297" t="s">
        <v>17</v>
      </c>
      <c r="J78" s="306" t="s">
        <v>17</v>
      </c>
      <c r="K78" s="404" t="s">
        <v>603</v>
      </c>
      <c r="L78" s="303"/>
      <c r="M78" s="303"/>
      <c r="N78" s="303"/>
    </row>
    <row r="79" spans="1:14" s="350" customFormat="1" ht="30">
      <c r="A79" s="304" t="str">
        <f>'(BT44) Deployment Waiver WF'!A70</f>
        <v>Major</v>
      </c>
      <c r="B79" s="304" t="str">
        <f>'(BT44) Deployment Waiver WF'!B70</f>
        <v>BT31DWFINAL</v>
      </c>
      <c r="C79" s="304" t="str">
        <f>'(BT44) Deployment Waiver WF'!C70</f>
        <v>DW Final Review</v>
      </c>
      <c r="D79" s="405" t="s">
        <v>604</v>
      </c>
      <c r="E79" s="408" t="str">
        <f>'(BT44) Deployment Waiver WF'!E70</f>
        <v>Ready To Test</v>
      </c>
      <c r="F79" s="344">
        <v>41823</v>
      </c>
      <c r="G79" s="344">
        <v>41823</v>
      </c>
      <c r="H79" s="297" t="s">
        <v>17</v>
      </c>
      <c r="I79" s="297" t="s">
        <v>17</v>
      </c>
      <c r="J79" s="306" t="s">
        <v>17</v>
      </c>
      <c r="K79" s="404" t="s">
        <v>603</v>
      </c>
      <c r="L79" s="303"/>
      <c r="M79" s="303"/>
      <c r="N79" s="303"/>
    </row>
    <row r="80" spans="1:14" s="350" customFormat="1" ht="15" customHeight="1">
      <c r="A80" s="512" t="s">
        <v>1476</v>
      </c>
      <c r="B80" s="513"/>
      <c r="C80" s="513"/>
      <c r="D80" s="513"/>
      <c r="E80" s="513"/>
      <c r="F80" s="513"/>
      <c r="G80" s="513"/>
      <c r="H80" s="513"/>
      <c r="I80" s="513"/>
      <c r="J80" s="513"/>
      <c r="K80" s="513"/>
      <c r="L80" s="513"/>
      <c r="M80" s="513"/>
      <c r="N80" s="513"/>
    </row>
    <row r="81" spans="1:14" s="350" customFormat="1" ht="15" customHeight="1">
      <c r="A81" s="304" t="str">
        <f>'(BT44) Non Emergent Surgery'!A12</f>
        <v>Major</v>
      </c>
      <c r="B81" s="304" t="str">
        <f>'(BT44) Non Emergent Surgery'!B12</f>
        <v>BT31NEWF</v>
      </c>
      <c r="C81" s="304" t="str">
        <f>'(BT44) Non Emergent Surgery'!C12</f>
        <v>Initiate Non Emergent Surgery Case</v>
      </c>
      <c r="D81" s="405" t="s">
        <v>604</v>
      </c>
      <c r="E81" s="408" t="str">
        <f>'(BT44) Non Emergent Surgery'!E12</f>
        <v>Ready To Test</v>
      </c>
      <c r="F81" s="344">
        <v>41823</v>
      </c>
      <c r="G81" s="344">
        <v>41823</v>
      </c>
      <c r="H81" s="297" t="s">
        <v>17</v>
      </c>
      <c r="I81" s="297" t="s">
        <v>17</v>
      </c>
      <c r="J81" s="306" t="s">
        <v>17</v>
      </c>
      <c r="K81" s="404" t="s">
        <v>603</v>
      </c>
      <c r="L81" s="303"/>
      <c r="M81" s="303"/>
      <c r="N81" s="303"/>
    </row>
    <row r="82" spans="1:14" s="350" customFormat="1">
      <c r="A82" s="304" t="str">
        <f>'(BT44) Non Emergent Surgery'!A38</f>
        <v>Major</v>
      </c>
      <c r="B82" s="304" t="str">
        <f>'(BT44) Non Emergent Surgery'!B38</f>
        <v>BT31NEPKG</v>
      </c>
      <c r="C82" s="304" t="str">
        <f>'(BT44) Non Emergent Surgery'!C38</f>
        <v>NE Package Review</v>
      </c>
      <c r="D82" s="405" t="s">
        <v>604</v>
      </c>
      <c r="E82" s="408" t="str">
        <f>'(BT44) Non Emergent Surgery'!E38</f>
        <v>Ready To Test</v>
      </c>
      <c r="F82" s="344">
        <v>41823</v>
      </c>
      <c r="G82" s="344">
        <v>41823</v>
      </c>
      <c r="H82" s="297" t="s">
        <v>17</v>
      </c>
      <c r="I82" s="297" t="s">
        <v>17</v>
      </c>
      <c r="J82" s="306" t="s">
        <v>17</v>
      </c>
      <c r="K82" s="404" t="s">
        <v>603</v>
      </c>
      <c r="L82" s="303"/>
      <c r="M82" s="303"/>
      <c r="N82" s="303"/>
    </row>
    <row r="83" spans="1:14" s="350" customFormat="1">
      <c r="A83" s="304" t="str">
        <f>'(BT44) Non Emergent Surgery'!A51</f>
        <v>Major</v>
      </c>
      <c r="B83" s="304" t="str">
        <f>'(BT44) Non Emergent Surgery'!B51</f>
        <v>BT31NEMED</v>
      </c>
      <c r="C83" s="304" t="str">
        <f>'(BT44) Non Emergent Surgery'!C51</f>
        <v>NE Medical Review</v>
      </c>
      <c r="D83" s="405" t="s">
        <v>604</v>
      </c>
      <c r="E83" s="408" t="str">
        <f>'(BT44) Non Emergent Surgery'!E51</f>
        <v>Ready To Test</v>
      </c>
      <c r="F83" s="344">
        <v>41823</v>
      </c>
      <c r="G83" s="344">
        <v>41823</v>
      </c>
      <c r="H83" s="297" t="s">
        <v>17</v>
      </c>
      <c r="I83" s="297" t="s">
        <v>17</v>
      </c>
      <c r="J83" s="306" t="s">
        <v>17</v>
      </c>
      <c r="K83" s="404" t="s">
        <v>603</v>
      </c>
      <c r="L83" s="303"/>
      <c r="M83" s="303"/>
      <c r="N83" s="303"/>
    </row>
    <row r="84" spans="1:14" s="350" customFormat="1" ht="30">
      <c r="A84" s="304" t="str">
        <f>'(BT44) Non Emergent Surgery'!A66</f>
        <v>Major</v>
      </c>
      <c r="B84" s="304" t="str">
        <f>'(BT44) Non Emergent Surgery'!B66</f>
        <v>BT31NEFINAL</v>
      </c>
      <c r="C84" s="304" t="str">
        <f>'(BT44) Non Emergent Surgery'!C66</f>
        <v>NE Final Review</v>
      </c>
      <c r="D84" s="405" t="s">
        <v>604</v>
      </c>
      <c r="E84" s="408" t="str">
        <f>'(BT44) Non Emergent Surgery'!E66</f>
        <v>Ready To Test</v>
      </c>
      <c r="F84" s="344">
        <v>41823</v>
      </c>
      <c r="G84" s="344">
        <v>41823</v>
      </c>
      <c r="H84" s="297" t="s">
        <v>17</v>
      </c>
      <c r="I84" s="297" t="s">
        <v>17</v>
      </c>
      <c r="J84" s="306" t="s">
        <v>17</v>
      </c>
      <c r="K84" s="404" t="s">
        <v>603</v>
      </c>
      <c r="L84" s="303"/>
      <c r="M84" s="303"/>
      <c r="N84" s="303"/>
    </row>
    <row r="85" spans="1:14" s="350" customFormat="1" ht="15" customHeight="1">
      <c r="A85" s="512" t="s">
        <v>1477</v>
      </c>
      <c r="B85" s="513"/>
      <c r="C85" s="513"/>
      <c r="D85" s="513"/>
      <c r="E85" s="513"/>
      <c r="F85" s="513"/>
      <c r="G85" s="513"/>
      <c r="H85" s="513"/>
      <c r="I85" s="513"/>
      <c r="J85" s="513"/>
      <c r="K85" s="513"/>
      <c r="L85" s="513"/>
      <c r="M85" s="513"/>
      <c r="N85" s="513"/>
    </row>
    <row r="86" spans="1:14" s="350" customFormat="1" ht="15" customHeight="1">
      <c r="A86" s="304" t="str">
        <f>'(BT44) Modification WF'!A12</f>
        <v>Major</v>
      </c>
      <c r="B86" s="304" t="str">
        <f>'(BT44) Modification WF'!B12</f>
        <v>BT31MOWF</v>
      </c>
      <c r="C86" s="304" t="str">
        <f>'(BT44) Modification WF'!C12</f>
        <v>Initiate Modification Case</v>
      </c>
      <c r="D86" s="405" t="s">
        <v>604</v>
      </c>
      <c r="E86" s="408" t="str">
        <f>'(BT44) Modification WF'!E12</f>
        <v>Ready To Test</v>
      </c>
      <c r="F86" s="344">
        <v>41823</v>
      </c>
      <c r="G86" s="344">
        <v>41823</v>
      </c>
      <c r="H86" s="297" t="s">
        <v>17</v>
      </c>
      <c r="I86" s="297" t="s">
        <v>17</v>
      </c>
      <c r="J86" s="306" t="s">
        <v>17</v>
      </c>
      <c r="K86" s="404" t="s">
        <v>603</v>
      </c>
      <c r="L86" s="303"/>
      <c r="M86" s="303"/>
      <c r="N86" s="303"/>
    </row>
    <row r="87" spans="1:14" s="350" customFormat="1" ht="30">
      <c r="A87" s="304" t="str">
        <f>'(BT44) Modification WF'!A40</f>
        <v>Major</v>
      </c>
      <c r="B87" s="304" t="str">
        <f>'(BT44) Modification WF'!B40</f>
        <v>BT31MOPKG</v>
      </c>
      <c r="C87" s="304" t="str">
        <f>'(BT44) Modification WF'!C40</f>
        <v xml:space="preserve">MO Package Review </v>
      </c>
      <c r="D87" s="405" t="s">
        <v>604</v>
      </c>
      <c r="E87" s="408" t="str">
        <f>'(BT44) Modification WF'!E40</f>
        <v>Ready To Test</v>
      </c>
      <c r="F87" s="344">
        <v>41823</v>
      </c>
      <c r="G87" s="344">
        <v>41823</v>
      </c>
      <c r="H87" s="297" t="s">
        <v>17</v>
      </c>
      <c r="I87" s="297" t="s">
        <v>17</v>
      </c>
      <c r="J87" s="306" t="s">
        <v>17</v>
      </c>
      <c r="K87" s="404" t="s">
        <v>603</v>
      </c>
      <c r="L87" s="303"/>
      <c r="M87" s="303"/>
      <c r="N87" s="303"/>
    </row>
    <row r="88" spans="1:14" s="350" customFormat="1" ht="30">
      <c r="A88" s="304" t="str">
        <f>'(BT44) Modification WF'!A54</f>
        <v>Major</v>
      </c>
      <c r="B88" s="304" t="str">
        <f>'(BT44) Modification WF'!B54</f>
        <v>BT31MOMED</v>
      </c>
      <c r="C88" s="304" t="str">
        <f>'(BT44) Modification WF'!C54</f>
        <v>MO Medical Review</v>
      </c>
      <c r="D88" s="405" t="s">
        <v>604</v>
      </c>
      <c r="E88" s="408" t="str">
        <f>'(BT44) Modification WF'!E54</f>
        <v>Ready To Test</v>
      </c>
      <c r="F88" s="344">
        <v>41823</v>
      </c>
      <c r="G88" s="344">
        <v>41823</v>
      </c>
      <c r="H88" s="297" t="s">
        <v>17</v>
      </c>
      <c r="I88" s="297" t="s">
        <v>17</v>
      </c>
      <c r="J88" s="306" t="s">
        <v>17</v>
      </c>
      <c r="K88" s="404" t="s">
        <v>603</v>
      </c>
      <c r="L88" s="303"/>
      <c r="M88" s="303"/>
      <c r="N88" s="303"/>
    </row>
    <row r="89" spans="1:14" s="350" customFormat="1" ht="30">
      <c r="A89" s="304" t="str">
        <f>'(BT44) Modification WF'!A70</f>
        <v>Major</v>
      </c>
      <c r="B89" s="304" t="str">
        <f>'(BT44) Modification WF'!B70</f>
        <v>BT31MOFINAL</v>
      </c>
      <c r="C89" s="304" t="str">
        <f>'(BT44) Modification WF'!C70</f>
        <v>MO Final Review</v>
      </c>
      <c r="D89" s="405" t="s">
        <v>604</v>
      </c>
      <c r="E89" s="408" t="str">
        <f>'(BT44) Modification WF'!E70</f>
        <v>Ready To Test</v>
      </c>
      <c r="F89" s="344">
        <v>41823</v>
      </c>
      <c r="G89" s="344">
        <v>41823</v>
      </c>
      <c r="H89" s="297" t="s">
        <v>17</v>
      </c>
      <c r="I89" s="297" t="s">
        <v>17</v>
      </c>
      <c r="J89" s="306" t="s">
        <v>17</v>
      </c>
      <c r="K89" s="404" t="s">
        <v>603</v>
      </c>
      <c r="L89" s="303"/>
      <c r="M89" s="303"/>
      <c r="N89" s="303"/>
    </row>
    <row r="90" spans="1:14" s="350" customFormat="1" ht="15" customHeight="1">
      <c r="A90" s="512" t="s">
        <v>1478</v>
      </c>
      <c r="B90" s="513"/>
      <c r="C90" s="513"/>
      <c r="D90" s="513"/>
      <c r="E90" s="513"/>
      <c r="F90" s="513"/>
      <c r="G90" s="513"/>
      <c r="H90" s="513"/>
      <c r="I90" s="513"/>
      <c r="J90" s="513"/>
      <c r="K90" s="513"/>
      <c r="L90" s="513"/>
      <c r="M90" s="513"/>
      <c r="N90" s="513"/>
    </row>
    <row r="91" spans="1:14" s="350" customFormat="1" ht="15" customHeight="1">
      <c r="A91" s="304" t="str">
        <f>'(BT44) BCMR WF'!A12</f>
        <v>Major</v>
      </c>
      <c r="B91" s="304" t="str">
        <f>'(BT44) BCMR WF'!B12</f>
        <v>BT31BCMRWF</v>
      </c>
      <c r="C91" s="304" t="str">
        <f>'(BT44) BCMR WF'!C12</f>
        <v>BCMR Initiate</v>
      </c>
      <c r="D91" s="405" t="s">
        <v>604</v>
      </c>
      <c r="E91" s="408" t="str">
        <f>'(BT44) BCMR WF'!E12</f>
        <v>Ready To Test</v>
      </c>
      <c r="F91" s="344">
        <v>41823</v>
      </c>
      <c r="G91" s="344">
        <v>41823</v>
      </c>
      <c r="H91" s="297" t="s">
        <v>17</v>
      </c>
      <c r="I91" s="297" t="s">
        <v>17</v>
      </c>
      <c r="J91" s="306" t="s">
        <v>17</v>
      </c>
      <c r="K91" s="404" t="s">
        <v>603</v>
      </c>
      <c r="L91" s="303"/>
      <c r="M91" s="303"/>
      <c r="N91" s="303"/>
    </row>
    <row r="92" spans="1:14" s="350" customFormat="1" ht="30">
      <c r="A92" s="304" t="str">
        <f>'(BT44) BCMR WF'!A28</f>
        <v>Major</v>
      </c>
      <c r="B92" s="304" t="str">
        <f>'(BT44) BCMR WF'!B28</f>
        <v>BT31BCMRMED</v>
      </c>
      <c r="C92" s="304" t="str">
        <f>'(BT44) BCMR WF'!C28</f>
        <v>BCMR Medical Review</v>
      </c>
      <c r="D92" s="405" t="s">
        <v>604</v>
      </c>
      <c r="E92" s="408" t="str">
        <f>'(BT44) BCMR WF'!E28</f>
        <v>Ready To Test</v>
      </c>
      <c r="F92" s="344">
        <v>41823</v>
      </c>
      <c r="G92" s="344">
        <v>41823</v>
      </c>
      <c r="H92" s="297" t="s">
        <v>17</v>
      </c>
      <c r="I92" s="297" t="s">
        <v>17</v>
      </c>
      <c r="J92" s="306" t="s">
        <v>17</v>
      </c>
      <c r="K92" s="404" t="s">
        <v>603</v>
      </c>
      <c r="L92" s="303"/>
      <c r="M92" s="303"/>
      <c r="N92" s="303"/>
    </row>
    <row r="93" spans="1:14" s="350" customFormat="1" ht="30">
      <c r="A93" s="304" t="str">
        <f>'(BT44) BCMR WF'!A40</f>
        <v>Major</v>
      </c>
      <c r="B93" s="304" t="str">
        <f>'(BT44) BCMR WF'!B40</f>
        <v>BT31BCMRFINAL</v>
      </c>
      <c r="C93" s="304" t="str">
        <f>'(BT44) BCMR WF'!C40</f>
        <v>BCMR Final Review</v>
      </c>
      <c r="D93" s="405" t="s">
        <v>604</v>
      </c>
      <c r="E93" s="408" t="str">
        <f>'(BT44) BCMR WF'!E40</f>
        <v>Ready To Test</v>
      </c>
      <c r="F93" s="344">
        <v>41823</v>
      </c>
      <c r="G93" s="344">
        <v>41823</v>
      </c>
      <c r="H93" s="297" t="s">
        <v>17</v>
      </c>
      <c r="I93" s="297" t="s">
        <v>17</v>
      </c>
      <c r="J93" s="306" t="s">
        <v>17</v>
      </c>
      <c r="K93" s="404" t="s">
        <v>603</v>
      </c>
      <c r="L93" s="303"/>
      <c r="M93" s="303"/>
      <c r="N93" s="303"/>
    </row>
    <row r="94" spans="1:14" s="350" customFormat="1" ht="15" customHeight="1">
      <c r="A94" s="512" t="s">
        <v>1479</v>
      </c>
      <c r="B94" s="513"/>
      <c r="C94" s="513"/>
      <c r="D94" s="513"/>
      <c r="E94" s="513"/>
      <c r="F94" s="513"/>
      <c r="G94" s="513"/>
      <c r="H94" s="513"/>
      <c r="I94" s="513"/>
      <c r="J94" s="513"/>
      <c r="K94" s="513"/>
      <c r="L94" s="513"/>
      <c r="M94" s="513"/>
      <c r="N94" s="513"/>
    </row>
    <row r="95" spans="1:14" s="350" customFormat="1" ht="15" customHeight="1">
      <c r="A95" s="304" t="str">
        <f>'(BT44) BCMR WF'!A12</f>
        <v>Major</v>
      </c>
      <c r="B95" s="304" t="str">
        <f>'(BT44) Congressionals WF'!B12</f>
        <v>BT31CIWF</v>
      </c>
      <c r="C95" s="304" t="str">
        <f>'(BT44) Congressionals WF'!C12</f>
        <v>CI Initiate</v>
      </c>
      <c r="D95" s="405" t="s">
        <v>604</v>
      </c>
      <c r="E95" s="408" t="str">
        <f>'(BT44) Congressionals WF'!E12</f>
        <v>Ready To Test</v>
      </c>
      <c r="F95" s="344">
        <v>41823</v>
      </c>
      <c r="G95" s="344">
        <v>41823</v>
      </c>
      <c r="H95" s="297" t="s">
        <v>17</v>
      </c>
      <c r="I95" s="297" t="s">
        <v>17</v>
      </c>
      <c r="J95" s="306" t="s">
        <v>17</v>
      </c>
      <c r="K95" s="404" t="s">
        <v>603</v>
      </c>
      <c r="L95" s="303"/>
      <c r="M95" s="303"/>
      <c r="N95" s="303"/>
    </row>
    <row r="96" spans="1:14" s="350" customFormat="1">
      <c r="A96" s="304" t="str">
        <f>'(BT44) BCMR WF'!A28</f>
        <v>Major</v>
      </c>
      <c r="B96" s="304" t="str">
        <f>'(BT44) Congressionals WF'!B28</f>
        <v>BT31CIMED</v>
      </c>
      <c r="C96" s="304" t="str">
        <f>'(BT44) Congressionals WF'!C28</f>
        <v>CI Medical Review</v>
      </c>
      <c r="D96" s="405" t="s">
        <v>604</v>
      </c>
      <c r="E96" s="408" t="str">
        <f>'(BT44) Congressionals WF'!E12</f>
        <v>Ready To Test</v>
      </c>
      <c r="F96" s="344">
        <v>41823</v>
      </c>
      <c r="G96" s="344">
        <v>41823</v>
      </c>
      <c r="H96" s="297" t="s">
        <v>17</v>
      </c>
      <c r="I96" s="297" t="s">
        <v>17</v>
      </c>
      <c r="J96" s="306" t="s">
        <v>17</v>
      </c>
      <c r="K96" s="404" t="s">
        <v>603</v>
      </c>
      <c r="L96" s="303"/>
      <c r="M96" s="303"/>
      <c r="N96" s="303"/>
    </row>
    <row r="97" spans="1:14" s="350" customFormat="1" ht="30">
      <c r="A97" s="304" t="str">
        <f>'(BT44) BCMR WF'!A40</f>
        <v>Major</v>
      </c>
      <c r="B97" s="304" t="str">
        <f>'(BT44) Congressionals WF'!B40</f>
        <v>BT31CIFINAL</v>
      </c>
      <c r="C97" s="304" t="str">
        <f>'(BT44) Congressionals WF'!C40</f>
        <v>CI Final Review</v>
      </c>
      <c r="D97" s="405" t="s">
        <v>604</v>
      </c>
      <c r="E97" s="408" t="str">
        <f>'(BT44) Congressionals WF'!E40</f>
        <v>Ready To Test</v>
      </c>
      <c r="F97" s="344">
        <v>41823</v>
      </c>
      <c r="G97" s="344">
        <v>41823</v>
      </c>
      <c r="H97" s="297" t="s">
        <v>17</v>
      </c>
      <c r="I97" s="297" t="s">
        <v>17</v>
      </c>
      <c r="J97" s="306" t="s">
        <v>17</v>
      </c>
      <c r="K97" s="404" t="s">
        <v>603</v>
      </c>
      <c r="L97" s="303"/>
      <c r="M97" s="303"/>
      <c r="N97" s="303"/>
    </row>
    <row r="98" spans="1:14" s="350" customFormat="1" ht="15" customHeight="1">
      <c r="A98" s="512" t="s">
        <v>1480</v>
      </c>
      <c r="B98" s="513"/>
      <c r="C98" s="513"/>
      <c r="D98" s="513"/>
      <c r="E98" s="513"/>
      <c r="F98" s="513"/>
      <c r="G98" s="513"/>
      <c r="H98" s="513"/>
      <c r="I98" s="513"/>
      <c r="J98" s="513"/>
      <c r="K98" s="513"/>
      <c r="L98" s="513"/>
      <c r="M98" s="513"/>
      <c r="N98" s="513"/>
    </row>
    <row r="99" spans="1:14" s="350" customFormat="1" ht="15" customHeight="1">
      <c r="A99" s="304" t="str">
        <f>'(BT44) PEPP WF'!A12</f>
        <v>Major</v>
      </c>
      <c r="B99" s="304" t="str">
        <f>'(BT44) PEPP WF'!B12</f>
        <v>BT31PEPPWF</v>
      </c>
      <c r="C99" s="304" t="str">
        <f>'(BT44) PEPP WF'!C12</f>
        <v>PEPP Initiate</v>
      </c>
      <c r="D99" s="405" t="s">
        <v>604</v>
      </c>
      <c r="E99" s="408" t="str">
        <f>'(BT44) PEPP WF'!E12</f>
        <v>Ready To Test</v>
      </c>
      <c r="F99" s="340" t="s">
        <v>170</v>
      </c>
      <c r="G99" s="340" t="s">
        <v>170</v>
      </c>
      <c r="H99" s="297" t="s">
        <v>17</v>
      </c>
      <c r="I99" s="297" t="s">
        <v>17</v>
      </c>
      <c r="J99" s="306" t="s">
        <v>17</v>
      </c>
      <c r="K99" s="404" t="s">
        <v>603</v>
      </c>
      <c r="L99" s="303"/>
      <c r="M99" s="303"/>
      <c r="N99" s="303"/>
    </row>
    <row r="100" spans="1:14" s="350" customFormat="1" ht="15" customHeight="1">
      <c r="A100" s="512" t="s">
        <v>1485</v>
      </c>
      <c r="B100" s="513"/>
      <c r="C100" s="513"/>
      <c r="D100" s="513"/>
      <c r="E100" s="513"/>
      <c r="F100" s="513"/>
      <c r="G100" s="513"/>
      <c r="H100" s="513"/>
      <c r="I100" s="513"/>
      <c r="J100" s="513"/>
      <c r="K100" s="513"/>
      <c r="L100" s="513"/>
      <c r="M100" s="513"/>
      <c r="N100" s="513"/>
    </row>
    <row r="101" spans="1:14" s="350" customFormat="1" ht="15" customHeight="1">
      <c r="A101" s="304" t="str">
        <f>'Full Search'!A12</f>
        <v>Major</v>
      </c>
      <c r="B101" s="304" t="str">
        <f>'Full Search'!B12</f>
        <v>BT44CHFullSearch</v>
      </c>
      <c r="C101" s="304" t="str">
        <f>'Full Search'!C12</f>
        <v>Initiate Case History Report</v>
      </c>
      <c r="D101" s="405" t="s">
        <v>604</v>
      </c>
      <c r="E101" s="408" t="str">
        <f>'Full Search'!E12</f>
        <v>Ready To Test</v>
      </c>
      <c r="F101" s="344">
        <v>41823</v>
      </c>
      <c r="G101" s="344">
        <v>41823</v>
      </c>
      <c r="H101" s="297" t="s">
        <v>17</v>
      </c>
      <c r="I101" s="297" t="s">
        <v>17</v>
      </c>
      <c r="J101" s="306" t="s">
        <v>17</v>
      </c>
      <c r="K101" s="404" t="s">
        <v>603</v>
      </c>
      <c r="L101" s="303"/>
      <c r="M101" s="303"/>
      <c r="N101" s="303"/>
    </row>
    <row r="102" spans="1:14" s="350" customFormat="1" ht="30">
      <c r="A102" s="304" t="str">
        <f>'Full Search'!A22</f>
        <v>Major</v>
      </c>
      <c r="B102" s="304" t="str">
        <f>'Full Search'!B22</f>
        <v>BT44AHFullSearch</v>
      </c>
      <c r="C102" s="304" t="str">
        <f>'Full Search'!C22</f>
        <v>Initiate Ad Hoc Report</v>
      </c>
      <c r="D102" s="405" t="s">
        <v>604</v>
      </c>
      <c r="E102" s="408" t="str">
        <f>'Full Search'!E22</f>
        <v>Ready To Test</v>
      </c>
      <c r="F102" s="344">
        <v>41823</v>
      </c>
      <c r="G102" s="344">
        <v>41823</v>
      </c>
      <c r="H102" s="297" t="s">
        <v>17</v>
      </c>
      <c r="I102" s="297" t="s">
        <v>17</v>
      </c>
      <c r="J102" s="306" t="s">
        <v>17</v>
      </c>
      <c r="K102" s="404" t="s">
        <v>603</v>
      </c>
      <c r="L102" s="303"/>
      <c r="M102" s="303"/>
      <c r="N102" s="303"/>
    </row>
    <row r="103" spans="1:14">
      <c r="A103" s="514" t="s">
        <v>606</v>
      </c>
      <c r="B103" s="515"/>
      <c r="C103" s="515"/>
      <c r="D103" s="515"/>
      <c r="E103" s="515"/>
      <c r="F103" s="515"/>
      <c r="G103" s="515"/>
      <c r="H103" s="515"/>
      <c r="I103" s="515"/>
      <c r="J103" s="515"/>
      <c r="K103" s="515"/>
      <c r="L103" s="515"/>
      <c r="M103" s="515"/>
      <c r="N103" s="515"/>
    </row>
    <row r="104" spans="1:14">
      <c r="A104" s="284" t="str">
        <f>'Common Tools'!A9</f>
        <v>Minor</v>
      </c>
      <c r="B104" s="284" t="str">
        <f>'Common Tools'!B9</f>
        <v>TOOLS1</v>
      </c>
      <c r="C104" s="284" t="str">
        <f>'Common Tools'!C9</f>
        <v>Log In to ALOD</v>
      </c>
      <c r="D104" s="300" t="str">
        <f>'Common Tools'!D9</f>
        <v>IP - 3</v>
      </c>
      <c r="E104" s="300" t="str">
        <f>'Common Tools'!E9</f>
        <v>Ready To Test</v>
      </c>
      <c r="F104" s="338">
        <v>41737</v>
      </c>
      <c r="G104" s="338">
        <v>41737</v>
      </c>
      <c r="H104" s="298" t="s">
        <v>17</v>
      </c>
      <c r="I104" s="298" t="s">
        <v>17</v>
      </c>
      <c r="J104" s="298" t="s">
        <v>1222</v>
      </c>
      <c r="K104" s="301" t="s">
        <v>603</v>
      </c>
      <c r="L104" s="285">
        <f>'Common Tools'!H9</f>
        <v>0</v>
      </c>
      <c r="M104" s="285">
        <f>'Common Tools'!I9</f>
        <v>0</v>
      </c>
      <c r="N104" s="285">
        <f>'Common Tools'!J9</f>
        <v>0</v>
      </c>
    </row>
    <row r="105" spans="1:14">
      <c r="A105" s="284" t="str">
        <f>'Common Tools'!A22</f>
        <v>Minor</v>
      </c>
      <c r="B105" s="284" t="str">
        <f>'Common Tools'!B22</f>
        <v>TOOLS2</v>
      </c>
      <c r="C105" s="284" t="str">
        <f>'Common Tools'!C22</f>
        <v>Digitally Sign Cases</v>
      </c>
      <c r="D105" s="300" t="str">
        <f>'Common Tools'!D22</f>
        <v>IP - 3</v>
      </c>
      <c r="E105" s="300" t="str">
        <f>'Common Tools'!E22</f>
        <v>Ready To Test</v>
      </c>
      <c r="F105" s="338">
        <v>41737</v>
      </c>
      <c r="G105" s="338">
        <v>41737</v>
      </c>
      <c r="H105" s="298" t="s">
        <v>17</v>
      </c>
      <c r="I105" s="298" t="s">
        <v>1222</v>
      </c>
      <c r="J105" s="298" t="s">
        <v>1222</v>
      </c>
      <c r="K105" s="301" t="s">
        <v>603</v>
      </c>
      <c r="L105" s="285">
        <f>'Common Tools'!H10</f>
        <v>0</v>
      </c>
      <c r="M105" s="285">
        <f>'Common Tools'!I10</f>
        <v>0</v>
      </c>
      <c r="N105" s="285">
        <f>'Common Tools'!J10</f>
        <v>0</v>
      </c>
    </row>
    <row r="106" spans="1:14">
      <c r="A106" s="284" t="str">
        <f>'Common Tools'!A27</f>
        <v>Minor</v>
      </c>
      <c r="B106" s="284" t="str">
        <f>'Common Tools'!B27</f>
        <v>TOOLS3</v>
      </c>
      <c r="C106" s="284" t="str">
        <f>'Common Tools'!C27</f>
        <v>Case Comments</v>
      </c>
      <c r="D106" s="300" t="str">
        <f>'Common Tools'!D27</f>
        <v>IP - 3</v>
      </c>
      <c r="E106" s="300" t="str">
        <f>'Common Tools'!E27</f>
        <v>Ready To Test</v>
      </c>
      <c r="F106" s="338">
        <v>41737</v>
      </c>
      <c r="G106" s="338">
        <v>41737</v>
      </c>
      <c r="H106" s="298" t="s">
        <v>17</v>
      </c>
      <c r="I106" s="298" t="s">
        <v>17</v>
      </c>
      <c r="J106" s="298" t="s">
        <v>1222</v>
      </c>
      <c r="K106" s="301" t="s">
        <v>603</v>
      </c>
      <c r="L106" s="285">
        <f>'Common Tools'!H11</f>
        <v>0</v>
      </c>
      <c r="M106" s="285">
        <f>'Common Tools'!I11</f>
        <v>0</v>
      </c>
      <c r="N106" s="285">
        <f>'Common Tools'!J11</f>
        <v>0</v>
      </c>
    </row>
    <row r="108" spans="1:14" s="342" customFormat="1" ht="15" customHeight="1">
      <c r="A108" s="347"/>
      <c r="D108" s="406"/>
      <c r="E108" s="406"/>
      <c r="F108" s="343"/>
      <c r="I108" s="350"/>
    </row>
    <row r="109" spans="1:14" s="342" customFormat="1">
      <c r="A109" s="347"/>
      <c r="D109" s="406"/>
      <c r="E109" s="406"/>
      <c r="F109" s="343"/>
      <c r="I109" s="350"/>
    </row>
    <row r="110" spans="1:14" s="342" customFormat="1">
      <c r="A110" s="347"/>
      <c r="D110" s="406"/>
      <c r="E110" s="406"/>
      <c r="F110" s="343"/>
      <c r="I110" s="350"/>
    </row>
    <row r="111" spans="1:14" s="342" customFormat="1" ht="15.75" customHeight="1">
      <c r="A111" s="347"/>
      <c r="D111" s="406"/>
      <c r="E111" s="406"/>
      <c r="F111" s="343"/>
      <c r="I111" s="350"/>
    </row>
    <row r="112" spans="1:14" s="342" customFormat="1">
      <c r="A112" s="347"/>
      <c r="D112" s="406"/>
      <c r="E112" s="406"/>
      <c r="F112" s="343"/>
      <c r="I112" s="350"/>
    </row>
  </sheetData>
  <mergeCells count="17">
    <mergeCell ref="A80:N80"/>
    <mergeCell ref="A103:N103"/>
    <mergeCell ref="A75:N75"/>
    <mergeCell ref="A85:N85"/>
    <mergeCell ref="A90:N90"/>
    <mergeCell ref="A94:N94"/>
    <mergeCell ref="A98:N98"/>
    <mergeCell ref="A100:N100"/>
    <mergeCell ref="A1:G1"/>
    <mergeCell ref="J1:N1"/>
    <mergeCell ref="A3:N3"/>
    <mergeCell ref="A23:N23"/>
    <mergeCell ref="A67:N67"/>
    <mergeCell ref="A40:N40"/>
    <mergeCell ref="A51:N51"/>
    <mergeCell ref="A55:N55"/>
    <mergeCell ref="A62:N62"/>
  </mergeCells>
  <conditionalFormatting sqref="K104:K106 K24:K39">
    <cfRule type="cellIs" dxfId="335" priority="627" operator="greaterThan">
      <formula>0</formula>
    </cfRule>
  </conditionalFormatting>
  <conditionalFormatting sqref="M104:N106 M24:N39">
    <cfRule type="cellIs" dxfId="334" priority="628" operator="greaterThan">
      <formula>0</formula>
    </cfRule>
  </conditionalFormatting>
  <conditionalFormatting sqref="L104:L106 L24:L39">
    <cfRule type="cellIs" dxfId="333" priority="634" operator="greaterThan">
      <formula>0</formula>
    </cfRule>
  </conditionalFormatting>
  <conditionalFormatting sqref="E104:E106 F101:G102 F99:G99 F95:G97 F91:G93 F86:G89 F81:G84 F76:G79 F68:F71 F72:G74 G69:G71 F52:G66 F46:F54 G47:G54 F41:G45 E24:G39 F4:F22 G5:G22">
    <cfRule type="cellIs" dxfId="332" priority="636" operator="equal">
      <formula>"Do Not Test"</formula>
    </cfRule>
  </conditionalFormatting>
  <conditionalFormatting sqref="H104:I106 H101:I102 H99:I99 H95:I97 H91:I93 H86:I89 H81:I84 H76:I79 H68:I74 H41:I66 H24:I39 H4:I22">
    <cfRule type="cellIs" dxfId="331" priority="610" operator="equal">
      <formula>"P"</formula>
    </cfRule>
  </conditionalFormatting>
  <conditionalFormatting sqref="H104:I106 H101:I102 H99:I99 H95:I97 H91:I93 H86:I89 H81:I84 H76:I79 H68:I74 H41:I66 H24:I39 H4:I22">
    <cfRule type="cellIs" dxfId="330" priority="641" operator="equal">
      <formula>"F"</formula>
    </cfRule>
  </conditionalFormatting>
  <conditionalFormatting sqref="J104:J106 J101:J102 J99 J95:J97 J91:J93 J86:J89 J81:J84 J76:J79 J68:J74 J41:J66 J24:J39 J4:J22">
    <cfRule type="cellIs" dxfId="329" priority="626" operator="equal">
      <formula>"P"</formula>
    </cfRule>
    <cfRule type="cellIs" dxfId="328" priority="640" operator="equal">
      <formula>"A"</formula>
    </cfRule>
    <cfRule type="cellIs" dxfId="327" priority="642" operator="equal">
      <formula>"F"</formula>
    </cfRule>
  </conditionalFormatting>
  <conditionalFormatting sqref="E104:E106 F101:G102 F99:G99 F95:G97 F91:G93 F86:G89 F81:G84 F76:G79 F68:F71 F72:G74 G69:G71 F52:G66 F46:F54 G47:G54 F41:G45 E24:G39 F4:F22 G5:G22">
    <cfRule type="cellIs" dxfId="326" priority="569" operator="equal">
      <formula>"Ready To Test"</formula>
    </cfRule>
  </conditionalFormatting>
  <conditionalFormatting sqref="H104:I106 H101:I102 H99:I99 H95:I97 H91:I93 H86:I89 H81:I84 H76:I79 H68:I74 H41:I66 H24:I39 H4:I22">
    <cfRule type="cellIs" dxfId="325" priority="637" operator="equal">
      <formula>"RT"</formula>
    </cfRule>
  </conditionalFormatting>
  <conditionalFormatting sqref="H104:I106 H101:I102 H99:I99 H95:I97 H91:I93 H86:I89 H81:I84 H76:I79 H68:I74 H41:I66 H24:I39 H4:I22">
    <cfRule type="cellIs" dxfId="324" priority="638" operator="equal">
      <formula>"DNT"</formula>
    </cfRule>
  </conditionalFormatting>
  <conditionalFormatting sqref="H104:I106 H101:I102 H99:I99 H95:I97 H91:I93 H86:I89 H81:I84 H76:I79 H68:I74 H41:I66 H24:I39 H4:I22">
    <cfRule type="cellIs" dxfId="323" priority="639" operator="equal">
      <formula>"A"</formula>
    </cfRule>
  </conditionalFormatting>
  <pageMargins left="0.7" right="0.7" top="0.75" bottom="0.75" header="0.3" footer="0.3"/>
  <pageSetup scale="22" fitToHeight="0" orientation="portrait" r:id="rId1"/>
</worksheet>
</file>

<file path=xl/worksheets/sheet7.xml><?xml version="1.0" encoding="utf-8"?>
<worksheet xmlns="http://schemas.openxmlformats.org/spreadsheetml/2006/main" xmlns:r="http://schemas.openxmlformats.org/officeDocument/2006/relationships">
  <sheetPr>
    <tabColor theme="9"/>
    <outlinePr summaryBelow="0"/>
  </sheetPr>
  <dimension ref="A1:K277"/>
  <sheetViews>
    <sheetView zoomScaleNormal="100" workbookViewId="0">
      <selection sqref="A1:I1"/>
    </sheetView>
  </sheetViews>
  <sheetFormatPr defaultRowHeight="15" outlineLevelRow="1"/>
  <cols>
    <col min="1" max="1" width="8.7109375" style="320" bestFit="1" customWidth="1"/>
    <col min="2" max="2" width="20.85546875" style="324" customWidth="1"/>
    <col min="3" max="3" width="70.140625" style="328" customWidth="1"/>
    <col min="4" max="4" width="10.28515625" style="326" bestFit="1" customWidth="1"/>
    <col min="5" max="5" width="13.28515625" style="320" bestFit="1" customWidth="1"/>
    <col min="6" max="6" width="9.85546875" style="320" bestFit="1" customWidth="1"/>
    <col min="7" max="7" width="8.28515625" style="320" bestFit="1" customWidth="1"/>
    <col min="8" max="8" width="7.5703125" style="320" customWidth="1"/>
    <col min="9" max="9" width="10.5703125" style="320" bestFit="1" customWidth="1"/>
    <col min="10" max="10" width="55.85546875" style="369" customWidth="1"/>
    <col min="11" max="16384" width="9.140625" style="372"/>
  </cols>
  <sheetData>
    <row r="1" spans="1:10" s="397" customFormat="1">
      <c r="A1" s="529" t="s">
        <v>1486</v>
      </c>
      <c r="B1" s="529"/>
      <c r="C1" s="529"/>
      <c r="D1" s="529"/>
      <c r="E1" s="529"/>
      <c r="F1" s="529"/>
      <c r="G1" s="529"/>
      <c r="H1" s="529"/>
      <c r="I1" s="529"/>
      <c r="J1" s="330"/>
    </row>
    <row r="2" spans="1:10" s="398" customFormat="1">
      <c r="A2" s="530"/>
      <c r="B2" s="530"/>
      <c r="C2" s="531"/>
      <c r="D2" s="531"/>
      <c r="E2" s="531"/>
      <c r="F2" s="531"/>
      <c r="G2" s="531"/>
      <c r="H2" s="531"/>
      <c r="I2" s="531"/>
      <c r="J2" s="368"/>
    </row>
    <row r="3" spans="1:10" s="398" customFormat="1" ht="33.75" customHeight="1">
      <c r="A3" s="532" t="s">
        <v>1227</v>
      </c>
      <c r="B3" s="533"/>
      <c r="C3" s="521" t="s">
        <v>1228</v>
      </c>
      <c r="D3" s="522"/>
      <c r="E3" s="522"/>
      <c r="F3" s="522"/>
      <c r="G3" s="522"/>
      <c r="H3" s="522"/>
      <c r="I3" s="523"/>
      <c r="J3" s="409"/>
    </row>
    <row r="4" spans="1:10" s="398" customFormat="1">
      <c r="A4" s="534"/>
      <c r="B4" s="535"/>
      <c r="C4" s="536"/>
      <c r="D4" s="536"/>
      <c r="E4" s="536"/>
      <c r="F4" s="536"/>
      <c r="G4" s="536"/>
      <c r="H4" s="536"/>
      <c r="I4" s="536"/>
      <c r="J4" s="368"/>
    </row>
    <row r="5" spans="1:10" s="397" customFormat="1" ht="30" customHeight="1">
      <c r="A5" s="519" t="s">
        <v>594</v>
      </c>
      <c r="B5" s="520"/>
      <c r="C5" s="526" t="s">
        <v>865</v>
      </c>
      <c r="D5" s="527"/>
      <c r="E5" s="527"/>
      <c r="F5" s="527"/>
      <c r="G5" s="527"/>
      <c r="H5" s="527"/>
      <c r="I5" s="528"/>
      <c r="J5" s="330"/>
    </row>
    <row r="6" spans="1:10" s="397" customFormat="1">
      <c r="A6" s="516"/>
      <c r="B6" s="517"/>
      <c r="C6" s="518"/>
      <c r="D6" s="518"/>
      <c r="E6" s="518"/>
      <c r="F6" s="518"/>
      <c r="G6" s="518"/>
      <c r="H6" s="518"/>
      <c r="I6" s="518"/>
      <c r="J6" s="367"/>
    </row>
    <row r="7" spans="1:10" s="397" customFormat="1" ht="17.25" customHeight="1">
      <c r="A7" s="519" t="s">
        <v>1229</v>
      </c>
      <c r="B7" s="520"/>
      <c r="C7" s="521" t="s">
        <v>1230</v>
      </c>
      <c r="D7" s="522"/>
      <c r="E7" s="522"/>
      <c r="F7" s="522"/>
      <c r="G7" s="522"/>
      <c r="H7" s="522"/>
      <c r="I7" s="523"/>
      <c r="J7" s="330"/>
    </row>
    <row r="8" spans="1:10" s="399" customFormat="1">
      <c r="A8" s="524"/>
      <c r="B8" s="524"/>
      <c r="C8" s="524"/>
      <c r="D8" s="524"/>
      <c r="E8" s="524"/>
      <c r="F8" s="524"/>
      <c r="G8" s="524"/>
      <c r="H8" s="524"/>
      <c r="I8" s="524"/>
      <c r="J8" s="363"/>
    </row>
    <row r="9" spans="1:10" ht="27.75" customHeight="1">
      <c r="A9" s="410" t="s">
        <v>1231</v>
      </c>
      <c r="B9" s="411"/>
      <c r="C9" s="412" t="s">
        <v>1232</v>
      </c>
      <c r="D9" s="525"/>
      <c r="E9" s="525"/>
      <c r="F9" s="525"/>
      <c r="G9" s="525"/>
      <c r="H9" s="525"/>
      <c r="I9" s="525"/>
      <c r="J9" s="413"/>
    </row>
    <row r="10" spans="1:10">
      <c r="A10" s="321"/>
      <c r="B10" s="323"/>
      <c r="C10" s="327"/>
      <c r="D10" s="325"/>
      <c r="E10" s="322"/>
      <c r="F10" s="322"/>
      <c r="G10" s="322"/>
      <c r="H10" s="322"/>
      <c r="I10" s="322"/>
      <c r="J10" s="370"/>
    </row>
    <row r="11" spans="1:10" s="216" customFormat="1" ht="29.25" customHeight="1">
      <c r="A11" s="385" t="s">
        <v>0</v>
      </c>
      <c r="B11" s="379" t="s">
        <v>226</v>
      </c>
      <c r="C11" s="386" t="s">
        <v>540</v>
      </c>
      <c r="D11" s="386" t="s">
        <v>595</v>
      </c>
      <c r="E11" s="387" t="s">
        <v>214</v>
      </c>
      <c r="F11" s="387" t="s">
        <v>584</v>
      </c>
      <c r="G11" s="388" t="s">
        <v>2</v>
      </c>
      <c r="H11" s="389" t="s">
        <v>579</v>
      </c>
      <c r="I11" s="331" t="s">
        <v>583</v>
      </c>
      <c r="J11" s="331" t="s">
        <v>1</v>
      </c>
    </row>
    <row r="12" spans="1:10" s="276" customFormat="1" collapsed="1">
      <c r="A12" s="333" t="s">
        <v>23</v>
      </c>
      <c r="B12" s="333" t="s">
        <v>866</v>
      </c>
      <c r="C12" s="332" t="s">
        <v>1215</v>
      </c>
      <c r="D12" s="334" t="s">
        <v>604</v>
      </c>
      <c r="E12" s="286" t="s">
        <v>596</v>
      </c>
      <c r="F12" s="334" t="str">
        <f>IF(H12&gt;0,"F",IF(I12&gt;0,"A",IF(G12&gt;0,"P","NT")))</f>
        <v>P</v>
      </c>
      <c r="G12" s="334">
        <f>COUNTA(G13:G53)</f>
        <v>41</v>
      </c>
      <c r="H12" s="334">
        <f>COUNTA(H13:H53)</f>
        <v>0</v>
      </c>
      <c r="I12" s="334">
        <f>COUNTA(I13:I53)</f>
        <v>0</v>
      </c>
      <c r="J12" s="365">
        <f>COUNTA(J13:J53)</f>
        <v>0</v>
      </c>
    </row>
    <row r="13" spans="1:10" s="371" customFormat="1" hidden="1" outlineLevel="1">
      <c r="A13" s="390"/>
      <c r="B13" s="351" t="s">
        <v>598</v>
      </c>
      <c r="C13" s="348" t="s">
        <v>867</v>
      </c>
      <c r="D13" s="391"/>
      <c r="E13" s="380"/>
      <c r="F13" s="380"/>
      <c r="G13" s="310" t="s">
        <v>603</v>
      </c>
      <c r="H13" s="311"/>
      <c r="I13" s="310"/>
      <c r="J13" s="366"/>
    </row>
    <row r="14" spans="1:10" s="371" customFormat="1" ht="30" hidden="1" customHeight="1" outlineLevel="1">
      <c r="A14" s="390"/>
      <c r="B14" s="351" t="s">
        <v>599</v>
      </c>
      <c r="C14" s="348" t="s">
        <v>620</v>
      </c>
      <c r="D14" s="391"/>
      <c r="E14" s="380"/>
      <c r="F14" s="380"/>
      <c r="G14" s="310" t="s">
        <v>603</v>
      </c>
      <c r="H14" s="311"/>
      <c r="I14" s="310"/>
      <c r="J14" s="366"/>
    </row>
    <row r="15" spans="1:10" s="371" customFormat="1" ht="30" hidden="1" customHeight="1" outlineLevel="1">
      <c r="A15" s="390"/>
      <c r="B15" s="382" t="s">
        <v>634</v>
      </c>
      <c r="C15" s="348" t="s">
        <v>868</v>
      </c>
      <c r="D15" s="391"/>
      <c r="E15" s="380"/>
      <c r="F15" s="380"/>
      <c r="G15" s="310" t="s">
        <v>603</v>
      </c>
      <c r="H15" s="311"/>
      <c r="I15" s="310"/>
      <c r="J15" s="366"/>
    </row>
    <row r="16" spans="1:10" s="371" customFormat="1" hidden="1" outlineLevel="1">
      <c r="A16" s="390"/>
      <c r="B16" s="352">
        <v>1</v>
      </c>
      <c r="C16" s="353" t="s">
        <v>621</v>
      </c>
      <c r="D16" s="391"/>
      <c r="E16" s="380"/>
      <c r="F16" s="380"/>
      <c r="G16" s="310" t="s">
        <v>603</v>
      </c>
      <c r="H16" s="311"/>
      <c r="I16" s="310"/>
      <c r="J16" s="366"/>
    </row>
    <row r="17" spans="1:10" s="371" customFormat="1" ht="30" hidden="1" outlineLevel="1">
      <c r="A17" s="390"/>
      <c r="B17" s="352">
        <v>2</v>
      </c>
      <c r="C17" s="353" t="s">
        <v>869</v>
      </c>
      <c r="D17" s="391"/>
      <c r="E17" s="380"/>
      <c r="F17" s="380"/>
      <c r="G17" s="310" t="s">
        <v>603</v>
      </c>
      <c r="H17" s="311"/>
      <c r="I17" s="310"/>
      <c r="J17" s="366"/>
    </row>
    <row r="18" spans="1:10" s="371" customFormat="1" hidden="1" outlineLevel="1">
      <c r="A18" s="390"/>
      <c r="B18" s="352">
        <v>3</v>
      </c>
      <c r="C18" s="353" t="s">
        <v>623</v>
      </c>
      <c r="D18" s="391"/>
      <c r="E18" s="380"/>
      <c r="F18" s="380"/>
      <c r="G18" s="310" t="s">
        <v>603</v>
      </c>
      <c r="H18" s="311"/>
      <c r="I18" s="310"/>
      <c r="J18" s="366"/>
    </row>
    <row r="19" spans="1:10" s="371" customFormat="1" hidden="1" outlineLevel="1">
      <c r="A19" s="390"/>
      <c r="B19" s="352">
        <v>4</v>
      </c>
      <c r="C19" s="353" t="s">
        <v>870</v>
      </c>
      <c r="D19" s="391"/>
      <c r="E19" s="380"/>
      <c r="F19" s="380"/>
      <c r="G19" s="310" t="s">
        <v>603</v>
      </c>
      <c r="H19" s="311"/>
      <c r="I19" s="310"/>
      <c r="J19" s="366"/>
    </row>
    <row r="20" spans="1:10" s="371" customFormat="1" hidden="1" outlineLevel="1">
      <c r="A20" s="390"/>
      <c r="B20" s="352">
        <v>5</v>
      </c>
      <c r="C20" s="353" t="s">
        <v>871</v>
      </c>
      <c r="D20" s="391"/>
      <c r="E20" s="380"/>
      <c r="F20" s="380"/>
      <c r="G20" s="310" t="s">
        <v>603</v>
      </c>
      <c r="H20" s="311"/>
      <c r="I20" s="310"/>
      <c r="J20" s="366"/>
    </row>
    <row r="21" spans="1:10" s="371" customFormat="1" hidden="1" outlineLevel="1">
      <c r="A21" s="390"/>
      <c r="B21" s="352">
        <v>6</v>
      </c>
      <c r="C21" s="353" t="s">
        <v>622</v>
      </c>
      <c r="D21" s="391"/>
      <c r="E21" s="380"/>
      <c r="F21" s="380"/>
      <c r="G21" s="310" t="s">
        <v>603</v>
      </c>
      <c r="H21" s="311"/>
      <c r="I21" s="310"/>
      <c r="J21" s="366"/>
    </row>
    <row r="22" spans="1:10" s="371" customFormat="1" hidden="1" outlineLevel="1">
      <c r="A22" s="390"/>
      <c r="B22" s="352">
        <v>7</v>
      </c>
      <c r="C22" s="353" t="s">
        <v>872</v>
      </c>
      <c r="D22" s="391"/>
      <c r="E22" s="380"/>
      <c r="F22" s="380"/>
      <c r="G22" s="310" t="s">
        <v>603</v>
      </c>
      <c r="H22" s="311"/>
      <c r="I22" s="310"/>
      <c r="J22" s="366"/>
    </row>
    <row r="23" spans="1:10" s="371" customFormat="1" hidden="1" outlineLevel="1">
      <c r="A23" s="390"/>
      <c r="B23" s="352">
        <v>8</v>
      </c>
      <c r="C23" s="353" t="s">
        <v>1197</v>
      </c>
      <c r="D23" s="391"/>
      <c r="E23" s="380"/>
      <c r="F23" s="380"/>
      <c r="G23" s="310" t="s">
        <v>603</v>
      </c>
      <c r="H23" s="311"/>
      <c r="I23" s="310"/>
      <c r="J23" s="366"/>
    </row>
    <row r="24" spans="1:10" s="371" customFormat="1" hidden="1" outlineLevel="1">
      <c r="A24" s="390"/>
      <c r="B24" s="352">
        <v>9</v>
      </c>
      <c r="C24" s="353" t="s">
        <v>1198</v>
      </c>
      <c r="D24" s="391"/>
      <c r="E24" s="380"/>
      <c r="F24" s="380"/>
      <c r="G24" s="310" t="s">
        <v>603</v>
      </c>
      <c r="H24" s="311"/>
      <c r="I24" s="310"/>
      <c r="J24" s="366"/>
    </row>
    <row r="25" spans="1:10" s="371" customFormat="1" hidden="1" outlineLevel="1">
      <c r="A25" s="390"/>
      <c r="B25" s="352" t="s">
        <v>634</v>
      </c>
      <c r="C25" s="353" t="s">
        <v>1216</v>
      </c>
      <c r="D25" s="391"/>
      <c r="E25" s="380"/>
      <c r="F25" s="380"/>
      <c r="G25" s="310" t="s">
        <v>603</v>
      </c>
      <c r="H25" s="311"/>
      <c r="I25" s="310"/>
      <c r="J25" s="366"/>
    </row>
    <row r="26" spans="1:10" s="371" customFormat="1" hidden="1" outlineLevel="1">
      <c r="A26" s="390"/>
      <c r="B26" s="352" t="s">
        <v>635</v>
      </c>
      <c r="C26" s="353" t="s">
        <v>1217</v>
      </c>
      <c r="D26" s="391"/>
      <c r="E26" s="380"/>
      <c r="F26" s="380"/>
      <c r="G26" s="310" t="s">
        <v>603</v>
      </c>
      <c r="H26" s="311"/>
      <c r="I26" s="310"/>
      <c r="J26" s="366"/>
    </row>
    <row r="27" spans="1:10" s="371" customFormat="1" hidden="1" outlineLevel="1">
      <c r="A27" s="390"/>
      <c r="B27" s="352">
        <v>10</v>
      </c>
      <c r="C27" s="353" t="s">
        <v>873</v>
      </c>
      <c r="D27" s="391"/>
      <c r="E27" s="380"/>
      <c r="F27" s="380"/>
      <c r="G27" s="310" t="s">
        <v>603</v>
      </c>
      <c r="H27" s="311"/>
      <c r="I27" s="310"/>
      <c r="J27" s="366"/>
    </row>
    <row r="28" spans="1:10" s="371" customFormat="1" hidden="1" outlineLevel="1">
      <c r="A28" s="390"/>
      <c r="B28" s="352">
        <v>11</v>
      </c>
      <c r="C28" s="353" t="s">
        <v>874</v>
      </c>
      <c r="D28" s="391"/>
      <c r="E28" s="380"/>
      <c r="F28" s="380"/>
      <c r="G28" s="310" t="s">
        <v>603</v>
      </c>
      <c r="H28" s="311"/>
      <c r="I28" s="310"/>
      <c r="J28" s="366"/>
    </row>
    <row r="29" spans="1:10" s="371" customFormat="1" hidden="1" outlineLevel="1">
      <c r="A29" s="390"/>
      <c r="B29" s="352">
        <v>12</v>
      </c>
      <c r="C29" s="353" t="s">
        <v>1199</v>
      </c>
      <c r="D29" s="391"/>
      <c r="E29" s="380"/>
      <c r="F29" s="380"/>
      <c r="G29" s="310" t="s">
        <v>603</v>
      </c>
      <c r="H29" s="311"/>
      <c r="I29" s="310"/>
      <c r="J29" s="366"/>
    </row>
    <row r="30" spans="1:10" s="371" customFormat="1" ht="30" hidden="1" outlineLevel="1">
      <c r="A30" s="390"/>
      <c r="B30" s="352">
        <v>13</v>
      </c>
      <c r="C30" s="353" t="s">
        <v>1200</v>
      </c>
      <c r="D30" s="391"/>
      <c r="E30" s="380"/>
      <c r="F30" s="380"/>
      <c r="G30" s="310" t="s">
        <v>603</v>
      </c>
      <c r="H30" s="311"/>
      <c r="I30" s="310"/>
      <c r="J30" s="366"/>
    </row>
    <row r="31" spans="1:10" s="371" customFormat="1" hidden="1" outlineLevel="1">
      <c r="A31" s="390"/>
      <c r="B31" s="352">
        <v>14</v>
      </c>
      <c r="C31" s="353" t="s">
        <v>1201</v>
      </c>
      <c r="D31" s="391"/>
      <c r="E31" s="380"/>
      <c r="F31" s="380"/>
      <c r="G31" s="310" t="s">
        <v>603</v>
      </c>
      <c r="H31" s="311"/>
      <c r="I31" s="310"/>
      <c r="J31" s="366"/>
    </row>
    <row r="32" spans="1:10" s="371" customFormat="1" hidden="1" outlineLevel="1">
      <c r="A32" s="390"/>
      <c r="B32" s="352">
        <v>15</v>
      </c>
      <c r="C32" s="353" t="s">
        <v>1202</v>
      </c>
      <c r="D32" s="391"/>
      <c r="E32" s="380"/>
      <c r="F32" s="380"/>
      <c r="G32" s="310" t="s">
        <v>603</v>
      </c>
      <c r="H32" s="311"/>
      <c r="I32" s="310"/>
      <c r="J32" s="366"/>
    </row>
    <row r="33" spans="1:10" s="371" customFormat="1" hidden="1" outlineLevel="1">
      <c r="A33" s="390"/>
      <c r="B33" s="352">
        <v>16</v>
      </c>
      <c r="C33" s="353" t="s">
        <v>1203</v>
      </c>
      <c r="D33" s="391"/>
      <c r="E33" s="380"/>
      <c r="F33" s="380"/>
      <c r="G33" s="310" t="s">
        <v>603</v>
      </c>
      <c r="H33" s="311"/>
      <c r="I33" s="310"/>
      <c r="J33" s="366"/>
    </row>
    <row r="34" spans="1:10" s="371" customFormat="1" hidden="1" outlineLevel="1">
      <c r="A34" s="390"/>
      <c r="B34" s="352">
        <v>17</v>
      </c>
      <c r="C34" s="353" t="s">
        <v>1204</v>
      </c>
      <c r="D34" s="391"/>
      <c r="E34" s="380"/>
      <c r="F34" s="380"/>
      <c r="G34" s="310" t="s">
        <v>603</v>
      </c>
      <c r="H34" s="311"/>
      <c r="I34" s="310"/>
      <c r="J34" s="366"/>
    </row>
    <row r="35" spans="1:10" s="371" customFormat="1" hidden="1" outlineLevel="1">
      <c r="A35" s="390"/>
      <c r="B35" s="352">
        <v>18</v>
      </c>
      <c r="C35" s="353" t="s">
        <v>1205</v>
      </c>
      <c r="D35" s="391"/>
      <c r="E35" s="380"/>
      <c r="F35" s="380"/>
      <c r="G35" s="310" t="s">
        <v>603</v>
      </c>
      <c r="H35" s="311"/>
      <c r="I35" s="310"/>
      <c r="J35" s="366"/>
    </row>
    <row r="36" spans="1:10" s="371" customFormat="1" hidden="1" outlineLevel="1">
      <c r="A36" s="390"/>
      <c r="B36" s="352">
        <v>18</v>
      </c>
      <c r="C36" s="353" t="s">
        <v>1206</v>
      </c>
      <c r="D36" s="391"/>
      <c r="E36" s="380"/>
      <c r="F36" s="380"/>
      <c r="G36" s="310" t="s">
        <v>603</v>
      </c>
      <c r="H36" s="311"/>
      <c r="I36" s="310"/>
      <c r="J36" s="366"/>
    </row>
    <row r="37" spans="1:10" s="371" customFormat="1" ht="30" hidden="1" outlineLevel="1">
      <c r="A37" s="390"/>
      <c r="B37" s="352">
        <v>19</v>
      </c>
      <c r="C37" s="353" t="s">
        <v>1207</v>
      </c>
      <c r="D37" s="391"/>
      <c r="E37" s="380"/>
      <c r="F37" s="380"/>
      <c r="G37" s="310" t="s">
        <v>603</v>
      </c>
      <c r="H37" s="311"/>
      <c r="I37" s="310"/>
      <c r="J37" s="366"/>
    </row>
    <row r="38" spans="1:10" s="371" customFormat="1" hidden="1" outlineLevel="1">
      <c r="A38" s="390"/>
      <c r="B38" s="352">
        <v>20</v>
      </c>
      <c r="C38" s="353" t="s">
        <v>1208</v>
      </c>
      <c r="D38" s="391"/>
      <c r="E38" s="380"/>
      <c r="F38" s="380"/>
      <c r="G38" s="310" t="s">
        <v>603</v>
      </c>
      <c r="H38" s="311"/>
      <c r="I38" s="310"/>
      <c r="J38" s="366"/>
    </row>
    <row r="39" spans="1:10" s="371" customFormat="1" hidden="1" outlineLevel="1">
      <c r="A39" s="390"/>
      <c r="B39" s="352">
        <v>21</v>
      </c>
      <c r="C39" s="353" t="s">
        <v>1209</v>
      </c>
      <c r="D39" s="391"/>
      <c r="E39" s="380"/>
      <c r="F39" s="380"/>
      <c r="G39" s="310" t="s">
        <v>603</v>
      </c>
      <c r="H39" s="311"/>
      <c r="I39" s="310"/>
      <c r="J39" s="366"/>
    </row>
    <row r="40" spans="1:10" s="371" customFormat="1" hidden="1" outlineLevel="1">
      <c r="A40" s="390"/>
      <c r="B40" s="352">
        <v>22</v>
      </c>
      <c r="C40" s="353" t="s">
        <v>1210</v>
      </c>
      <c r="D40" s="391"/>
      <c r="E40" s="380"/>
      <c r="F40" s="380"/>
      <c r="G40" s="310" t="s">
        <v>603</v>
      </c>
      <c r="H40" s="311"/>
      <c r="I40" s="310"/>
      <c r="J40" s="366"/>
    </row>
    <row r="41" spans="1:10" s="371" customFormat="1" hidden="1" outlineLevel="1">
      <c r="A41" s="390"/>
      <c r="B41" s="352">
        <v>23</v>
      </c>
      <c r="C41" s="353" t="s">
        <v>1211</v>
      </c>
      <c r="D41" s="391"/>
      <c r="E41" s="380"/>
      <c r="F41" s="380"/>
      <c r="G41" s="310" t="s">
        <v>603</v>
      </c>
      <c r="H41" s="311"/>
      <c r="I41" s="310"/>
      <c r="J41" s="366"/>
    </row>
    <row r="42" spans="1:10" s="371" customFormat="1" hidden="1" outlineLevel="1">
      <c r="A42" s="390"/>
      <c r="B42" s="352">
        <v>24</v>
      </c>
      <c r="C42" s="353" t="s">
        <v>875</v>
      </c>
      <c r="D42" s="391"/>
      <c r="E42" s="380"/>
      <c r="F42" s="380"/>
      <c r="G42" s="310" t="s">
        <v>603</v>
      </c>
      <c r="H42" s="311"/>
      <c r="I42" s="310"/>
      <c r="J42" s="366"/>
    </row>
    <row r="43" spans="1:10" s="371" customFormat="1" hidden="1" outlineLevel="1">
      <c r="A43" s="390"/>
      <c r="B43" s="352">
        <v>25</v>
      </c>
      <c r="C43" s="353" t="s">
        <v>876</v>
      </c>
      <c r="D43" s="391"/>
      <c r="E43" s="380"/>
      <c r="F43" s="380"/>
      <c r="G43" s="310" t="s">
        <v>603</v>
      </c>
      <c r="H43" s="311"/>
      <c r="I43" s="310"/>
      <c r="J43" s="366"/>
    </row>
    <row r="44" spans="1:10" s="371" customFormat="1" hidden="1" outlineLevel="1">
      <c r="A44" s="390"/>
      <c r="B44" s="352">
        <v>26</v>
      </c>
      <c r="C44" s="353" t="s">
        <v>877</v>
      </c>
      <c r="D44" s="391"/>
      <c r="E44" s="380"/>
      <c r="F44" s="380"/>
      <c r="G44" s="310" t="s">
        <v>603</v>
      </c>
      <c r="H44" s="311"/>
      <c r="I44" s="310"/>
      <c r="J44" s="366"/>
    </row>
    <row r="45" spans="1:10" s="371" customFormat="1" hidden="1" outlineLevel="1">
      <c r="A45" s="390"/>
      <c r="B45" s="352">
        <v>27</v>
      </c>
      <c r="C45" s="353" t="s">
        <v>878</v>
      </c>
      <c r="D45" s="391"/>
      <c r="E45" s="380"/>
      <c r="F45" s="380"/>
      <c r="G45" s="310" t="s">
        <v>603</v>
      </c>
      <c r="H45" s="311"/>
      <c r="I45" s="310"/>
      <c r="J45" s="366"/>
    </row>
    <row r="46" spans="1:10" s="371" customFormat="1" hidden="1" outlineLevel="1">
      <c r="A46" s="390"/>
      <c r="B46" s="352">
        <v>28</v>
      </c>
      <c r="C46" s="353" t="s">
        <v>879</v>
      </c>
      <c r="D46" s="391"/>
      <c r="E46" s="380"/>
      <c r="F46" s="380"/>
      <c r="G46" s="310" t="s">
        <v>603</v>
      </c>
      <c r="H46" s="311"/>
      <c r="I46" s="310"/>
      <c r="J46" s="366"/>
    </row>
    <row r="47" spans="1:10" s="371" customFormat="1" hidden="1" outlineLevel="1">
      <c r="A47" s="390"/>
      <c r="B47" s="352">
        <v>29</v>
      </c>
      <c r="C47" s="353" t="s">
        <v>880</v>
      </c>
      <c r="D47" s="391"/>
      <c r="E47" s="380"/>
      <c r="F47" s="380"/>
      <c r="G47" s="310" t="s">
        <v>603</v>
      </c>
      <c r="H47" s="311"/>
      <c r="I47" s="310"/>
      <c r="J47" s="366"/>
    </row>
    <row r="48" spans="1:10" s="371" customFormat="1" hidden="1" outlineLevel="1">
      <c r="A48" s="390"/>
      <c r="B48" s="352">
        <v>30</v>
      </c>
      <c r="C48" s="353" t="s">
        <v>881</v>
      </c>
      <c r="D48" s="391"/>
      <c r="E48" s="380"/>
      <c r="F48" s="380"/>
      <c r="G48" s="310" t="s">
        <v>603</v>
      </c>
      <c r="H48" s="311"/>
      <c r="I48" s="310"/>
      <c r="J48" s="366"/>
    </row>
    <row r="49" spans="1:10" s="371" customFormat="1" hidden="1" outlineLevel="1">
      <c r="A49" s="390"/>
      <c r="B49" s="352">
        <v>31</v>
      </c>
      <c r="C49" s="353" t="s">
        <v>624</v>
      </c>
      <c r="D49" s="391"/>
      <c r="E49" s="380"/>
      <c r="F49" s="380"/>
      <c r="G49" s="310" t="s">
        <v>603</v>
      </c>
      <c r="H49" s="311"/>
      <c r="I49" s="310"/>
      <c r="J49" s="366"/>
    </row>
    <row r="50" spans="1:10" s="371" customFormat="1" hidden="1" outlineLevel="1">
      <c r="A50" s="390"/>
      <c r="B50" s="352">
        <v>32</v>
      </c>
      <c r="C50" s="353" t="s">
        <v>882</v>
      </c>
      <c r="D50" s="391"/>
      <c r="E50" s="380"/>
      <c r="F50" s="380"/>
      <c r="G50" s="310" t="s">
        <v>603</v>
      </c>
      <c r="H50" s="311"/>
      <c r="I50" s="310"/>
      <c r="J50" s="366"/>
    </row>
    <row r="51" spans="1:10" s="371" customFormat="1" hidden="1" outlineLevel="1">
      <c r="A51" s="390"/>
      <c r="B51" s="352">
        <v>33</v>
      </c>
      <c r="C51" s="353" t="s">
        <v>883</v>
      </c>
      <c r="D51" s="391"/>
      <c r="E51" s="380"/>
      <c r="F51" s="380"/>
      <c r="G51" s="310" t="s">
        <v>603</v>
      </c>
      <c r="H51" s="311"/>
      <c r="I51" s="310"/>
      <c r="J51" s="366"/>
    </row>
    <row r="52" spans="1:10" s="371" customFormat="1" hidden="1" outlineLevel="1">
      <c r="A52" s="390"/>
      <c r="B52" s="352">
        <v>34</v>
      </c>
      <c r="C52" s="353" t="s">
        <v>630</v>
      </c>
      <c r="D52" s="391"/>
      <c r="E52" s="380"/>
      <c r="F52" s="380"/>
      <c r="G52" s="310" t="s">
        <v>603</v>
      </c>
      <c r="H52" s="311"/>
      <c r="I52" s="310"/>
      <c r="J52" s="366"/>
    </row>
    <row r="53" spans="1:10" s="371" customFormat="1" hidden="1" outlineLevel="1">
      <c r="A53" s="390"/>
      <c r="B53" s="352" t="s">
        <v>636</v>
      </c>
      <c r="C53" s="353" t="s">
        <v>631</v>
      </c>
      <c r="D53" s="391"/>
      <c r="E53" s="380"/>
      <c r="F53" s="380"/>
      <c r="G53" s="310" t="s">
        <v>603</v>
      </c>
      <c r="H53" s="311"/>
      <c r="I53" s="310"/>
      <c r="J53" s="366"/>
    </row>
    <row r="54" spans="1:10" s="276" customFormat="1" collapsed="1">
      <c r="A54" s="333" t="s">
        <v>23</v>
      </c>
      <c r="B54" s="333" t="s">
        <v>884</v>
      </c>
      <c r="C54" s="332" t="s">
        <v>885</v>
      </c>
      <c r="D54" s="334" t="s">
        <v>604</v>
      </c>
      <c r="E54" s="286" t="s">
        <v>596</v>
      </c>
      <c r="F54" s="334" t="str">
        <f>IF(H54&gt;0,"F",IF(I54&gt;0,"A",IF(G54&gt;0,"P","NT")))</f>
        <v>P</v>
      </c>
      <c r="G54" s="334">
        <f>COUNTA(G55:G65)</f>
        <v>11</v>
      </c>
      <c r="H54" s="334">
        <f>COUNTA(H55:H65)</f>
        <v>0</v>
      </c>
      <c r="I54" s="334">
        <f>COUNTA(I55:I65)</f>
        <v>0</v>
      </c>
      <c r="J54" s="365">
        <f>COUNTA(J55:J65)</f>
        <v>0</v>
      </c>
    </row>
    <row r="55" spans="1:10" s="371" customFormat="1" ht="30" hidden="1" outlineLevel="1">
      <c r="A55" s="390"/>
      <c r="B55" s="354" t="s">
        <v>446</v>
      </c>
      <c r="C55" s="348" t="s">
        <v>886</v>
      </c>
      <c r="D55" s="391"/>
      <c r="E55" s="380"/>
      <c r="F55" s="380"/>
      <c r="G55" s="310" t="s">
        <v>603</v>
      </c>
      <c r="H55" s="311"/>
      <c r="I55" s="310"/>
      <c r="J55" s="366"/>
    </row>
    <row r="56" spans="1:10" s="371" customFormat="1" ht="45" hidden="1" customHeight="1" outlineLevel="1">
      <c r="A56" s="390"/>
      <c r="B56" s="354">
        <v>1</v>
      </c>
      <c r="C56" s="353" t="s">
        <v>621</v>
      </c>
      <c r="D56" s="391"/>
      <c r="E56" s="380"/>
      <c r="F56" s="380"/>
      <c r="G56" s="310" t="s">
        <v>603</v>
      </c>
      <c r="H56" s="311"/>
      <c r="I56" s="310"/>
      <c r="J56" s="366"/>
    </row>
    <row r="57" spans="1:10" s="371" customFormat="1" ht="45" hidden="1" customHeight="1" outlineLevel="1">
      <c r="A57" s="390"/>
      <c r="B57" s="354">
        <v>2</v>
      </c>
      <c r="C57" s="353" t="s">
        <v>887</v>
      </c>
      <c r="D57" s="391"/>
      <c r="E57" s="380"/>
      <c r="F57" s="380"/>
      <c r="G57" s="310" t="s">
        <v>603</v>
      </c>
      <c r="H57" s="311"/>
      <c r="I57" s="310"/>
      <c r="J57" s="366"/>
    </row>
    <row r="58" spans="1:10" s="371" customFormat="1" ht="45" hidden="1" customHeight="1" outlineLevel="1">
      <c r="A58" s="390"/>
      <c r="B58" s="354">
        <v>3</v>
      </c>
      <c r="C58" s="357" t="s">
        <v>888</v>
      </c>
      <c r="D58" s="391"/>
      <c r="E58" s="380"/>
      <c r="F58" s="380"/>
      <c r="G58" s="310" t="s">
        <v>603</v>
      </c>
      <c r="H58" s="311"/>
      <c r="I58" s="310"/>
      <c r="J58" s="366"/>
    </row>
    <row r="59" spans="1:10" s="371" customFormat="1" hidden="1" outlineLevel="1">
      <c r="A59" s="390"/>
      <c r="B59" s="354">
        <v>4</v>
      </c>
      <c r="C59" s="359" t="s">
        <v>889</v>
      </c>
      <c r="D59" s="391"/>
      <c r="E59" s="380"/>
      <c r="F59" s="380"/>
      <c r="G59" s="310" t="s">
        <v>603</v>
      </c>
      <c r="H59" s="311"/>
      <c r="I59" s="310"/>
      <c r="J59" s="366"/>
    </row>
    <row r="60" spans="1:10" s="371" customFormat="1" hidden="1" outlineLevel="1">
      <c r="A60" s="390"/>
      <c r="B60" s="349">
        <v>5</v>
      </c>
      <c r="C60" s="359" t="s">
        <v>890</v>
      </c>
      <c r="D60" s="391"/>
      <c r="E60" s="380"/>
      <c r="F60" s="380"/>
      <c r="G60" s="310" t="s">
        <v>603</v>
      </c>
      <c r="H60" s="311"/>
      <c r="I60" s="310"/>
      <c r="J60" s="366"/>
    </row>
    <row r="61" spans="1:10" s="371" customFormat="1" hidden="1" outlineLevel="1">
      <c r="A61" s="390"/>
      <c r="B61" s="349">
        <v>6</v>
      </c>
      <c r="C61" s="359" t="s">
        <v>632</v>
      </c>
      <c r="D61" s="391"/>
      <c r="E61" s="380"/>
      <c r="F61" s="380"/>
      <c r="G61" s="310" t="s">
        <v>603</v>
      </c>
      <c r="H61" s="311"/>
      <c r="I61" s="310"/>
      <c r="J61" s="366"/>
    </row>
    <row r="62" spans="1:10" s="371" customFormat="1" hidden="1" outlineLevel="1">
      <c r="A62" s="390"/>
      <c r="B62" s="354">
        <v>7</v>
      </c>
      <c r="C62" s="353" t="s">
        <v>882</v>
      </c>
      <c r="D62" s="391"/>
      <c r="E62" s="380"/>
      <c r="F62" s="380"/>
      <c r="G62" s="310" t="s">
        <v>603</v>
      </c>
      <c r="H62" s="311"/>
      <c r="I62" s="310"/>
      <c r="J62" s="366"/>
    </row>
    <row r="63" spans="1:10" s="371" customFormat="1" hidden="1" outlineLevel="1">
      <c r="A63" s="390"/>
      <c r="B63" s="354">
        <v>8</v>
      </c>
      <c r="C63" s="355" t="s">
        <v>891</v>
      </c>
      <c r="D63" s="391"/>
      <c r="E63" s="380"/>
      <c r="F63" s="380"/>
      <c r="G63" s="310" t="s">
        <v>603</v>
      </c>
      <c r="H63" s="311"/>
      <c r="I63" s="310"/>
      <c r="J63" s="366"/>
    </row>
    <row r="64" spans="1:10" s="371" customFormat="1" hidden="1" outlineLevel="1">
      <c r="A64" s="390"/>
      <c r="B64" s="354">
        <v>9</v>
      </c>
      <c r="C64" s="359" t="s">
        <v>630</v>
      </c>
      <c r="D64" s="391"/>
      <c r="E64" s="380"/>
      <c r="F64" s="380"/>
      <c r="G64" s="310" t="s">
        <v>603</v>
      </c>
      <c r="H64" s="311"/>
      <c r="I64" s="310"/>
      <c r="J64" s="366"/>
    </row>
    <row r="65" spans="1:11" s="371" customFormat="1" ht="45" hidden="1" customHeight="1" outlineLevel="1">
      <c r="A65" s="390"/>
      <c r="B65" s="358" t="s">
        <v>636</v>
      </c>
      <c r="C65" s="356" t="s">
        <v>631</v>
      </c>
      <c r="D65" s="391"/>
      <c r="E65" s="380"/>
      <c r="F65" s="380"/>
      <c r="G65" s="310" t="s">
        <v>603</v>
      </c>
      <c r="H65" s="311"/>
      <c r="I65" s="310"/>
      <c r="J65" s="366"/>
    </row>
    <row r="66" spans="1:11" s="371" customFormat="1" collapsed="1">
      <c r="A66" s="333" t="s">
        <v>23</v>
      </c>
      <c r="B66" s="333" t="s">
        <v>892</v>
      </c>
      <c r="C66" s="332" t="s">
        <v>893</v>
      </c>
      <c r="D66" s="334" t="s">
        <v>604</v>
      </c>
      <c r="E66" s="288" t="s">
        <v>596</v>
      </c>
      <c r="F66" s="334" t="str">
        <f>IF(H66&gt;0,"F",IF(I66&gt;0,"A",IF(G66&gt;0,"P","NT")))</f>
        <v>P</v>
      </c>
      <c r="G66" s="334">
        <f>COUNTA(G67:G83)</f>
        <v>17</v>
      </c>
      <c r="H66" s="334">
        <f>COUNTA(H67:H83)</f>
        <v>0</v>
      </c>
      <c r="I66" s="334">
        <f>COUNTA(I67:I83)</f>
        <v>0</v>
      </c>
      <c r="J66" s="365">
        <f>COUNTA(J67:J83)</f>
        <v>0</v>
      </c>
    </row>
    <row r="67" spans="1:11" s="371" customFormat="1" ht="30" hidden="1" outlineLevel="1">
      <c r="A67" s="290"/>
      <c r="B67" s="354" t="s">
        <v>446</v>
      </c>
      <c r="C67" s="348" t="s">
        <v>894</v>
      </c>
      <c r="D67" s="391"/>
      <c r="E67" s="392"/>
      <c r="F67" s="289"/>
      <c r="G67" s="314" t="s">
        <v>603</v>
      </c>
      <c r="H67" s="315"/>
      <c r="I67" s="316"/>
      <c r="J67" s="364"/>
    </row>
    <row r="68" spans="1:11" s="371" customFormat="1" hidden="1" outlineLevel="1">
      <c r="A68" s="290"/>
      <c r="B68" s="354">
        <v>1</v>
      </c>
      <c r="C68" s="353" t="s">
        <v>621</v>
      </c>
      <c r="D68" s="391"/>
      <c r="E68" s="392"/>
      <c r="F68" s="289"/>
      <c r="G68" s="314" t="s">
        <v>603</v>
      </c>
      <c r="H68" s="315"/>
      <c r="I68" s="316"/>
      <c r="J68" s="364"/>
      <c r="K68" s="287"/>
    </row>
    <row r="69" spans="1:11" s="371" customFormat="1" ht="30" hidden="1" outlineLevel="1">
      <c r="A69" s="290"/>
      <c r="B69" s="354">
        <v>2</v>
      </c>
      <c r="C69" s="353" t="s">
        <v>887</v>
      </c>
      <c r="D69" s="391"/>
      <c r="E69" s="392"/>
      <c r="F69" s="289"/>
      <c r="G69" s="314" t="s">
        <v>603</v>
      </c>
      <c r="H69" s="315"/>
      <c r="I69" s="316"/>
      <c r="J69" s="364"/>
      <c r="K69" s="287"/>
    </row>
    <row r="70" spans="1:11" s="371" customFormat="1" hidden="1" outlineLevel="1">
      <c r="A70" s="290"/>
      <c r="B70" s="354">
        <v>3</v>
      </c>
      <c r="C70" s="357" t="s">
        <v>888</v>
      </c>
      <c r="D70" s="391"/>
      <c r="E70" s="392"/>
      <c r="F70" s="289"/>
      <c r="G70" s="314" t="s">
        <v>603</v>
      </c>
      <c r="H70" s="315"/>
      <c r="I70" s="316"/>
      <c r="J70" s="364"/>
      <c r="K70" s="287"/>
    </row>
    <row r="71" spans="1:11" s="371" customFormat="1" hidden="1" outlineLevel="1">
      <c r="A71" s="290"/>
      <c r="B71" s="354">
        <v>4</v>
      </c>
      <c r="C71" s="348" t="s">
        <v>873</v>
      </c>
      <c r="D71" s="391"/>
      <c r="E71" s="392"/>
      <c r="F71" s="289"/>
      <c r="G71" s="314" t="s">
        <v>603</v>
      </c>
      <c r="H71" s="315"/>
      <c r="I71" s="316"/>
      <c r="J71" s="364"/>
      <c r="K71" s="287"/>
    </row>
    <row r="72" spans="1:11" s="371" customFormat="1" hidden="1" outlineLevel="1">
      <c r="A72" s="290"/>
      <c r="B72" s="354">
        <v>5</v>
      </c>
      <c r="C72" s="348" t="s">
        <v>874</v>
      </c>
      <c r="D72" s="391"/>
      <c r="E72" s="392"/>
      <c r="F72" s="289"/>
      <c r="G72" s="314" t="s">
        <v>603</v>
      </c>
      <c r="H72" s="315"/>
      <c r="I72" s="316"/>
      <c r="J72" s="364"/>
      <c r="K72" s="287"/>
    </row>
    <row r="73" spans="1:11" s="371" customFormat="1" hidden="1" outlineLevel="1">
      <c r="A73" s="290"/>
      <c r="B73" s="354">
        <v>6</v>
      </c>
      <c r="C73" s="348" t="s">
        <v>895</v>
      </c>
      <c r="D73" s="391"/>
      <c r="E73" s="392"/>
      <c r="F73" s="289"/>
      <c r="G73" s="314" t="s">
        <v>603</v>
      </c>
      <c r="H73" s="315"/>
      <c r="I73" s="316"/>
      <c r="J73" s="364"/>
      <c r="K73" s="287"/>
    </row>
    <row r="74" spans="1:11" s="371" customFormat="1" hidden="1" outlineLevel="1">
      <c r="A74" s="290"/>
      <c r="B74" s="354">
        <v>7</v>
      </c>
      <c r="C74" s="348" t="s">
        <v>896</v>
      </c>
      <c r="D74" s="391"/>
      <c r="E74" s="392"/>
      <c r="F74" s="289"/>
      <c r="G74" s="314" t="s">
        <v>603</v>
      </c>
      <c r="H74" s="315"/>
      <c r="I74" s="316"/>
      <c r="J74" s="364"/>
      <c r="K74" s="287"/>
    </row>
    <row r="75" spans="1:11" s="371" customFormat="1" hidden="1" outlineLevel="1">
      <c r="A75" s="290"/>
      <c r="B75" s="354">
        <v>8</v>
      </c>
      <c r="C75" s="348" t="s">
        <v>897</v>
      </c>
      <c r="D75" s="391"/>
      <c r="E75" s="392"/>
      <c r="F75" s="289"/>
      <c r="G75" s="314" t="s">
        <v>603</v>
      </c>
      <c r="H75" s="315"/>
      <c r="I75" s="316"/>
      <c r="J75" s="364"/>
      <c r="K75" s="287"/>
    </row>
    <row r="76" spans="1:11" s="371" customFormat="1" hidden="1" outlineLevel="1">
      <c r="A76" s="290"/>
      <c r="B76" s="354">
        <v>9</v>
      </c>
      <c r="C76" s="348" t="s">
        <v>898</v>
      </c>
      <c r="D76" s="391"/>
      <c r="E76" s="392"/>
      <c r="F76" s="289"/>
      <c r="G76" s="314" t="s">
        <v>603</v>
      </c>
      <c r="H76" s="315"/>
      <c r="I76" s="316"/>
      <c r="J76" s="364"/>
      <c r="K76" s="287"/>
    </row>
    <row r="77" spans="1:11" s="371" customFormat="1" hidden="1" outlineLevel="1">
      <c r="A77" s="290"/>
      <c r="B77" s="354">
        <v>10</v>
      </c>
      <c r="C77" s="348" t="s">
        <v>899</v>
      </c>
      <c r="D77" s="391"/>
      <c r="E77" s="392"/>
      <c r="F77" s="289"/>
      <c r="G77" s="314" t="s">
        <v>603</v>
      </c>
      <c r="H77" s="315"/>
      <c r="I77" s="316"/>
      <c r="J77" s="364"/>
      <c r="K77" s="287"/>
    </row>
    <row r="78" spans="1:11" s="371" customFormat="1" hidden="1" outlineLevel="1">
      <c r="A78" s="290"/>
      <c r="B78" s="354">
        <v>11</v>
      </c>
      <c r="C78" s="348" t="s">
        <v>900</v>
      </c>
      <c r="D78" s="391"/>
      <c r="E78" s="392"/>
      <c r="F78" s="289"/>
      <c r="G78" s="314" t="s">
        <v>603</v>
      </c>
      <c r="H78" s="315"/>
      <c r="I78" s="316"/>
      <c r="J78" s="364"/>
      <c r="K78" s="287"/>
    </row>
    <row r="79" spans="1:11" s="371" customFormat="1" ht="75" hidden="1" outlineLevel="1">
      <c r="A79" s="290"/>
      <c r="B79" s="349" t="s">
        <v>637</v>
      </c>
      <c r="C79" s="348" t="s">
        <v>901</v>
      </c>
      <c r="D79" s="391"/>
      <c r="E79" s="393"/>
      <c r="F79" s="375"/>
      <c r="G79" s="376" t="s">
        <v>603</v>
      </c>
      <c r="H79" s="377"/>
      <c r="I79" s="378"/>
      <c r="J79" s="364"/>
      <c r="K79" s="287"/>
    </row>
    <row r="80" spans="1:11" s="371" customFormat="1" hidden="1" outlineLevel="1">
      <c r="A80" s="390"/>
      <c r="B80" s="352">
        <v>12</v>
      </c>
      <c r="C80" s="353" t="s">
        <v>882</v>
      </c>
      <c r="D80" s="391"/>
      <c r="E80" s="380"/>
      <c r="F80" s="380"/>
      <c r="G80" s="310" t="s">
        <v>603</v>
      </c>
      <c r="H80" s="311"/>
      <c r="I80" s="310"/>
      <c r="J80" s="366"/>
    </row>
    <row r="81" spans="1:11" s="371" customFormat="1" hidden="1" outlineLevel="1">
      <c r="A81" s="390"/>
      <c r="B81" s="352">
        <v>13</v>
      </c>
      <c r="C81" s="353" t="s">
        <v>902</v>
      </c>
      <c r="D81" s="391"/>
      <c r="E81" s="380"/>
      <c r="F81" s="380"/>
      <c r="G81" s="310" t="s">
        <v>603</v>
      </c>
      <c r="H81" s="311"/>
      <c r="I81" s="310"/>
      <c r="J81" s="366"/>
    </row>
    <row r="82" spans="1:11" s="371" customFormat="1" hidden="1" outlineLevel="1">
      <c r="A82" s="390"/>
      <c r="B82" s="354">
        <v>14</v>
      </c>
      <c r="C82" s="359" t="s">
        <v>630</v>
      </c>
      <c r="D82" s="391"/>
      <c r="E82" s="380"/>
      <c r="F82" s="380"/>
      <c r="G82" s="310" t="s">
        <v>603</v>
      </c>
      <c r="H82" s="311"/>
      <c r="I82" s="310"/>
      <c r="J82" s="366"/>
    </row>
    <row r="83" spans="1:11" s="371" customFormat="1" hidden="1" outlineLevel="1">
      <c r="A83" s="390"/>
      <c r="B83" s="358" t="s">
        <v>638</v>
      </c>
      <c r="C83" s="374" t="s">
        <v>631</v>
      </c>
      <c r="D83" s="391"/>
      <c r="E83" s="380"/>
      <c r="F83" s="380"/>
      <c r="G83" s="310" t="s">
        <v>603</v>
      </c>
      <c r="H83" s="311"/>
      <c r="I83" s="310"/>
      <c r="J83" s="366"/>
    </row>
    <row r="84" spans="1:11" s="371" customFormat="1" collapsed="1">
      <c r="A84" s="333" t="s">
        <v>23</v>
      </c>
      <c r="B84" s="333" t="s">
        <v>903</v>
      </c>
      <c r="C84" s="332" t="s">
        <v>904</v>
      </c>
      <c r="D84" s="334" t="s">
        <v>604</v>
      </c>
      <c r="E84" s="294" t="s">
        <v>596</v>
      </c>
      <c r="F84" s="334" t="str">
        <f>IF(H84&gt;0,"F",IF(I84&gt;0,"A",IF(G84&gt;0,"P","NT")))</f>
        <v>P</v>
      </c>
      <c r="G84" s="334">
        <f>COUNTA(G85:G99)</f>
        <v>15</v>
      </c>
      <c r="H84" s="334">
        <f>COUNTA(H85:H99)</f>
        <v>0</v>
      </c>
      <c r="I84" s="334">
        <f>COUNTA(I85:I99)</f>
        <v>0</v>
      </c>
      <c r="J84" s="365">
        <f>COUNTA(J85:J99)</f>
        <v>4</v>
      </c>
      <c r="K84" s="291"/>
    </row>
    <row r="85" spans="1:11" s="371" customFormat="1" ht="30" hidden="1" outlineLevel="1">
      <c r="A85" s="292"/>
      <c r="B85" s="354" t="s">
        <v>446</v>
      </c>
      <c r="C85" s="348" t="s">
        <v>886</v>
      </c>
      <c r="D85" s="391"/>
      <c r="E85" s="293"/>
      <c r="F85" s="293"/>
      <c r="G85" s="312" t="s">
        <v>603</v>
      </c>
      <c r="H85" s="312"/>
      <c r="I85" s="313"/>
      <c r="J85" s="345"/>
      <c r="K85" s="291"/>
    </row>
    <row r="86" spans="1:11" s="371" customFormat="1" hidden="1" outlineLevel="1">
      <c r="A86" s="292"/>
      <c r="B86" s="354">
        <v>1</v>
      </c>
      <c r="C86" s="353" t="s">
        <v>621</v>
      </c>
      <c r="D86" s="391"/>
      <c r="E86" s="293"/>
      <c r="F86" s="293"/>
      <c r="G86" s="312" t="s">
        <v>603</v>
      </c>
      <c r="H86" s="312"/>
      <c r="I86" s="313"/>
      <c r="J86" s="345"/>
      <c r="K86" s="291"/>
    </row>
    <row r="87" spans="1:11" s="371" customFormat="1" hidden="1" outlineLevel="1">
      <c r="A87" s="292"/>
      <c r="B87" s="354">
        <v>2</v>
      </c>
      <c r="C87" s="359" t="s">
        <v>905</v>
      </c>
      <c r="D87" s="391"/>
      <c r="E87" s="293"/>
      <c r="F87" s="293"/>
      <c r="G87" s="312" t="s">
        <v>603</v>
      </c>
      <c r="H87" s="312"/>
      <c r="I87" s="313"/>
      <c r="J87" s="345"/>
      <c r="K87" s="291"/>
    </row>
    <row r="88" spans="1:11" s="371" customFormat="1" ht="30" hidden="1" outlineLevel="1">
      <c r="A88" s="292"/>
      <c r="B88" s="354">
        <v>3</v>
      </c>
      <c r="C88" s="394" t="s">
        <v>906</v>
      </c>
      <c r="D88" s="391"/>
      <c r="E88" s="293"/>
      <c r="F88" s="293"/>
      <c r="G88" s="312" t="s">
        <v>603</v>
      </c>
      <c r="H88" s="312"/>
      <c r="I88" s="313"/>
      <c r="J88" s="345"/>
      <c r="K88" s="291"/>
    </row>
    <row r="89" spans="1:11" s="371" customFormat="1" hidden="1" outlineLevel="1">
      <c r="A89" s="292"/>
      <c r="B89" s="354">
        <v>4</v>
      </c>
      <c r="C89" s="394" t="s">
        <v>907</v>
      </c>
      <c r="D89" s="391"/>
      <c r="E89" s="293"/>
      <c r="F89" s="293"/>
      <c r="G89" s="312" t="s">
        <v>603</v>
      </c>
      <c r="H89" s="312"/>
      <c r="I89" s="313"/>
      <c r="J89" s="345"/>
      <c r="K89" s="291"/>
    </row>
    <row r="90" spans="1:11" s="371" customFormat="1" hidden="1" outlineLevel="1">
      <c r="A90" s="292"/>
      <c r="B90" s="354">
        <v>5</v>
      </c>
      <c r="C90" s="394" t="s">
        <v>908</v>
      </c>
      <c r="D90" s="391"/>
      <c r="E90" s="293"/>
      <c r="F90" s="293"/>
      <c r="G90" s="312" t="s">
        <v>603</v>
      </c>
      <c r="H90" s="312"/>
      <c r="I90" s="313"/>
      <c r="J90" s="345"/>
      <c r="K90" s="291"/>
    </row>
    <row r="91" spans="1:11" s="371" customFormat="1" ht="135" hidden="1" customHeight="1" outlineLevel="1">
      <c r="A91" s="292"/>
      <c r="B91" s="354" t="s">
        <v>639</v>
      </c>
      <c r="C91" s="394" t="s">
        <v>909</v>
      </c>
      <c r="D91" s="391"/>
      <c r="E91" s="293"/>
      <c r="F91" s="293"/>
      <c r="G91" s="312" t="s">
        <v>603</v>
      </c>
      <c r="H91" s="312"/>
      <c r="I91" s="313"/>
      <c r="J91" s="345" t="s">
        <v>1233</v>
      </c>
      <c r="K91" s="291"/>
    </row>
    <row r="92" spans="1:11" s="371" customFormat="1" ht="106.5" hidden="1" customHeight="1" outlineLevel="1">
      <c r="A92" s="292"/>
      <c r="B92" s="354" t="s">
        <v>640</v>
      </c>
      <c r="C92" s="394" t="s">
        <v>910</v>
      </c>
      <c r="D92" s="391"/>
      <c r="E92" s="293"/>
      <c r="F92" s="293"/>
      <c r="G92" s="312" t="s">
        <v>603</v>
      </c>
      <c r="H92" s="312"/>
      <c r="I92" s="313"/>
      <c r="J92" s="345" t="s">
        <v>1234</v>
      </c>
      <c r="K92" s="291"/>
    </row>
    <row r="93" spans="1:11" s="371" customFormat="1" ht="163.5" hidden="1" customHeight="1" outlineLevel="1">
      <c r="A93" s="292"/>
      <c r="B93" s="354" t="s">
        <v>641</v>
      </c>
      <c r="C93" s="394" t="s">
        <v>911</v>
      </c>
      <c r="D93" s="391"/>
      <c r="E93" s="293"/>
      <c r="F93" s="293"/>
      <c r="G93" s="312" t="s">
        <v>603</v>
      </c>
      <c r="H93" s="312"/>
      <c r="I93" s="313"/>
      <c r="J93" s="345" t="s">
        <v>1235</v>
      </c>
      <c r="K93" s="291"/>
    </row>
    <row r="94" spans="1:11" s="371" customFormat="1" ht="191.25" hidden="1" customHeight="1" outlineLevel="1">
      <c r="A94" s="292"/>
      <c r="B94" s="354" t="s">
        <v>642</v>
      </c>
      <c r="C94" s="394" t="s">
        <v>912</v>
      </c>
      <c r="D94" s="391"/>
      <c r="E94" s="293"/>
      <c r="F94" s="293"/>
      <c r="G94" s="312" t="s">
        <v>603</v>
      </c>
      <c r="H94" s="312"/>
      <c r="I94" s="313"/>
      <c r="J94" s="345" t="s">
        <v>1236</v>
      </c>
      <c r="K94" s="291"/>
    </row>
    <row r="95" spans="1:11" s="371" customFormat="1" hidden="1" outlineLevel="1">
      <c r="A95" s="292"/>
      <c r="B95" s="354">
        <v>6</v>
      </c>
      <c r="C95" s="394" t="s">
        <v>913</v>
      </c>
      <c r="D95" s="391"/>
      <c r="E95" s="293"/>
      <c r="F95" s="293"/>
      <c r="G95" s="312" t="s">
        <v>603</v>
      </c>
      <c r="H95" s="312"/>
      <c r="I95" s="313"/>
      <c r="J95" s="345"/>
      <c r="K95" s="396" t="s">
        <v>979</v>
      </c>
    </row>
    <row r="96" spans="1:11" s="371" customFormat="1" hidden="1" outlineLevel="1">
      <c r="A96" s="292"/>
      <c r="B96" s="354">
        <v>7</v>
      </c>
      <c r="C96" s="394" t="s">
        <v>914</v>
      </c>
      <c r="D96" s="391"/>
      <c r="E96" s="293"/>
      <c r="F96" s="293"/>
      <c r="G96" s="312" t="s">
        <v>603</v>
      </c>
      <c r="H96" s="312"/>
      <c r="I96" s="313"/>
      <c r="J96" s="345"/>
      <c r="K96" s="396"/>
    </row>
    <row r="97" spans="1:11" s="371" customFormat="1" hidden="1" outlineLevel="1">
      <c r="A97" s="292"/>
      <c r="B97" s="354">
        <v>8</v>
      </c>
      <c r="C97" s="353" t="s">
        <v>882</v>
      </c>
      <c r="D97" s="391"/>
      <c r="E97" s="293"/>
      <c r="F97" s="293"/>
      <c r="G97" s="312" t="s">
        <v>603</v>
      </c>
      <c r="H97" s="312"/>
      <c r="I97" s="313"/>
      <c r="J97" s="345"/>
      <c r="K97" s="291"/>
    </row>
    <row r="98" spans="1:11" s="371" customFormat="1" hidden="1" outlineLevel="1">
      <c r="A98" s="292"/>
      <c r="B98" s="349">
        <v>9</v>
      </c>
      <c r="C98" s="353" t="s">
        <v>915</v>
      </c>
      <c r="D98" s="391"/>
      <c r="E98" s="293"/>
      <c r="F98" s="293"/>
      <c r="G98" s="312" t="s">
        <v>603</v>
      </c>
      <c r="H98" s="312"/>
      <c r="I98" s="313"/>
      <c r="J98" s="345"/>
      <c r="K98" s="291"/>
    </row>
    <row r="99" spans="1:11" s="371" customFormat="1" hidden="1" outlineLevel="1">
      <c r="A99" s="292"/>
      <c r="B99" s="349">
        <v>10</v>
      </c>
      <c r="C99" s="359" t="s">
        <v>630</v>
      </c>
      <c r="D99" s="391"/>
      <c r="E99" s="293"/>
      <c r="F99" s="293"/>
      <c r="G99" s="312" t="s">
        <v>603</v>
      </c>
      <c r="H99" s="312"/>
      <c r="I99" s="313"/>
      <c r="J99" s="345"/>
      <c r="K99" s="291"/>
    </row>
    <row r="100" spans="1:11" s="423" customFormat="1">
      <c r="A100" s="414"/>
      <c r="B100" s="415"/>
      <c r="C100" s="416"/>
      <c r="D100" s="417"/>
      <c r="E100" s="418"/>
      <c r="F100" s="418"/>
      <c r="G100" s="419"/>
      <c r="H100" s="419"/>
      <c r="I100" s="420"/>
      <c r="J100" s="421"/>
      <c r="K100" s="422"/>
    </row>
    <row r="101" spans="1:11" s="276" customFormat="1" collapsed="1">
      <c r="A101" s="333" t="s">
        <v>23</v>
      </c>
      <c r="B101" s="333" t="s">
        <v>916</v>
      </c>
      <c r="C101" s="332" t="s">
        <v>917</v>
      </c>
      <c r="D101" s="334" t="s">
        <v>604</v>
      </c>
      <c r="E101" s="286" t="s">
        <v>596</v>
      </c>
      <c r="F101" s="334" t="str">
        <f>IF(H101&gt;0,"F",IF(I101&gt;0,"A",IF(G101&gt;0,"P","NT")))</f>
        <v>P</v>
      </c>
      <c r="G101" s="334">
        <f>COUNTA(G102:G107)</f>
        <v>2</v>
      </c>
      <c r="H101" s="334">
        <f>COUNTA(H102:H107)</f>
        <v>0</v>
      </c>
      <c r="I101" s="334">
        <f>COUNTA(I102:I107)</f>
        <v>0</v>
      </c>
      <c r="J101" s="365">
        <f>COUNTA(J102:J107)</f>
        <v>0</v>
      </c>
    </row>
    <row r="102" spans="1:11" s="371" customFormat="1" ht="30" hidden="1" outlineLevel="1">
      <c r="A102" s="390"/>
      <c r="B102" s="351" t="s">
        <v>598</v>
      </c>
      <c r="C102" s="348" t="s">
        <v>918</v>
      </c>
      <c r="D102" s="391"/>
      <c r="E102" s="380"/>
      <c r="F102" s="380"/>
      <c r="G102" s="310"/>
      <c r="H102" s="311"/>
      <c r="I102" s="310"/>
      <c r="J102" s="366"/>
    </row>
    <row r="103" spans="1:11" s="371" customFormat="1" ht="30" hidden="1" customHeight="1" outlineLevel="1">
      <c r="A103" s="390"/>
      <c r="B103" s="351" t="s">
        <v>599</v>
      </c>
      <c r="C103" s="348" t="s">
        <v>620</v>
      </c>
      <c r="D103" s="391"/>
      <c r="E103" s="380"/>
      <c r="F103" s="380"/>
      <c r="G103" s="310"/>
      <c r="H103" s="311"/>
      <c r="I103" s="310"/>
      <c r="J103" s="366"/>
    </row>
    <row r="104" spans="1:11" s="371" customFormat="1" ht="30" hidden="1" customHeight="1" outlineLevel="1">
      <c r="A104" s="390"/>
      <c r="B104" s="382" t="s">
        <v>634</v>
      </c>
      <c r="C104" s="348" t="s">
        <v>868</v>
      </c>
      <c r="D104" s="391"/>
      <c r="E104" s="380"/>
      <c r="F104" s="380"/>
      <c r="G104" s="310"/>
      <c r="H104" s="311"/>
      <c r="I104" s="310"/>
      <c r="J104" s="366"/>
    </row>
    <row r="105" spans="1:11" s="371" customFormat="1" hidden="1" outlineLevel="1">
      <c r="A105" s="390"/>
      <c r="B105" s="352">
        <v>1</v>
      </c>
      <c r="C105" s="353" t="s">
        <v>621</v>
      </c>
      <c r="D105" s="391"/>
      <c r="E105" s="380"/>
      <c r="F105" s="380"/>
      <c r="G105" s="310" t="s">
        <v>603</v>
      </c>
      <c r="H105" s="311"/>
      <c r="I105" s="310"/>
      <c r="J105" s="366"/>
    </row>
    <row r="106" spans="1:11" s="371" customFormat="1" hidden="1" outlineLevel="1">
      <c r="A106" s="390"/>
      <c r="B106" s="352">
        <v>2</v>
      </c>
      <c r="C106" s="353" t="s">
        <v>919</v>
      </c>
      <c r="D106" s="391"/>
      <c r="E106" s="380"/>
      <c r="F106" s="380"/>
      <c r="G106" s="310" t="s">
        <v>603</v>
      </c>
      <c r="H106" s="311"/>
      <c r="I106" s="310"/>
      <c r="J106" s="366"/>
    </row>
    <row r="107" spans="1:11" s="371" customFormat="1" hidden="1" outlineLevel="1">
      <c r="A107" s="390"/>
      <c r="B107" s="352" t="s">
        <v>635</v>
      </c>
      <c r="C107" s="353" t="s">
        <v>631</v>
      </c>
      <c r="D107" s="391"/>
      <c r="E107" s="380"/>
      <c r="F107" s="380"/>
      <c r="G107" s="310"/>
      <c r="H107" s="311"/>
      <c r="I107" s="310"/>
      <c r="J107" s="366"/>
    </row>
    <row r="108" spans="1:11" s="276" customFormat="1" collapsed="1">
      <c r="A108" s="333" t="s">
        <v>23</v>
      </c>
      <c r="B108" s="333" t="s">
        <v>920</v>
      </c>
      <c r="C108" s="332" t="s">
        <v>921</v>
      </c>
      <c r="D108" s="334" t="s">
        <v>604</v>
      </c>
      <c r="E108" s="286" t="s">
        <v>596</v>
      </c>
      <c r="F108" s="334" t="str">
        <f>IF(H108&gt;0,"F",IF(I108&gt;0,"A",IF(G108&gt;0,"P","NT")))</f>
        <v>P</v>
      </c>
      <c r="G108" s="334">
        <f>COUNTA(G109:G112)</f>
        <v>4</v>
      </c>
      <c r="H108" s="334">
        <f>COUNTA(H109:H112)</f>
        <v>0</v>
      </c>
      <c r="I108" s="334">
        <f>COUNTA(I109:I112)</f>
        <v>0</v>
      </c>
      <c r="J108" s="365">
        <f>COUNTA(J109:J112)</f>
        <v>0</v>
      </c>
    </row>
    <row r="109" spans="1:11" s="371" customFormat="1" ht="30" hidden="1" outlineLevel="1">
      <c r="A109" s="390"/>
      <c r="B109" s="354" t="s">
        <v>446</v>
      </c>
      <c r="C109" s="348" t="s">
        <v>886</v>
      </c>
      <c r="D109" s="391"/>
      <c r="E109" s="380"/>
      <c r="F109" s="380"/>
      <c r="G109" s="310" t="s">
        <v>603</v>
      </c>
      <c r="H109" s="311"/>
      <c r="I109" s="310"/>
      <c r="J109" s="366"/>
    </row>
    <row r="110" spans="1:11" s="371" customFormat="1" hidden="1" outlineLevel="1">
      <c r="A110" s="390"/>
      <c r="B110" s="354">
        <v>1</v>
      </c>
      <c r="C110" s="353" t="s">
        <v>621</v>
      </c>
      <c r="D110" s="391"/>
      <c r="E110" s="380"/>
      <c r="F110" s="380"/>
      <c r="G110" s="310" t="s">
        <v>603</v>
      </c>
      <c r="H110" s="311"/>
      <c r="I110" s="310"/>
      <c r="J110" s="366"/>
    </row>
    <row r="111" spans="1:11" s="371" customFormat="1" hidden="1" outlineLevel="1">
      <c r="A111" s="390"/>
      <c r="B111" s="354">
        <v>2</v>
      </c>
      <c r="C111" s="353" t="s">
        <v>922</v>
      </c>
      <c r="D111" s="391"/>
      <c r="E111" s="380"/>
      <c r="F111" s="380"/>
      <c r="G111" s="310" t="s">
        <v>603</v>
      </c>
      <c r="H111" s="311"/>
      <c r="I111" s="310"/>
      <c r="J111" s="366"/>
    </row>
    <row r="112" spans="1:11" s="371" customFormat="1" hidden="1" outlineLevel="1">
      <c r="A112" s="390"/>
      <c r="B112" s="358" t="s">
        <v>636</v>
      </c>
      <c r="C112" s="374" t="s">
        <v>631</v>
      </c>
      <c r="D112" s="391"/>
      <c r="E112" s="380"/>
      <c r="F112" s="380"/>
      <c r="G112" s="310" t="s">
        <v>603</v>
      </c>
      <c r="H112" s="311"/>
      <c r="I112" s="310"/>
      <c r="J112" s="366"/>
    </row>
    <row r="113" spans="1:11" s="371" customFormat="1" collapsed="1">
      <c r="A113" s="333" t="s">
        <v>23</v>
      </c>
      <c r="B113" s="333" t="s">
        <v>923</v>
      </c>
      <c r="C113" s="332" t="s">
        <v>924</v>
      </c>
      <c r="D113" s="334" t="s">
        <v>604</v>
      </c>
      <c r="E113" s="288" t="s">
        <v>596</v>
      </c>
      <c r="F113" s="334" t="str">
        <f>IF(H113&gt;0,"F",IF(I113&gt;0,"A",IF(G113&gt;0,"P","NT")))</f>
        <v>P</v>
      </c>
      <c r="G113" s="334">
        <f>COUNTA(G114:G130)</f>
        <v>17</v>
      </c>
      <c r="H113" s="334">
        <f>COUNTA(H114:H130)</f>
        <v>0</v>
      </c>
      <c r="I113" s="334">
        <f>COUNTA(I114:I130)</f>
        <v>0</v>
      </c>
      <c r="J113" s="365">
        <f>COUNTA(J114:J130)</f>
        <v>1</v>
      </c>
    </row>
    <row r="114" spans="1:11" s="371" customFormat="1" ht="30" hidden="1" outlineLevel="1">
      <c r="A114" s="290"/>
      <c r="B114" s="354" t="s">
        <v>446</v>
      </c>
      <c r="C114" s="348" t="s">
        <v>894</v>
      </c>
      <c r="D114" s="391"/>
      <c r="E114" s="392"/>
      <c r="F114" s="289"/>
      <c r="G114" s="314" t="s">
        <v>603</v>
      </c>
      <c r="H114" s="315"/>
      <c r="I114" s="316"/>
      <c r="J114" s="364"/>
    </row>
    <row r="115" spans="1:11" s="371" customFormat="1" hidden="1" outlineLevel="1">
      <c r="A115" s="290"/>
      <c r="B115" s="354">
        <v>1</v>
      </c>
      <c r="C115" s="353" t="s">
        <v>621</v>
      </c>
      <c r="D115" s="391"/>
      <c r="E115" s="392"/>
      <c r="F115" s="289"/>
      <c r="G115" s="314" t="s">
        <v>603</v>
      </c>
      <c r="H115" s="315"/>
      <c r="I115" s="316"/>
      <c r="J115" s="364"/>
      <c r="K115" s="287"/>
    </row>
    <row r="116" spans="1:11" s="371" customFormat="1" ht="30" hidden="1" outlineLevel="1">
      <c r="A116" s="290"/>
      <c r="B116" s="354">
        <v>2</v>
      </c>
      <c r="C116" s="353" t="s">
        <v>887</v>
      </c>
      <c r="D116" s="391"/>
      <c r="E116" s="392"/>
      <c r="F116" s="289"/>
      <c r="G116" s="314" t="s">
        <v>603</v>
      </c>
      <c r="H116" s="315"/>
      <c r="I116" s="316"/>
      <c r="J116" s="364"/>
      <c r="K116" s="287"/>
    </row>
    <row r="117" spans="1:11" s="371" customFormat="1" hidden="1" outlineLevel="1">
      <c r="A117" s="290"/>
      <c r="B117" s="354">
        <v>3</v>
      </c>
      <c r="C117" s="357" t="s">
        <v>888</v>
      </c>
      <c r="D117" s="391"/>
      <c r="E117" s="392"/>
      <c r="F117" s="289"/>
      <c r="G117" s="314" t="s">
        <v>603</v>
      </c>
      <c r="H117" s="315"/>
      <c r="I117" s="316"/>
      <c r="J117" s="364"/>
      <c r="K117" s="287"/>
    </row>
    <row r="118" spans="1:11" s="371" customFormat="1" hidden="1" outlineLevel="1">
      <c r="A118" s="290"/>
      <c r="B118" s="354">
        <v>4</v>
      </c>
      <c r="C118" s="348" t="s">
        <v>873</v>
      </c>
      <c r="D118" s="391"/>
      <c r="E118" s="392"/>
      <c r="F118" s="289"/>
      <c r="G118" s="314" t="s">
        <v>603</v>
      </c>
      <c r="H118" s="315"/>
      <c r="I118" s="316"/>
      <c r="J118" s="364"/>
      <c r="K118" s="287"/>
    </row>
    <row r="119" spans="1:11" s="371" customFormat="1" hidden="1" outlineLevel="1">
      <c r="A119" s="290"/>
      <c r="B119" s="354">
        <v>5</v>
      </c>
      <c r="C119" s="348" t="s">
        <v>874</v>
      </c>
      <c r="D119" s="391"/>
      <c r="E119" s="392"/>
      <c r="F119" s="289"/>
      <c r="G119" s="314" t="s">
        <v>603</v>
      </c>
      <c r="H119" s="315"/>
      <c r="I119" s="316"/>
      <c r="J119" s="364"/>
      <c r="K119" s="287"/>
    </row>
    <row r="120" spans="1:11" s="371" customFormat="1" hidden="1" outlineLevel="1">
      <c r="A120" s="290"/>
      <c r="B120" s="354">
        <v>6</v>
      </c>
      <c r="C120" s="348" t="s">
        <v>925</v>
      </c>
      <c r="D120" s="391"/>
      <c r="E120" s="392"/>
      <c r="F120" s="289"/>
      <c r="G120" s="314" t="s">
        <v>603</v>
      </c>
      <c r="H120" s="315"/>
      <c r="I120" s="316"/>
      <c r="J120" s="364"/>
      <c r="K120" s="287"/>
    </row>
    <row r="121" spans="1:11" s="371" customFormat="1" hidden="1" outlineLevel="1">
      <c r="A121" s="290"/>
      <c r="B121" s="354">
        <v>7</v>
      </c>
      <c r="C121" s="348" t="s">
        <v>926</v>
      </c>
      <c r="D121" s="391"/>
      <c r="E121" s="392"/>
      <c r="F121" s="289"/>
      <c r="G121" s="314" t="s">
        <v>603</v>
      </c>
      <c r="H121" s="315"/>
      <c r="I121" s="316"/>
      <c r="J121" s="364"/>
      <c r="K121" s="287"/>
    </row>
    <row r="122" spans="1:11" s="371" customFormat="1" hidden="1" outlineLevel="1">
      <c r="A122" s="290"/>
      <c r="B122" s="354">
        <v>9</v>
      </c>
      <c r="C122" s="348" t="s">
        <v>898</v>
      </c>
      <c r="D122" s="391"/>
      <c r="E122" s="392"/>
      <c r="F122" s="289"/>
      <c r="G122" s="314" t="s">
        <v>603</v>
      </c>
      <c r="H122" s="315"/>
      <c r="I122" s="316"/>
      <c r="J122" s="364"/>
      <c r="K122" s="287"/>
    </row>
    <row r="123" spans="1:11" s="371" customFormat="1" hidden="1" outlineLevel="1">
      <c r="A123" s="290"/>
      <c r="B123" s="354">
        <v>10</v>
      </c>
      <c r="C123" s="348" t="s">
        <v>899</v>
      </c>
      <c r="D123" s="391"/>
      <c r="E123" s="392"/>
      <c r="F123" s="289"/>
      <c r="G123" s="314" t="s">
        <v>603</v>
      </c>
      <c r="H123" s="315"/>
      <c r="I123" s="316"/>
      <c r="J123" s="364"/>
      <c r="K123" s="287"/>
    </row>
    <row r="124" spans="1:11" s="371" customFormat="1" hidden="1" outlineLevel="1">
      <c r="A124" s="290"/>
      <c r="B124" s="354">
        <v>11</v>
      </c>
      <c r="C124" s="348" t="s">
        <v>927</v>
      </c>
      <c r="D124" s="391"/>
      <c r="E124" s="392"/>
      <c r="F124" s="289"/>
      <c r="G124" s="314" t="s">
        <v>603</v>
      </c>
      <c r="H124" s="315"/>
      <c r="I124" s="316"/>
      <c r="K124" s="287"/>
    </row>
    <row r="125" spans="1:11" s="371" customFormat="1" ht="90" hidden="1" outlineLevel="1">
      <c r="A125" s="390"/>
      <c r="B125" s="352">
        <v>12</v>
      </c>
      <c r="C125" s="353" t="s">
        <v>882</v>
      </c>
      <c r="D125" s="391"/>
      <c r="E125" s="380"/>
      <c r="F125" s="380"/>
      <c r="G125" s="310" t="s">
        <v>603</v>
      </c>
      <c r="H125" s="311"/>
      <c r="I125" s="310"/>
      <c r="J125" s="364" t="s">
        <v>1237</v>
      </c>
    </row>
    <row r="126" spans="1:11" s="371" customFormat="1" hidden="1" outlineLevel="1">
      <c r="A126" s="390"/>
      <c r="B126" s="352">
        <v>13</v>
      </c>
      <c r="C126" s="353" t="s">
        <v>928</v>
      </c>
      <c r="D126" s="391"/>
      <c r="E126" s="380"/>
      <c r="F126" s="380"/>
      <c r="G126" s="310" t="s">
        <v>603</v>
      </c>
      <c r="H126" s="311"/>
      <c r="I126" s="310"/>
      <c r="J126" s="366"/>
    </row>
    <row r="127" spans="1:11" s="371" customFormat="1" hidden="1" outlineLevel="1">
      <c r="A127" s="390"/>
      <c r="B127" s="352">
        <v>14</v>
      </c>
      <c r="C127" s="373" t="s">
        <v>929</v>
      </c>
      <c r="D127" s="391"/>
      <c r="E127" s="380"/>
      <c r="F127" s="380"/>
      <c r="G127" s="310" t="s">
        <v>603</v>
      </c>
      <c r="H127" s="311"/>
      <c r="I127" s="310"/>
      <c r="J127" s="366"/>
    </row>
    <row r="128" spans="1:11" s="371" customFormat="1" hidden="1" outlineLevel="1">
      <c r="A128" s="390"/>
      <c r="B128" s="352">
        <v>15</v>
      </c>
      <c r="C128" s="373" t="s">
        <v>930</v>
      </c>
      <c r="D128" s="391"/>
      <c r="E128" s="380"/>
      <c r="F128" s="380"/>
      <c r="G128" s="310" t="s">
        <v>603</v>
      </c>
      <c r="H128" s="311"/>
      <c r="I128" s="310"/>
      <c r="J128" s="366"/>
    </row>
    <row r="129" spans="1:11" s="371" customFormat="1" hidden="1" outlineLevel="1">
      <c r="A129" s="390"/>
      <c r="B129" s="354">
        <v>16</v>
      </c>
      <c r="C129" s="359" t="s">
        <v>630</v>
      </c>
      <c r="D129" s="391"/>
      <c r="E129" s="380"/>
      <c r="F129" s="380"/>
      <c r="G129" s="310" t="s">
        <v>603</v>
      </c>
      <c r="H129" s="311"/>
      <c r="I129" s="310"/>
      <c r="J129" s="366"/>
    </row>
    <row r="130" spans="1:11" s="371" customFormat="1" hidden="1" outlineLevel="1">
      <c r="A130" s="390"/>
      <c r="B130" s="358" t="s">
        <v>637</v>
      </c>
      <c r="C130" s="374" t="s">
        <v>631</v>
      </c>
      <c r="D130" s="391"/>
      <c r="E130" s="380"/>
      <c r="F130" s="380"/>
      <c r="G130" s="310" t="s">
        <v>603</v>
      </c>
      <c r="H130" s="311"/>
      <c r="I130" s="310"/>
      <c r="J130" s="366"/>
    </row>
    <row r="131" spans="1:11" s="371" customFormat="1" collapsed="1">
      <c r="A131" s="333" t="s">
        <v>23</v>
      </c>
      <c r="B131" s="333" t="s">
        <v>931</v>
      </c>
      <c r="C131" s="332" t="s">
        <v>932</v>
      </c>
      <c r="D131" s="334" t="s">
        <v>604</v>
      </c>
      <c r="E131" s="294" t="s">
        <v>596</v>
      </c>
      <c r="F131" s="334" t="str">
        <f>IF(H131&gt;0,"F",IF(I131&gt;0,"A",IF(G131&gt;0,"P","NT")))</f>
        <v>P</v>
      </c>
      <c r="G131" s="334">
        <f>COUNTA(G132:G147)</f>
        <v>16</v>
      </c>
      <c r="H131" s="334">
        <f>COUNTA(H132:H147)</f>
        <v>0</v>
      </c>
      <c r="I131" s="334">
        <f>COUNTA(I132:I147)</f>
        <v>0</v>
      </c>
      <c r="J131" s="365">
        <f>COUNTA(J132:J147)</f>
        <v>2</v>
      </c>
      <c r="K131" s="291"/>
    </row>
    <row r="132" spans="1:11" s="371" customFormat="1" ht="30" hidden="1" outlineLevel="1">
      <c r="A132" s="292"/>
      <c r="B132" s="354" t="s">
        <v>446</v>
      </c>
      <c r="C132" s="348" t="s">
        <v>886</v>
      </c>
      <c r="D132" s="391"/>
      <c r="E132" s="293"/>
      <c r="F132" s="293"/>
      <c r="G132" s="312" t="s">
        <v>603</v>
      </c>
      <c r="H132" s="312"/>
      <c r="I132" s="313"/>
      <c r="J132" s="345"/>
      <c r="K132" s="291"/>
    </row>
    <row r="133" spans="1:11" s="371" customFormat="1" hidden="1" outlineLevel="1">
      <c r="A133" s="292"/>
      <c r="B133" s="354">
        <v>1</v>
      </c>
      <c r="C133" s="353" t="s">
        <v>621</v>
      </c>
      <c r="D133" s="391"/>
      <c r="E133" s="293"/>
      <c r="F133" s="293"/>
      <c r="G133" s="312" t="s">
        <v>603</v>
      </c>
      <c r="H133" s="312"/>
      <c r="I133" s="313"/>
      <c r="J133" s="345"/>
      <c r="K133" s="291"/>
    </row>
    <row r="134" spans="1:11" s="371" customFormat="1" hidden="1" outlineLevel="1">
      <c r="A134" s="292"/>
      <c r="B134" s="354">
        <v>2</v>
      </c>
      <c r="C134" s="359" t="s">
        <v>905</v>
      </c>
      <c r="D134" s="391"/>
      <c r="E134" s="293"/>
      <c r="F134" s="293"/>
      <c r="G134" s="312" t="s">
        <v>603</v>
      </c>
      <c r="H134" s="312"/>
      <c r="I134" s="313"/>
      <c r="J134" s="345"/>
      <c r="K134" s="291"/>
    </row>
    <row r="135" spans="1:11" s="371" customFormat="1" ht="30" hidden="1" outlineLevel="1">
      <c r="A135" s="292"/>
      <c r="B135" s="354">
        <v>3</v>
      </c>
      <c r="C135" s="394" t="s">
        <v>933</v>
      </c>
      <c r="D135" s="391"/>
      <c r="E135" s="293"/>
      <c r="F135" s="293"/>
      <c r="G135" s="312" t="s">
        <v>603</v>
      </c>
      <c r="H135" s="312"/>
      <c r="I135" s="313"/>
      <c r="J135" s="345"/>
      <c r="K135" s="291"/>
    </row>
    <row r="136" spans="1:11" s="371" customFormat="1" hidden="1" outlineLevel="1">
      <c r="A136" s="292"/>
      <c r="B136" s="354">
        <v>4</v>
      </c>
      <c r="C136" s="394" t="s">
        <v>934</v>
      </c>
      <c r="D136" s="391"/>
      <c r="E136" s="293"/>
      <c r="F136" s="293"/>
      <c r="G136" s="312" t="s">
        <v>603</v>
      </c>
      <c r="H136" s="312"/>
      <c r="I136" s="313"/>
      <c r="J136" s="345"/>
      <c r="K136" s="291"/>
    </row>
    <row r="137" spans="1:11" s="371" customFormat="1" hidden="1" outlineLevel="1">
      <c r="A137" s="292"/>
      <c r="B137" s="354">
        <v>5</v>
      </c>
      <c r="C137" s="394" t="s">
        <v>935</v>
      </c>
      <c r="D137" s="391"/>
      <c r="E137" s="293"/>
      <c r="F137" s="293"/>
      <c r="G137" s="312" t="s">
        <v>603</v>
      </c>
      <c r="H137" s="312"/>
      <c r="I137" s="313"/>
      <c r="J137" s="345"/>
      <c r="K137" s="291"/>
    </row>
    <row r="138" spans="1:11" s="371" customFormat="1" hidden="1" outlineLevel="1">
      <c r="A138" s="292"/>
      <c r="B138" s="354">
        <v>6</v>
      </c>
      <c r="C138" s="394" t="s">
        <v>913</v>
      </c>
      <c r="D138" s="391"/>
      <c r="E138" s="293"/>
      <c r="F138" s="293"/>
      <c r="G138" s="312" t="s">
        <v>603</v>
      </c>
      <c r="H138" s="312"/>
      <c r="I138" s="313"/>
      <c r="J138" s="345"/>
      <c r="K138" s="396" t="s">
        <v>979</v>
      </c>
    </row>
    <row r="139" spans="1:11" s="371" customFormat="1" ht="45" hidden="1" outlineLevel="1">
      <c r="A139" s="292"/>
      <c r="B139" s="354">
        <v>7</v>
      </c>
      <c r="C139" s="394" t="s">
        <v>936</v>
      </c>
      <c r="D139" s="391"/>
      <c r="E139" s="293"/>
      <c r="F139" s="293"/>
      <c r="G139" s="312" t="s">
        <v>603</v>
      </c>
      <c r="H139" s="312"/>
      <c r="I139" s="313"/>
      <c r="J139" s="345" t="s">
        <v>1238</v>
      </c>
      <c r="K139" s="396"/>
    </row>
    <row r="140" spans="1:11" s="371" customFormat="1" hidden="1" outlineLevel="1">
      <c r="A140" s="292"/>
      <c r="B140" s="354">
        <v>5</v>
      </c>
      <c r="C140" s="394" t="s">
        <v>937</v>
      </c>
      <c r="D140" s="391"/>
      <c r="E140" s="293"/>
      <c r="F140" s="293"/>
      <c r="G140" s="312" t="s">
        <v>603</v>
      </c>
      <c r="H140" s="312"/>
      <c r="I140" s="313"/>
      <c r="J140" s="345"/>
      <c r="K140" s="291"/>
    </row>
    <row r="141" spans="1:11" s="371" customFormat="1" hidden="1" outlineLevel="1">
      <c r="A141" s="292"/>
      <c r="B141" s="354">
        <v>5</v>
      </c>
      <c r="C141" s="394" t="s">
        <v>913</v>
      </c>
      <c r="D141" s="391"/>
      <c r="E141" s="293"/>
      <c r="F141" s="293"/>
      <c r="G141" s="312" t="s">
        <v>603</v>
      </c>
      <c r="H141" s="312"/>
      <c r="I141" s="313"/>
      <c r="J141" s="345"/>
      <c r="K141" s="291"/>
    </row>
    <row r="142" spans="1:11" s="371" customFormat="1" ht="75" hidden="1" outlineLevel="1">
      <c r="A142" s="292"/>
      <c r="B142" s="354" t="s">
        <v>638</v>
      </c>
      <c r="C142" s="394" t="s">
        <v>938</v>
      </c>
      <c r="D142" s="391"/>
      <c r="E142" s="293"/>
      <c r="F142" s="293"/>
      <c r="G142" s="312" t="s">
        <v>603</v>
      </c>
      <c r="H142" s="312"/>
      <c r="I142" s="313"/>
      <c r="J142" s="395" t="s">
        <v>1239</v>
      </c>
      <c r="K142" s="291"/>
    </row>
    <row r="143" spans="1:11" s="371" customFormat="1" ht="90" hidden="1" outlineLevel="1">
      <c r="A143" s="292"/>
      <c r="B143" s="354" t="s">
        <v>639</v>
      </c>
      <c r="C143" s="394" t="s">
        <v>939</v>
      </c>
      <c r="D143" s="391"/>
      <c r="E143" s="293"/>
      <c r="F143" s="293"/>
      <c r="G143" s="312" t="s">
        <v>603</v>
      </c>
      <c r="H143" s="312"/>
      <c r="I143" s="313"/>
      <c r="J143" s="395"/>
      <c r="K143" s="291"/>
    </row>
    <row r="144" spans="1:11" s="371" customFormat="1" hidden="1" outlineLevel="1">
      <c r="A144" s="292"/>
      <c r="B144" s="354">
        <v>8</v>
      </c>
      <c r="C144" s="353" t="s">
        <v>882</v>
      </c>
      <c r="D144" s="391"/>
      <c r="E144" s="293"/>
      <c r="F144" s="293"/>
      <c r="G144" s="312" t="s">
        <v>603</v>
      </c>
      <c r="H144" s="312"/>
      <c r="I144" s="313"/>
      <c r="J144" s="345"/>
      <c r="K144" s="291"/>
    </row>
    <row r="145" spans="1:11" s="371" customFormat="1" hidden="1" outlineLevel="1">
      <c r="A145" s="292"/>
      <c r="B145" s="349">
        <v>9</v>
      </c>
      <c r="C145" s="353" t="s">
        <v>940</v>
      </c>
      <c r="D145" s="391"/>
      <c r="E145" s="293"/>
      <c r="F145" s="293"/>
      <c r="G145" s="312" t="s">
        <v>603</v>
      </c>
      <c r="H145" s="312"/>
      <c r="I145" s="313"/>
      <c r="J145" s="345"/>
      <c r="K145" s="291"/>
    </row>
    <row r="146" spans="1:11" s="371" customFormat="1" hidden="1" outlineLevel="1">
      <c r="A146" s="292"/>
      <c r="B146" s="349">
        <v>10</v>
      </c>
      <c r="C146" s="373" t="s">
        <v>941</v>
      </c>
      <c r="D146" s="391"/>
      <c r="E146" s="293"/>
      <c r="F146" s="293"/>
      <c r="G146" s="312" t="s">
        <v>603</v>
      </c>
      <c r="H146" s="312"/>
      <c r="I146" s="313"/>
      <c r="J146" s="345"/>
      <c r="K146" s="291"/>
    </row>
    <row r="147" spans="1:11" s="371" customFormat="1" hidden="1" outlineLevel="1">
      <c r="A147" s="292"/>
      <c r="B147" s="349">
        <v>11</v>
      </c>
      <c r="C147" s="359" t="s">
        <v>630</v>
      </c>
      <c r="D147" s="391"/>
      <c r="E147" s="293"/>
      <c r="F147" s="293"/>
      <c r="G147" s="312" t="s">
        <v>603</v>
      </c>
      <c r="H147" s="312"/>
      <c r="I147" s="313"/>
      <c r="J147" s="345"/>
      <c r="K147" s="291"/>
    </row>
    <row r="148" spans="1:11" s="423" customFormat="1">
      <c r="A148" s="414"/>
      <c r="B148" s="415"/>
      <c r="C148" s="416"/>
      <c r="D148" s="417"/>
      <c r="E148" s="418"/>
      <c r="F148" s="418"/>
      <c r="G148" s="419"/>
      <c r="H148" s="419"/>
      <c r="I148" s="420"/>
      <c r="J148" s="421"/>
      <c r="K148" s="422"/>
    </row>
    <row r="149" spans="1:11" s="276" customFormat="1" collapsed="1">
      <c r="A149" s="333" t="s">
        <v>23</v>
      </c>
      <c r="B149" s="333" t="s">
        <v>942</v>
      </c>
      <c r="C149" s="332" t="s">
        <v>943</v>
      </c>
      <c r="D149" s="334" t="s">
        <v>604</v>
      </c>
      <c r="E149" s="286" t="s">
        <v>596</v>
      </c>
      <c r="F149" s="334" t="str">
        <f>IF(H149&gt;0,"F",IF(I149&gt;0,"A",IF(G149&gt;0,"P","NT")))</f>
        <v>P</v>
      </c>
      <c r="G149" s="334">
        <f>COUNTA(G150:G155)</f>
        <v>6</v>
      </c>
      <c r="H149" s="334">
        <f>COUNTA(H150:H155)</f>
        <v>0</v>
      </c>
      <c r="I149" s="334">
        <f>COUNTA(I150:I155)</f>
        <v>0</v>
      </c>
      <c r="J149" s="365">
        <f>COUNTA(J150:J155)</f>
        <v>0</v>
      </c>
    </row>
    <row r="150" spans="1:11" s="371" customFormat="1" hidden="1" outlineLevel="1">
      <c r="A150" s="390"/>
      <c r="B150" s="351" t="s">
        <v>598</v>
      </c>
      <c r="C150" s="348" t="s">
        <v>944</v>
      </c>
      <c r="D150" s="391"/>
      <c r="E150" s="380"/>
      <c r="F150" s="380"/>
      <c r="G150" s="310" t="s">
        <v>603</v>
      </c>
      <c r="H150" s="311"/>
      <c r="I150" s="310"/>
      <c r="J150" s="366"/>
    </row>
    <row r="151" spans="1:11" s="371" customFormat="1" ht="30" hidden="1" customHeight="1" outlineLevel="1">
      <c r="A151" s="390"/>
      <c r="B151" s="351" t="s">
        <v>599</v>
      </c>
      <c r="C151" s="348" t="s">
        <v>620</v>
      </c>
      <c r="D151" s="391"/>
      <c r="E151" s="380"/>
      <c r="F151" s="380"/>
      <c r="G151" s="310" t="s">
        <v>603</v>
      </c>
      <c r="H151" s="311"/>
      <c r="I151" s="310"/>
      <c r="J151" s="366"/>
    </row>
    <row r="152" spans="1:11" s="371" customFormat="1" ht="30" hidden="1" customHeight="1" outlineLevel="1">
      <c r="A152" s="390"/>
      <c r="B152" s="382" t="s">
        <v>634</v>
      </c>
      <c r="C152" s="348" t="s">
        <v>868</v>
      </c>
      <c r="D152" s="391"/>
      <c r="E152" s="380"/>
      <c r="F152" s="380"/>
      <c r="G152" s="310" t="s">
        <v>603</v>
      </c>
      <c r="H152" s="311"/>
      <c r="I152" s="310"/>
      <c r="J152" s="366"/>
    </row>
    <row r="153" spans="1:11" s="371" customFormat="1" hidden="1" outlineLevel="1">
      <c r="A153" s="390"/>
      <c r="B153" s="352">
        <v>1</v>
      </c>
      <c r="C153" s="353" t="s">
        <v>621</v>
      </c>
      <c r="D153" s="391"/>
      <c r="E153" s="380"/>
      <c r="F153" s="380"/>
      <c r="G153" s="310" t="s">
        <v>603</v>
      </c>
      <c r="H153" s="311"/>
      <c r="I153" s="310"/>
      <c r="J153" s="366"/>
    </row>
    <row r="154" spans="1:11" s="371" customFormat="1" hidden="1" outlineLevel="1">
      <c r="A154" s="390"/>
      <c r="B154" s="352">
        <v>2</v>
      </c>
      <c r="C154" s="353" t="s">
        <v>945</v>
      </c>
      <c r="D154" s="391"/>
      <c r="E154" s="380"/>
      <c r="F154" s="380"/>
      <c r="G154" s="310" t="s">
        <v>603</v>
      </c>
      <c r="H154" s="311"/>
      <c r="I154" s="310"/>
      <c r="J154" s="366"/>
    </row>
    <row r="155" spans="1:11" s="371" customFormat="1" hidden="1" outlineLevel="1">
      <c r="A155" s="390"/>
      <c r="B155" s="352" t="s">
        <v>635</v>
      </c>
      <c r="C155" s="353" t="s">
        <v>631</v>
      </c>
      <c r="D155" s="391"/>
      <c r="E155" s="380"/>
      <c r="F155" s="380"/>
      <c r="G155" s="310" t="s">
        <v>603</v>
      </c>
      <c r="H155" s="311"/>
      <c r="I155" s="310"/>
      <c r="J155" s="366"/>
    </row>
    <row r="156" spans="1:11" s="276" customFormat="1" collapsed="1">
      <c r="A156" s="333" t="s">
        <v>23</v>
      </c>
      <c r="B156" s="333" t="s">
        <v>946</v>
      </c>
      <c r="C156" s="332" t="s">
        <v>947</v>
      </c>
      <c r="D156" s="334" t="s">
        <v>604</v>
      </c>
      <c r="E156" s="286" t="s">
        <v>596</v>
      </c>
      <c r="F156" s="334" t="str">
        <f>IF(H156&gt;0,"F",IF(I156&gt;0,"A",IF(G156&gt;0,"P","NT")))</f>
        <v>P</v>
      </c>
      <c r="G156" s="334">
        <f>COUNTA(G157:G160)</f>
        <v>4</v>
      </c>
      <c r="H156" s="334">
        <f>COUNTA(H157:H160)</f>
        <v>0</v>
      </c>
      <c r="I156" s="334">
        <f>COUNTA(I157:I160)</f>
        <v>0</v>
      </c>
      <c r="J156" s="365">
        <f>COUNTA(J157:J160)</f>
        <v>0</v>
      </c>
    </row>
    <row r="157" spans="1:11" s="371" customFormat="1" ht="30" hidden="1" outlineLevel="1">
      <c r="A157" s="390"/>
      <c r="B157" s="354" t="s">
        <v>446</v>
      </c>
      <c r="C157" s="348" t="s">
        <v>886</v>
      </c>
      <c r="D157" s="391"/>
      <c r="E157" s="380"/>
      <c r="F157" s="380"/>
      <c r="G157" s="310" t="s">
        <v>603</v>
      </c>
      <c r="H157" s="311"/>
      <c r="I157" s="310"/>
      <c r="J157" s="366"/>
    </row>
    <row r="158" spans="1:11" s="371" customFormat="1" hidden="1" outlineLevel="1">
      <c r="A158" s="390"/>
      <c r="B158" s="354">
        <v>1</v>
      </c>
      <c r="C158" s="353" t="s">
        <v>621</v>
      </c>
      <c r="D158" s="391"/>
      <c r="E158" s="380"/>
      <c r="F158" s="380"/>
      <c r="G158" s="310" t="s">
        <v>603</v>
      </c>
      <c r="H158" s="311"/>
      <c r="I158" s="310"/>
      <c r="J158" s="366"/>
    </row>
    <row r="159" spans="1:11" s="371" customFormat="1" hidden="1" outlineLevel="1">
      <c r="A159" s="390"/>
      <c r="B159" s="354">
        <v>2</v>
      </c>
      <c r="C159" s="353" t="s">
        <v>922</v>
      </c>
      <c r="D159" s="391"/>
      <c r="E159" s="380"/>
      <c r="F159" s="380"/>
      <c r="G159" s="310" t="s">
        <v>603</v>
      </c>
      <c r="H159" s="311"/>
      <c r="I159" s="310"/>
      <c r="J159" s="366"/>
    </row>
    <row r="160" spans="1:11" s="371" customFormat="1" hidden="1" outlineLevel="1">
      <c r="A160" s="390"/>
      <c r="B160" s="358" t="s">
        <v>636</v>
      </c>
      <c r="C160" s="374" t="s">
        <v>631</v>
      </c>
      <c r="D160" s="391"/>
      <c r="E160" s="380"/>
      <c r="F160" s="380"/>
      <c r="G160" s="310" t="s">
        <v>603</v>
      </c>
      <c r="H160" s="311"/>
      <c r="I160" s="310"/>
      <c r="J160" s="366"/>
    </row>
    <row r="161" spans="1:11" s="371" customFormat="1" collapsed="1">
      <c r="A161" s="333" t="s">
        <v>23</v>
      </c>
      <c r="B161" s="333" t="s">
        <v>948</v>
      </c>
      <c r="C161" s="332" t="s">
        <v>949</v>
      </c>
      <c r="D161" s="334" t="s">
        <v>604</v>
      </c>
      <c r="E161" s="288" t="s">
        <v>596</v>
      </c>
      <c r="F161" s="334" t="str">
        <f>IF(H161&gt;0,"F",IF(I161&gt;0,"A",IF(G161&gt;0,"P","NT")))</f>
        <v>P</v>
      </c>
      <c r="G161" s="334">
        <f>COUNTA(G162:G177)</f>
        <v>16</v>
      </c>
      <c r="H161" s="334">
        <f>COUNTA(H162:H177)</f>
        <v>0</v>
      </c>
      <c r="I161" s="334">
        <f>COUNTA(I162:I177)</f>
        <v>0</v>
      </c>
      <c r="J161" s="365">
        <f>COUNTA(J162:J177)</f>
        <v>1</v>
      </c>
    </row>
    <row r="162" spans="1:11" s="371" customFormat="1" ht="30" hidden="1" outlineLevel="1">
      <c r="A162" s="290"/>
      <c r="B162" s="354" t="s">
        <v>446</v>
      </c>
      <c r="C162" s="348" t="s">
        <v>894</v>
      </c>
      <c r="D162" s="391"/>
      <c r="E162" s="392"/>
      <c r="F162" s="289"/>
      <c r="G162" s="314" t="s">
        <v>603</v>
      </c>
      <c r="H162" s="315"/>
      <c r="I162" s="316"/>
      <c r="J162" s="364"/>
    </row>
    <row r="163" spans="1:11" s="371" customFormat="1" hidden="1" outlineLevel="1">
      <c r="A163" s="290"/>
      <c r="B163" s="354">
        <v>1</v>
      </c>
      <c r="C163" s="353" t="s">
        <v>621</v>
      </c>
      <c r="D163" s="391"/>
      <c r="E163" s="392"/>
      <c r="F163" s="289"/>
      <c r="G163" s="314" t="s">
        <v>603</v>
      </c>
      <c r="H163" s="315"/>
      <c r="I163" s="316"/>
      <c r="J163" s="364"/>
      <c r="K163" s="287"/>
    </row>
    <row r="164" spans="1:11" s="371" customFormat="1" ht="30" hidden="1" outlineLevel="1">
      <c r="A164" s="290"/>
      <c r="B164" s="354">
        <v>2</v>
      </c>
      <c r="C164" s="353" t="s">
        <v>887</v>
      </c>
      <c r="D164" s="391"/>
      <c r="E164" s="392"/>
      <c r="F164" s="289"/>
      <c r="G164" s="314" t="s">
        <v>603</v>
      </c>
      <c r="H164" s="315"/>
      <c r="I164" s="316"/>
      <c r="J164" s="364"/>
      <c r="K164" s="287"/>
    </row>
    <row r="165" spans="1:11" s="371" customFormat="1" hidden="1" outlineLevel="1">
      <c r="A165" s="290"/>
      <c r="B165" s="354">
        <v>3</v>
      </c>
      <c r="C165" s="357" t="s">
        <v>888</v>
      </c>
      <c r="D165" s="391"/>
      <c r="E165" s="392"/>
      <c r="F165" s="289"/>
      <c r="G165" s="314" t="s">
        <v>603</v>
      </c>
      <c r="H165" s="315"/>
      <c r="I165" s="316"/>
      <c r="J165" s="364"/>
      <c r="K165" s="287"/>
    </row>
    <row r="166" spans="1:11" s="371" customFormat="1" hidden="1" outlineLevel="1">
      <c r="A166" s="290"/>
      <c r="B166" s="354">
        <v>4</v>
      </c>
      <c r="C166" s="348" t="s">
        <v>950</v>
      </c>
      <c r="D166" s="391"/>
      <c r="E166" s="392"/>
      <c r="F166" s="289"/>
      <c r="G166" s="314" t="s">
        <v>603</v>
      </c>
      <c r="H166" s="315"/>
      <c r="I166" s="316"/>
      <c r="J166" s="364"/>
      <c r="K166" s="287"/>
    </row>
    <row r="167" spans="1:11" s="371" customFormat="1" hidden="1" outlineLevel="1">
      <c r="A167" s="290"/>
      <c r="B167" s="354">
        <v>5</v>
      </c>
      <c r="C167" s="348" t="s">
        <v>951</v>
      </c>
      <c r="D167" s="391"/>
      <c r="E167" s="392"/>
      <c r="F167" s="289"/>
      <c r="G167" s="314" t="s">
        <v>603</v>
      </c>
      <c r="H167" s="315"/>
      <c r="I167" s="316"/>
      <c r="J167" s="364"/>
      <c r="K167" s="287"/>
    </row>
    <row r="168" spans="1:11" s="371" customFormat="1" hidden="1" outlineLevel="1">
      <c r="A168" s="290"/>
      <c r="B168" s="354">
        <v>6</v>
      </c>
      <c r="C168" s="348" t="s">
        <v>952</v>
      </c>
      <c r="D168" s="391"/>
      <c r="E168" s="392"/>
      <c r="F168" s="289"/>
      <c r="G168" s="314" t="s">
        <v>603</v>
      </c>
      <c r="H168" s="315"/>
      <c r="I168" s="316"/>
      <c r="J168" s="364"/>
      <c r="K168" s="287"/>
    </row>
    <row r="169" spans="1:11" s="371" customFormat="1" hidden="1" outlineLevel="1">
      <c r="A169" s="290"/>
      <c r="B169" s="354">
        <v>7</v>
      </c>
      <c r="C169" s="348" t="s">
        <v>926</v>
      </c>
      <c r="D169" s="391"/>
      <c r="E169" s="392"/>
      <c r="F169" s="289"/>
      <c r="G169" s="314" t="s">
        <v>603</v>
      </c>
      <c r="H169" s="315"/>
      <c r="I169" s="316"/>
      <c r="J169" s="364"/>
      <c r="K169" s="287"/>
    </row>
    <row r="170" spans="1:11" s="371" customFormat="1" hidden="1" outlineLevel="1">
      <c r="A170" s="290"/>
      <c r="B170" s="354">
        <v>8</v>
      </c>
      <c r="C170" s="348" t="s">
        <v>953</v>
      </c>
      <c r="D170" s="391"/>
      <c r="E170" s="392"/>
      <c r="F170" s="289"/>
      <c r="G170" s="314" t="s">
        <v>603</v>
      </c>
      <c r="H170" s="315"/>
      <c r="I170" s="316"/>
      <c r="J170" s="364"/>
      <c r="K170" s="287"/>
    </row>
    <row r="171" spans="1:11" s="371" customFormat="1" hidden="1" outlineLevel="1">
      <c r="A171" s="290"/>
      <c r="B171" s="354">
        <v>9</v>
      </c>
      <c r="C171" s="348" t="s">
        <v>898</v>
      </c>
      <c r="D171" s="391"/>
      <c r="E171" s="392"/>
      <c r="F171" s="289"/>
      <c r="G171" s="314" t="s">
        <v>603</v>
      </c>
      <c r="H171" s="315"/>
      <c r="I171" s="316"/>
      <c r="J171" s="364"/>
      <c r="K171" s="287"/>
    </row>
    <row r="172" spans="1:11" s="371" customFormat="1" hidden="1" outlineLevel="1">
      <c r="A172" s="290"/>
      <c r="B172" s="354">
        <v>10</v>
      </c>
      <c r="C172" s="348" t="s">
        <v>899</v>
      </c>
      <c r="D172" s="391"/>
      <c r="E172" s="392"/>
      <c r="F172" s="289"/>
      <c r="G172" s="314" t="s">
        <v>603</v>
      </c>
      <c r="H172" s="315"/>
      <c r="I172" s="316"/>
      <c r="J172" s="364"/>
      <c r="K172" s="287"/>
    </row>
    <row r="173" spans="1:11" s="371" customFormat="1" hidden="1" outlineLevel="1">
      <c r="A173" s="290"/>
      <c r="B173" s="354">
        <v>11</v>
      </c>
      <c r="C173" s="348" t="s">
        <v>954</v>
      </c>
      <c r="D173" s="391"/>
      <c r="E173" s="392"/>
      <c r="F173" s="289"/>
      <c r="G173" s="314" t="s">
        <v>603</v>
      </c>
      <c r="H173" s="315"/>
      <c r="I173" s="316"/>
      <c r="J173" s="364"/>
      <c r="K173" s="287"/>
    </row>
    <row r="174" spans="1:11" s="371" customFormat="1" ht="45" hidden="1" outlineLevel="1">
      <c r="A174" s="390"/>
      <c r="B174" s="352">
        <v>12</v>
      </c>
      <c r="C174" s="353" t="s">
        <v>882</v>
      </c>
      <c r="D174" s="391"/>
      <c r="E174" s="380"/>
      <c r="F174" s="380"/>
      <c r="G174" s="310" t="s">
        <v>603</v>
      </c>
      <c r="H174" s="311"/>
      <c r="I174" s="310"/>
      <c r="J174" s="366" t="s">
        <v>1240</v>
      </c>
    </row>
    <row r="175" spans="1:11" s="371" customFormat="1" hidden="1" outlineLevel="1">
      <c r="A175" s="390"/>
      <c r="B175" s="352">
        <v>13</v>
      </c>
      <c r="C175" s="353" t="s">
        <v>902</v>
      </c>
      <c r="D175" s="391"/>
      <c r="E175" s="380"/>
      <c r="F175" s="380"/>
      <c r="G175" s="310" t="s">
        <v>603</v>
      </c>
      <c r="H175" s="311"/>
      <c r="I175" s="310"/>
      <c r="J175" s="366"/>
    </row>
    <row r="176" spans="1:11" s="371" customFormat="1" hidden="1" outlineLevel="1">
      <c r="A176" s="390"/>
      <c r="B176" s="354">
        <v>14</v>
      </c>
      <c r="C176" s="359" t="s">
        <v>630</v>
      </c>
      <c r="D176" s="391"/>
      <c r="E176" s="380"/>
      <c r="F176" s="380"/>
      <c r="G176" s="310" t="s">
        <v>603</v>
      </c>
      <c r="H176" s="311"/>
      <c r="I176" s="310"/>
      <c r="J176" s="366"/>
    </row>
    <row r="177" spans="1:11" s="371" customFormat="1" hidden="1" outlineLevel="1">
      <c r="A177" s="390"/>
      <c r="B177" s="358" t="s">
        <v>637</v>
      </c>
      <c r="C177" s="374" t="s">
        <v>631</v>
      </c>
      <c r="D177" s="391"/>
      <c r="E177" s="380"/>
      <c r="F177" s="380"/>
      <c r="G177" s="310" t="s">
        <v>603</v>
      </c>
      <c r="H177" s="311"/>
      <c r="I177" s="310"/>
      <c r="J177" s="366"/>
    </row>
    <row r="178" spans="1:11" s="371" customFormat="1" collapsed="1">
      <c r="A178" s="333" t="s">
        <v>23</v>
      </c>
      <c r="B178" s="333" t="s">
        <v>955</v>
      </c>
      <c r="C178" s="332" t="s">
        <v>956</v>
      </c>
      <c r="D178" s="334" t="s">
        <v>604</v>
      </c>
      <c r="E178" s="294" t="s">
        <v>596</v>
      </c>
      <c r="F178" s="334" t="str">
        <f>IF(H178&gt;0,"F",IF(I178&gt;0,"A",IF(G178&gt;0,"P","NT")))</f>
        <v>P</v>
      </c>
      <c r="G178" s="334">
        <f>COUNTA(G179:G190)</f>
        <v>12</v>
      </c>
      <c r="H178" s="334">
        <f>COUNTA(H179:H190)</f>
        <v>0</v>
      </c>
      <c r="I178" s="334">
        <f>COUNTA(I179:I190)</f>
        <v>0</v>
      </c>
      <c r="J178" s="365">
        <f>COUNTA(J179:J190)</f>
        <v>0</v>
      </c>
      <c r="K178" s="291"/>
    </row>
    <row r="179" spans="1:11" s="371" customFormat="1" ht="30" hidden="1" outlineLevel="1">
      <c r="A179" s="292"/>
      <c r="B179" s="354" t="s">
        <v>446</v>
      </c>
      <c r="C179" s="348" t="s">
        <v>886</v>
      </c>
      <c r="D179" s="391"/>
      <c r="E179" s="293"/>
      <c r="F179" s="293"/>
      <c r="G179" s="312" t="s">
        <v>603</v>
      </c>
      <c r="H179" s="312"/>
      <c r="I179" s="313"/>
      <c r="J179" s="345"/>
      <c r="K179" s="291"/>
    </row>
    <row r="180" spans="1:11" s="371" customFormat="1" hidden="1" outlineLevel="1">
      <c r="A180" s="292"/>
      <c r="B180" s="354">
        <v>1</v>
      </c>
      <c r="C180" s="353" t="s">
        <v>621</v>
      </c>
      <c r="D180" s="391"/>
      <c r="E180" s="293"/>
      <c r="F180" s="293"/>
      <c r="G180" s="312" t="s">
        <v>603</v>
      </c>
      <c r="H180" s="312"/>
      <c r="I180" s="313"/>
      <c r="J180" s="345"/>
      <c r="K180" s="291"/>
    </row>
    <row r="181" spans="1:11" s="371" customFormat="1" hidden="1" outlineLevel="1">
      <c r="A181" s="292"/>
      <c r="B181" s="354">
        <v>2</v>
      </c>
      <c r="C181" s="359" t="s">
        <v>905</v>
      </c>
      <c r="D181" s="391"/>
      <c r="E181" s="293"/>
      <c r="F181" s="293"/>
      <c r="G181" s="312" t="s">
        <v>603</v>
      </c>
      <c r="H181" s="312"/>
      <c r="I181" s="313"/>
      <c r="J181" s="345"/>
      <c r="K181" s="291"/>
    </row>
    <row r="182" spans="1:11" s="371" customFormat="1" ht="30" hidden="1" outlineLevel="1">
      <c r="A182" s="292"/>
      <c r="B182" s="354">
        <v>3</v>
      </c>
      <c r="C182" s="394" t="s">
        <v>957</v>
      </c>
      <c r="D182" s="391"/>
      <c r="E182" s="293"/>
      <c r="F182" s="293"/>
      <c r="G182" s="312" t="s">
        <v>603</v>
      </c>
      <c r="H182" s="312"/>
      <c r="I182" s="313"/>
      <c r="J182" s="345"/>
      <c r="K182" s="291"/>
    </row>
    <row r="183" spans="1:11" s="371" customFormat="1" hidden="1" outlineLevel="1">
      <c r="A183" s="292"/>
      <c r="B183" s="354">
        <v>4</v>
      </c>
      <c r="C183" s="394" t="s">
        <v>907</v>
      </c>
      <c r="D183" s="391"/>
      <c r="E183" s="293"/>
      <c r="F183" s="293"/>
      <c r="G183" s="312" t="s">
        <v>603</v>
      </c>
      <c r="H183" s="312"/>
      <c r="I183" s="313"/>
      <c r="J183" s="345"/>
      <c r="K183" s="291"/>
    </row>
    <row r="184" spans="1:11" s="371" customFormat="1" hidden="1" outlineLevel="1">
      <c r="A184" s="292"/>
      <c r="B184" s="354">
        <v>5</v>
      </c>
      <c r="C184" s="394" t="s">
        <v>958</v>
      </c>
      <c r="D184" s="391"/>
      <c r="E184" s="293"/>
      <c r="F184" s="293"/>
      <c r="G184" s="312" t="s">
        <v>603</v>
      </c>
      <c r="H184" s="312"/>
      <c r="I184" s="313"/>
      <c r="J184" s="345"/>
      <c r="K184" s="291"/>
    </row>
    <row r="185" spans="1:11" s="371" customFormat="1" ht="120" hidden="1" outlineLevel="1">
      <c r="A185" s="292"/>
      <c r="B185" s="354" t="s">
        <v>638</v>
      </c>
      <c r="C185" s="394" t="s">
        <v>959</v>
      </c>
      <c r="D185" s="391"/>
      <c r="E185" s="293"/>
      <c r="F185" s="293"/>
      <c r="G185" s="312" t="s">
        <v>603</v>
      </c>
      <c r="H185" s="312"/>
      <c r="I185" s="313"/>
      <c r="J185" s="395"/>
      <c r="K185" s="291"/>
    </row>
    <row r="186" spans="1:11" s="371" customFormat="1" hidden="1" outlineLevel="1">
      <c r="A186" s="292"/>
      <c r="B186" s="354">
        <v>6</v>
      </c>
      <c r="C186" s="394" t="s">
        <v>913</v>
      </c>
      <c r="D186" s="391"/>
      <c r="E186" s="293"/>
      <c r="F186" s="293"/>
      <c r="G186" s="312" t="s">
        <v>603</v>
      </c>
      <c r="H186" s="312"/>
      <c r="I186" s="313"/>
      <c r="J186" s="345"/>
      <c r="K186" s="396" t="s">
        <v>979</v>
      </c>
    </row>
    <row r="187" spans="1:11" s="371" customFormat="1" hidden="1" outlineLevel="1">
      <c r="A187" s="292"/>
      <c r="B187" s="354">
        <v>7</v>
      </c>
      <c r="C187" s="394" t="s">
        <v>960</v>
      </c>
      <c r="D187" s="391"/>
      <c r="E187" s="293"/>
      <c r="F187" s="293"/>
      <c r="G187" s="312" t="s">
        <v>603</v>
      </c>
      <c r="H187" s="312"/>
      <c r="I187" s="313"/>
      <c r="J187" s="345"/>
      <c r="K187" s="396"/>
    </row>
    <row r="188" spans="1:11" s="371" customFormat="1" hidden="1" outlineLevel="1">
      <c r="A188" s="292"/>
      <c r="B188" s="354">
        <v>8</v>
      </c>
      <c r="C188" s="353" t="s">
        <v>882</v>
      </c>
      <c r="D188" s="391"/>
      <c r="E188" s="293"/>
      <c r="F188" s="293"/>
      <c r="G188" s="312" t="s">
        <v>603</v>
      </c>
      <c r="H188" s="312"/>
      <c r="I188" s="313"/>
      <c r="J188" s="345"/>
      <c r="K188" s="291"/>
    </row>
    <row r="189" spans="1:11" s="371" customFormat="1" hidden="1" outlineLevel="1">
      <c r="A189" s="292"/>
      <c r="B189" s="349">
        <v>9</v>
      </c>
      <c r="C189" s="353" t="s">
        <v>961</v>
      </c>
      <c r="D189" s="391"/>
      <c r="E189" s="293"/>
      <c r="F189" s="293"/>
      <c r="G189" s="312" t="s">
        <v>603</v>
      </c>
      <c r="H189" s="312"/>
      <c r="I189" s="313"/>
      <c r="J189" s="345"/>
      <c r="K189" s="291"/>
    </row>
    <row r="190" spans="1:11" s="371" customFormat="1" hidden="1" outlineLevel="1">
      <c r="A190" s="292"/>
      <c r="B190" s="349">
        <v>10</v>
      </c>
      <c r="C190" s="359" t="s">
        <v>630</v>
      </c>
      <c r="D190" s="391"/>
      <c r="E190" s="293"/>
      <c r="F190" s="293"/>
      <c r="G190" s="312" t="s">
        <v>603</v>
      </c>
      <c r="H190" s="312"/>
      <c r="I190" s="313"/>
      <c r="J190" s="345"/>
      <c r="K190" s="291"/>
    </row>
    <row r="191" spans="1:11" s="371" customFormat="1" collapsed="1">
      <c r="A191" s="333" t="s">
        <v>23</v>
      </c>
      <c r="B191" s="333" t="s">
        <v>1241</v>
      </c>
      <c r="C191" s="332" t="s">
        <v>1242</v>
      </c>
      <c r="D191" s="334" t="s">
        <v>604</v>
      </c>
      <c r="E191" s="288" t="s">
        <v>596</v>
      </c>
      <c r="F191" s="334" t="str">
        <f>IF(H191&gt;0,"F",IF(I191&gt;0,"A",IF(G191&gt;0,"P","NT")))</f>
        <v>P</v>
      </c>
      <c r="G191" s="334">
        <f>COUNTA(G192:G197)</f>
        <v>5</v>
      </c>
      <c r="H191" s="334">
        <f>COUNTA(H192:H197)</f>
        <v>0</v>
      </c>
      <c r="I191" s="334">
        <f>COUNTA(I192:I202)</f>
        <v>0</v>
      </c>
      <c r="J191" s="365">
        <f>COUNTA(J192:J197)</f>
        <v>0</v>
      </c>
    </row>
    <row r="192" spans="1:11" s="371" customFormat="1" ht="30" hidden="1" outlineLevel="1">
      <c r="A192" s="290"/>
      <c r="B192" s="354" t="s">
        <v>446</v>
      </c>
      <c r="C192" s="348" t="s">
        <v>1243</v>
      </c>
      <c r="D192" s="391"/>
      <c r="E192" s="392"/>
      <c r="F192" s="289"/>
      <c r="G192" s="314"/>
      <c r="H192" s="315"/>
      <c r="I192" s="316"/>
      <c r="J192" s="364"/>
    </row>
    <row r="193" spans="1:11" s="371" customFormat="1" hidden="1" outlineLevel="1">
      <c r="A193" s="290"/>
      <c r="B193" s="354">
        <v>1</v>
      </c>
      <c r="C193" s="353" t="s">
        <v>621</v>
      </c>
      <c r="D193" s="391"/>
      <c r="E193" s="392"/>
      <c r="F193" s="289"/>
      <c r="G193" s="314" t="s">
        <v>603</v>
      </c>
      <c r="H193" s="315"/>
      <c r="I193" s="316"/>
      <c r="J193" s="364"/>
      <c r="K193" s="287"/>
    </row>
    <row r="194" spans="1:11" s="371" customFormat="1" ht="30" hidden="1" outlineLevel="1">
      <c r="A194" s="290"/>
      <c r="B194" s="354">
        <v>2</v>
      </c>
      <c r="C194" s="353" t="s">
        <v>887</v>
      </c>
      <c r="D194" s="391"/>
      <c r="E194" s="392"/>
      <c r="F194" s="289"/>
      <c r="G194" s="314" t="s">
        <v>603</v>
      </c>
      <c r="H194" s="315"/>
      <c r="I194" s="316"/>
      <c r="J194" s="364"/>
      <c r="K194" s="287"/>
    </row>
    <row r="195" spans="1:11" s="371" customFormat="1" hidden="1" outlineLevel="1">
      <c r="A195" s="290"/>
      <c r="B195" s="354">
        <v>3</v>
      </c>
      <c r="C195" s="357" t="s">
        <v>1244</v>
      </c>
      <c r="D195" s="391"/>
      <c r="E195" s="392"/>
      <c r="F195" s="289"/>
      <c r="G195" s="314" t="s">
        <v>603</v>
      </c>
      <c r="H195" s="315"/>
      <c r="I195" s="316"/>
      <c r="J195" s="364"/>
      <c r="K195" s="287"/>
    </row>
    <row r="196" spans="1:11" s="371" customFormat="1" hidden="1" outlineLevel="1">
      <c r="A196" s="290"/>
      <c r="B196" s="354">
        <v>4</v>
      </c>
      <c r="C196" s="348" t="s">
        <v>1245</v>
      </c>
      <c r="D196" s="391"/>
      <c r="E196" s="392"/>
      <c r="F196" s="289"/>
      <c r="G196" s="314" t="s">
        <v>603</v>
      </c>
      <c r="H196" s="315"/>
      <c r="I196" s="316"/>
      <c r="J196" s="364"/>
      <c r="K196" s="287"/>
    </row>
    <row r="197" spans="1:11" s="371" customFormat="1" hidden="1" outlineLevel="1">
      <c r="A197" s="290"/>
      <c r="B197" s="354">
        <v>5</v>
      </c>
      <c r="C197" s="348" t="s">
        <v>1246</v>
      </c>
      <c r="D197" s="391"/>
      <c r="E197" s="392"/>
      <c r="F197" s="289"/>
      <c r="G197" s="314" t="s">
        <v>603</v>
      </c>
      <c r="H197" s="315"/>
      <c r="I197" s="316"/>
      <c r="J197" s="364"/>
      <c r="K197" s="287"/>
    </row>
    <row r="198" spans="1:11" s="371" customFormat="1" hidden="1" outlineLevel="1">
      <c r="A198" s="292"/>
      <c r="B198" s="354">
        <v>6</v>
      </c>
      <c r="C198" s="353" t="s">
        <v>882</v>
      </c>
      <c r="D198" s="391"/>
      <c r="E198" s="293"/>
      <c r="F198" s="293"/>
      <c r="G198" s="312" t="s">
        <v>603</v>
      </c>
      <c r="H198" s="312"/>
      <c r="I198" s="313"/>
      <c r="J198" s="345"/>
      <c r="K198" s="291"/>
    </row>
    <row r="199" spans="1:11" s="371" customFormat="1" hidden="1" outlineLevel="1">
      <c r="A199" s="292"/>
      <c r="B199" s="349">
        <v>7</v>
      </c>
      <c r="C199" s="353" t="s">
        <v>659</v>
      </c>
      <c r="D199" s="391"/>
      <c r="E199" s="293"/>
      <c r="F199" s="293"/>
      <c r="G199" s="312" t="s">
        <v>603</v>
      </c>
      <c r="H199" s="312"/>
      <c r="I199" s="313"/>
      <c r="J199" s="345"/>
      <c r="K199" s="291"/>
    </row>
    <row r="200" spans="1:11" s="455" customFormat="1" ht="45" hidden="1" outlineLevel="1">
      <c r="A200" s="290"/>
      <c r="B200" s="354" t="s">
        <v>634</v>
      </c>
      <c r="C200" s="348" t="s">
        <v>1247</v>
      </c>
      <c r="D200" s="452"/>
      <c r="E200" s="453"/>
      <c r="F200" s="289"/>
      <c r="G200" s="314"/>
      <c r="H200" s="315"/>
      <c r="I200" s="316"/>
      <c r="J200" s="364"/>
      <c r="K200" s="454"/>
    </row>
    <row r="201" spans="1:11" s="455" customFormat="1" ht="30" hidden="1" outlineLevel="1">
      <c r="A201" s="290"/>
      <c r="B201" s="354" t="s">
        <v>635</v>
      </c>
      <c r="C201" s="348" t="s">
        <v>1248</v>
      </c>
      <c r="D201" s="452"/>
      <c r="E201" s="453"/>
      <c r="F201" s="289"/>
      <c r="G201" s="314"/>
      <c r="H201" s="315"/>
      <c r="I201" s="316"/>
      <c r="J201" s="364"/>
      <c r="K201" s="454"/>
    </row>
    <row r="202" spans="1:11" s="371" customFormat="1" hidden="1" outlineLevel="1">
      <c r="A202" s="292"/>
      <c r="B202" s="349">
        <v>8</v>
      </c>
      <c r="C202" s="359" t="s">
        <v>630</v>
      </c>
      <c r="D202" s="391"/>
      <c r="E202" s="293"/>
      <c r="F202" s="293"/>
      <c r="G202" s="312" t="s">
        <v>603</v>
      </c>
      <c r="H202" s="312"/>
      <c r="I202" s="313"/>
      <c r="J202" s="345"/>
      <c r="K202" s="291"/>
    </row>
    <row r="203" spans="1:11" s="371" customFormat="1" hidden="1" outlineLevel="1">
      <c r="A203" s="292"/>
      <c r="B203" s="354">
        <v>9</v>
      </c>
      <c r="C203" s="353" t="s">
        <v>882</v>
      </c>
      <c r="D203" s="391"/>
      <c r="E203" s="293"/>
      <c r="F203" s="293"/>
      <c r="G203" s="312" t="s">
        <v>603</v>
      </c>
      <c r="H203" s="312"/>
      <c r="I203" s="313"/>
      <c r="J203" s="345"/>
      <c r="K203" s="291"/>
    </row>
    <row r="204" spans="1:11" s="371" customFormat="1" hidden="1" outlineLevel="1">
      <c r="A204" s="292"/>
      <c r="B204" s="349">
        <v>10</v>
      </c>
      <c r="C204" s="353" t="s">
        <v>659</v>
      </c>
      <c r="D204" s="391"/>
      <c r="E204" s="293"/>
      <c r="F204" s="293"/>
      <c r="G204" s="312" t="s">
        <v>603</v>
      </c>
      <c r="H204" s="312"/>
      <c r="I204" s="313"/>
      <c r="J204" s="345"/>
      <c r="K204" s="291"/>
    </row>
    <row r="205" spans="1:11" s="455" customFormat="1" ht="75" hidden="1" outlineLevel="1">
      <c r="A205" s="290"/>
      <c r="B205" s="354" t="s">
        <v>636</v>
      </c>
      <c r="C205" s="348" t="s">
        <v>1249</v>
      </c>
      <c r="D205" s="452"/>
      <c r="E205" s="453"/>
      <c r="F205" s="289"/>
      <c r="G205" s="314"/>
      <c r="H205" s="315"/>
      <c r="I205" s="316"/>
      <c r="J205" s="364"/>
      <c r="K205" s="454"/>
    </row>
    <row r="206" spans="1:11" s="276" customFormat="1" collapsed="1">
      <c r="A206" s="333" t="s">
        <v>23</v>
      </c>
      <c r="B206" s="333" t="s">
        <v>1250</v>
      </c>
      <c r="C206" s="332" t="s">
        <v>1251</v>
      </c>
      <c r="D206" s="334" t="s">
        <v>604</v>
      </c>
      <c r="E206" s="286" t="s">
        <v>596</v>
      </c>
      <c r="F206" s="334" t="str">
        <f>IF(H206&gt;0,"F",IF(I206&gt;0,"A",IF(G206&gt;0,"P","NT")))</f>
        <v>P</v>
      </c>
      <c r="G206" s="334">
        <f>COUNTA(G207:G218)</f>
        <v>9</v>
      </c>
      <c r="H206" s="334">
        <f>COUNTA(H207:H218)</f>
        <v>0</v>
      </c>
      <c r="I206" s="334">
        <f>COUNTA(I207:I218)</f>
        <v>0</v>
      </c>
      <c r="J206" s="365">
        <f>COUNTA(J207:J218)</f>
        <v>0</v>
      </c>
    </row>
    <row r="207" spans="1:11" s="371" customFormat="1" ht="30" hidden="1" outlineLevel="1">
      <c r="A207" s="390"/>
      <c r="B207" s="354" t="s">
        <v>446</v>
      </c>
      <c r="C207" s="348" t="s">
        <v>1252</v>
      </c>
      <c r="D207" s="391"/>
      <c r="E207" s="380"/>
      <c r="F207" s="380"/>
      <c r="G207" s="310"/>
      <c r="H207" s="311"/>
      <c r="I207" s="310"/>
      <c r="J207" s="366"/>
    </row>
    <row r="208" spans="1:11" s="371" customFormat="1" ht="45" hidden="1" customHeight="1" outlineLevel="1">
      <c r="A208" s="390"/>
      <c r="B208" s="354">
        <v>1</v>
      </c>
      <c r="C208" s="353" t="s">
        <v>621</v>
      </c>
      <c r="D208" s="391"/>
      <c r="E208" s="380"/>
      <c r="F208" s="380"/>
      <c r="G208" s="310" t="s">
        <v>603</v>
      </c>
      <c r="H208" s="311"/>
      <c r="I208" s="310"/>
      <c r="J208" s="366"/>
    </row>
    <row r="209" spans="1:11" s="371" customFormat="1" ht="45" hidden="1" customHeight="1" outlineLevel="1">
      <c r="A209" s="390"/>
      <c r="B209" s="354">
        <v>2</v>
      </c>
      <c r="C209" s="353" t="s">
        <v>887</v>
      </c>
      <c r="D209" s="391"/>
      <c r="E209" s="380"/>
      <c r="F209" s="380"/>
      <c r="G209" s="310" t="s">
        <v>603</v>
      </c>
      <c r="H209" s="311"/>
      <c r="I209" s="310"/>
      <c r="J209" s="366"/>
    </row>
    <row r="210" spans="1:11" s="371" customFormat="1" ht="45" hidden="1" customHeight="1" outlineLevel="1">
      <c r="A210" s="390"/>
      <c r="B210" s="354">
        <v>3</v>
      </c>
      <c r="C210" s="357" t="s">
        <v>1244</v>
      </c>
      <c r="D210" s="391"/>
      <c r="E210" s="380"/>
      <c r="F210" s="380"/>
      <c r="G210" s="310" t="s">
        <v>603</v>
      </c>
      <c r="H210" s="311"/>
      <c r="I210" s="310"/>
      <c r="J210" s="366"/>
    </row>
    <row r="211" spans="1:11" s="371" customFormat="1" hidden="1" outlineLevel="1">
      <c r="A211" s="390"/>
      <c r="B211" s="354">
        <v>4</v>
      </c>
      <c r="C211" s="359" t="s">
        <v>1253</v>
      </c>
      <c r="D211" s="391"/>
      <c r="E211" s="380"/>
      <c r="F211" s="380"/>
      <c r="G211" s="310" t="s">
        <v>603</v>
      </c>
      <c r="H211" s="311"/>
      <c r="I211" s="310"/>
      <c r="J211" s="366"/>
    </row>
    <row r="212" spans="1:11" s="371" customFormat="1" hidden="1" outlineLevel="1">
      <c r="A212" s="390"/>
      <c r="B212" s="349">
        <v>9</v>
      </c>
      <c r="C212" s="359" t="s">
        <v>1038</v>
      </c>
      <c r="D212" s="391"/>
      <c r="E212" s="380"/>
      <c r="F212" s="380"/>
      <c r="G212" s="310" t="s">
        <v>603</v>
      </c>
      <c r="H212" s="311"/>
      <c r="I212" s="310"/>
      <c r="J212" s="366"/>
    </row>
    <row r="213" spans="1:11" s="371" customFormat="1" ht="80.25" hidden="1" customHeight="1" outlineLevel="1">
      <c r="A213" s="390"/>
      <c r="B213" s="354" t="s">
        <v>1037</v>
      </c>
      <c r="C213" s="400" t="s">
        <v>901</v>
      </c>
      <c r="D213" s="391"/>
      <c r="E213" s="380"/>
      <c r="F213" s="380"/>
      <c r="G213" s="310"/>
      <c r="H213" s="311"/>
      <c r="I213" s="310"/>
      <c r="J213" s="366"/>
    </row>
    <row r="214" spans="1:11" s="371" customFormat="1" hidden="1" outlineLevel="1">
      <c r="A214" s="390"/>
      <c r="B214" s="349">
        <v>10</v>
      </c>
      <c r="C214" s="359" t="s">
        <v>632</v>
      </c>
      <c r="D214" s="391"/>
      <c r="E214" s="380"/>
      <c r="F214" s="380"/>
      <c r="G214" s="310" t="s">
        <v>603</v>
      </c>
      <c r="H214" s="311"/>
      <c r="I214" s="310"/>
      <c r="J214" s="366"/>
    </row>
    <row r="215" spans="1:11" s="371" customFormat="1" hidden="1" outlineLevel="1">
      <c r="A215" s="390"/>
      <c r="B215" s="354">
        <v>11</v>
      </c>
      <c r="C215" s="353" t="s">
        <v>882</v>
      </c>
      <c r="D215" s="391"/>
      <c r="E215" s="380"/>
      <c r="F215" s="380"/>
      <c r="G215" s="310" t="s">
        <v>603</v>
      </c>
      <c r="H215" s="311"/>
      <c r="I215" s="310"/>
      <c r="J215" s="366"/>
    </row>
    <row r="216" spans="1:11" s="371" customFormat="1" hidden="1" outlineLevel="1">
      <c r="A216" s="390"/>
      <c r="B216" s="354">
        <v>12</v>
      </c>
      <c r="C216" s="355" t="s">
        <v>1035</v>
      </c>
      <c r="D216" s="391"/>
      <c r="E216" s="380"/>
      <c r="F216" s="380"/>
      <c r="G216" s="310" t="s">
        <v>603</v>
      </c>
      <c r="H216" s="311"/>
      <c r="I216" s="310"/>
      <c r="J216" s="366"/>
    </row>
    <row r="217" spans="1:11" s="371" customFormat="1" hidden="1" outlineLevel="1">
      <c r="A217" s="390"/>
      <c r="B217" s="354">
        <v>13</v>
      </c>
      <c r="C217" s="359" t="s">
        <v>630</v>
      </c>
      <c r="D217" s="391"/>
      <c r="E217" s="380"/>
      <c r="F217" s="380"/>
      <c r="G217" s="310" t="s">
        <v>603</v>
      </c>
      <c r="H217" s="311"/>
      <c r="I217" s="310"/>
      <c r="J217" s="366"/>
    </row>
    <row r="218" spans="1:11" s="371" customFormat="1" ht="45" hidden="1" customHeight="1" outlineLevel="1">
      <c r="A218" s="390"/>
      <c r="B218" s="358" t="s">
        <v>637</v>
      </c>
      <c r="C218" s="356" t="s">
        <v>631</v>
      </c>
      <c r="D218" s="391"/>
      <c r="E218" s="380"/>
      <c r="F218" s="380"/>
      <c r="G218" s="310"/>
      <c r="H218" s="311"/>
      <c r="I218" s="310"/>
      <c r="J218" s="366"/>
    </row>
    <row r="219" spans="1:11" s="371" customFormat="1" collapsed="1">
      <c r="A219" s="333" t="s">
        <v>23</v>
      </c>
      <c r="B219" s="333" t="s">
        <v>955</v>
      </c>
      <c r="C219" s="332" t="s">
        <v>1254</v>
      </c>
      <c r="D219" s="334" t="s">
        <v>604</v>
      </c>
      <c r="E219" s="288" t="s">
        <v>596</v>
      </c>
      <c r="F219" s="334" t="str">
        <f>IF(H219&gt;0,"F",IF(I219&gt;0,"A",IF(G219&gt;0,"P","NT")))</f>
        <v>P</v>
      </c>
      <c r="G219" s="334">
        <f>COUNTA(G220:G225)</f>
        <v>5</v>
      </c>
      <c r="H219" s="334">
        <f>COUNTA(H220:H225)</f>
        <v>0</v>
      </c>
      <c r="I219" s="334">
        <f>COUNTA(I220:I234)</f>
        <v>0</v>
      </c>
      <c r="J219" s="365">
        <f>COUNTA(J220:J225)</f>
        <v>0</v>
      </c>
    </row>
    <row r="220" spans="1:11" s="371" customFormat="1" ht="30" hidden="1" outlineLevel="1">
      <c r="A220" s="290"/>
      <c r="B220" s="354" t="s">
        <v>446</v>
      </c>
      <c r="C220" s="348" t="s">
        <v>1243</v>
      </c>
      <c r="D220" s="391"/>
      <c r="E220" s="392"/>
      <c r="F220" s="289"/>
      <c r="G220" s="314"/>
      <c r="H220" s="315"/>
      <c r="I220" s="316"/>
      <c r="J220" s="364"/>
    </row>
    <row r="221" spans="1:11" s="371" customFormat="1" hidden="1" outlineLevel="1">
      <c r="A221" s="290"/>
      <c r="B221" s="354">
        <v>1</v>
      </c>
      <c r="C221" s="353" t="s">
        <v>621</v>
      </c>
      <c r="D221" s="391"/>
      <c r="E221" s="392"/>
      <c r="F221" s="289"/>
      <c r="G221" s="314" t="s">
        <v>603</v>
      </c>
      <c r="H221" s="315"/>
      <c r="I221" s="316"/>
      <c r="J221" s="364"/>
      <c r="K221" s="287"/>
    </row>
    <row r="222" spans="1:11" s="371" customFormat="1" ht="30" hidden="1" outlineLevel="1">
      <c r="A222" s="290"/>
      <c r="B222" s="354">
        <v>2</v>
      </c>
      <c r="C222" s="353" t="s">
        <v>887</v>
      </c>
      <c r="D222" s="391"/>
      <c r="E222" s="392"/>
      <c r="F222" s="289"/>
      <c r="G222" s="314" t="s">
        <v>603</v>
      </c>
      <c r="H222" s="315"/>
      <c r="I222" s="316"/>
      <c r="J222" s="364"/>
      <c r="K222" s="287"/>
    </row>
    <row r="223" spans="1:11" s="371" customFormat="1" hidden="1" outlineLevel="1">
      <c r="A223" s="290"/>
      <c r="B223" s="354">
        <v>3</v>
      </c>
      <c r="C223" s="357" t="s">
        <v>1244</v>
      </c>
      <c r="D223" s="391"/>
      <c r="E223" s="392"/>
      <c r="F223" s="289"/>
      <c r="G223" s="314" t="s">
        <v>603</v>
      </c>
      <c r="H223" s="315"/>
      <c r="I223" s="316"/>
      <c r="J223" s="364"/>
      <c r="K223" s="287"/>
    </row>
    <row r="224" spans="1:11" s="371" customFormat="1" hidden="1" outlineLevel="1">
      <c r="A224" s="290"/>
      <c r="B224" s="354">
        <v>4</v>
      </c>
      <c r="C224" s="348" t="s">
        <v>1245</v>
      </c>
      <c r="D224" s="391"/>
      <c r="E224" s="392"/>
      <c r="F224" s="289"/>
      <c r="G224" s="314" t="s">
        <v>603</v>
      </c>
      <c r="H224" s="315"/>
      <c r="I224" s="316"/>
      <c r="J224" s="364"/>
      <c r="K224" s="287"/>
    </row>
    <row r="225" spans="1:11" s="371" customFormat="1" hidden="1" outlineLevel="1">
      <c r="A225" s="290"/>
      <c r="B225" s="354">
        <v>5</v>
      </c>
      <c r="C225" s="348" t="s">
        <v>1246</v>
      </c>
      <c r="D225" s="391"/>
      <c r="E225" s="392"/>
      <c r="F225" s="289"/>
      <c r="G225" s="314" t="s">
        <v>603</v>
      </c>
      <c r="H225" s="315"/>
      <c r="I225" s="316"/>
      <c r="J225" s="364"/>
      <c r="K225" s="287"/>
    </row>
    <row r="226" spans="1:11" s="371" customFormat="1" hidden="1" outlineLevel="1">
      <c r="A226" s="292"/>
      <c r="B226" s="354">
        <v>6</v>
      </c>
      <c r="C226" s="394" t="s">
        <v>1255</v>
      </c>
      <c r="D226" s="391"/>
      <c r="E226" s="293"/>
      <c r="F226" s="293"/>
      <c r="G226" s="312" t="s">
        <v>603</v>
      </c>
      <c r="H226" s="312"/>
      <c r="I226" s="313"/>
      <c r="J226" s="345"/>
      <c r="K226" s="291"/>
    </row>
    <row r="227" spans="1:11" s="371" customFormat="1" hidden="1" outlineLevel="1">
      <c r="A227" s="292"/>
      <c r="B227" s="354">
        <v>7</v>
      </c>
      <c r="C227" s="394" t="s">
        <v>907</v>
      </c>
      <c r="D227" s="391"/>
      <c r="E227" s="293"/>
      <c r="F227" s="293"/>
      <c r="G227" s="312" t="s">
        <v>603</v>
      </c>
      <c r="H227" s="312"/>
      <c r="I227" s="313"/>
      <c r="J227" s="345"/>
      <c r="K227" s="291"/>
    </row>
    <row r="228" spans="1:11" s="371" customFormat="1" hidden="1" outlineLevel="1">
      <c r="A228" s="292"/>
      <c r="B228" s="354">
        <v>8</v>
      </c>
      <c r="C228" s="394" t="s">
        <v>908</v>
      </c>
      <c r="D228" s="391"/>
      <c r="E228" s="293"/>
      <c r="F228" s="293"/>
      <c r="G228" s="312" t="s">
        <v>603</v>
      </c>
      <c r="H228" s="312"/>
      <c r="I228" s="313"/>
      <c r="J228" s="345"/>
      <c r="K228" s="291"/>
    </row>
    <row r="229" spans="1:11" s="371" customFormat="1" hidden="1" outlineLevel="1">
      <c r="A229" s="292"/>
      <c r="B229" s="354">
        <v>9</v>
      </c>
      <c r="C229" s="394" t="s">
        <v>913</v>
      </c>
      <c r="D229" s="391"/>
      <c r="E229" s="293"/>
      <c r="F229" s="293"/>
      <c r="G229" s="312" t="s">
        <v>603</v>
      </c>
      <c r="H229" s="312"/>
      <c r="I229" s="313"/>
      <c r="J229" s="345"/>
      <c r="K229" s="396" t="s">
        <v>979</v>
      </c>
    </row>
    <row r="230" spans="1:11" s="371" customFormat="1" hidden="1" outlineLevel="1">
      <c r="A230" s="292"/>
      <c r="B230" s="354">
        <v>10</v>
      </c>
      <c r="C230" s="394" t="s">
        <v>914</v>
      </c>
      <c r="D230" s="391"/>
      <c r="E230" s="293"/>
      <c r="F230" s="293"/>
      <c r="G230" s="312" t="s">
        <v>603</v>
      </c>
      <c r="H230" s="312"/>
      <c r="I230" s="313"/>
      <c r="J230" s="345"/>
      <c r="K230" s="396"/>
    </row>
    <row r="231" spans="1:11" s="371" customFormat="1" hidden="1" outlineLevel="1">
      <c r="A231" s="292"/>
      <c r="B231" s="354">
        <v>11</v>
      </c>
      <c r="C231" s="353" t="s">
        <v>882</v>
      </c>
      <c r="D231" s="391"/>
      <c r="E231" s="293"/>
      <c r="F231" s="293"/>
      <c r="G231" s="312" t="s">
        <v>603</v>
      </c>
      <c r="H231" s="312"/>
      <c r="I231" s="313"/>
      <c r="J231" s="345"/>
      <c r="K231" s="291"/>
    </row>
    <row r="232" spans="1:11" s="371" customFormat="1" hidden="1" outlineLevel="1">
      <c r="A232" s="292"/>
      <c r="B232" s="349">
        <v>12</v>
      </c>
      <c r="C232" s="353" t="s">
        <v>659</v>
      </c>
      <c r="D232" s="391"/>
      <c r="E232" s="293"/>
      <c r="F232" s="293"/>
      <c r="G232" s="312" t="s">
        <v>603</v>
      </c>
      <c r="H232" s="312"/>
      <c r="I232" s="313"/>
      <c r="J232" s="345"/>
      <c r="K232" s="291"/>
    </row>
    <row r="233" spans="1:11" s="455" customFormat="1" ht="90" hidden="1" outlineLevel="1">
      <c r="A233" s="290"/>
      <c r="B233" s="354" t="s">
        <v>636</v>
      </c>
      <c r="C233" s="348" t="s">
        <v>1256</v>
      </c>
      <c r="D233" s="452"/>
      <c r="E233" s="453"/>
      <c r="F233" s="289"/>
      <c r="G233" s="314"/>
      <c r="H233" s="315"/>
      <c r="I233" s="316"/>
      <c r="J233" s="364"/>
      <c r="K233" s="454"/>
    </row>
    <row r="234" spans="1:11" s="455" customFormat="1" hidden="1" outlineLevel="1">
      <c r="A234" s="456"/>
      <c r="B234" s="349">
        <v>13</v>
      </c>
      <c r="C234" s="457" t="s">
        <v>630</v>
      </c>
      <c r="D234" s="452"/>
      <c r="E234" s="293"/>
      <c r="F234" s="293"/>
      <c r="G234" s="312" t="s">
        <v>603</v>
      </c>
      <c r="H234" s="312"/>
      <c r="I234" s="313"/>
      <c r="J234" s="345"/>
      <c r="K234" s="458"/>
    </row>
    <row r="235" spans="1:11" s="455" customFormat="1" hidden="1" outlineLevel="1">
      <c r="A235" s="456"/>
      <c r="B235" s="349" t="s">
        <v>1257</v>
      </c>
      <c r="C235" s="457" t="s">
        <v>1258</v>
      </c>
      <c r="D235" s="452"/>
      <c r="E235" s="293"/>
      <c r="F235" s="293"/>
      <c r="G235" s="312" t="s">
        <v>603</v>
      </c>
      <c r="H235" s="312"/>
      <c r="I235" s="313"/>
      <c r="J235" s="345"/>
      <c r="K235" s="458"/>
    </row>
    <row r="236" spans="1:11" s="423" customFormat="1">
      <c r="A236" s="414"/>
      <c r="B236" s="426"/>
      <c r="C236" s="427"/>
      <c r="D236" s="417"/>
      <c r="E236" s="418"/>
      <c r="F236" s="418"/>
      <c r="G236" s="419"/>
      <c r="H236" s="419"/>
      <c r="I236" s="420"/>
      <c r="J236" s="421"/>
      <c r="K236" s="422"/>
    </row>
    <row r="237" spans="1:11" s="276" customFormat="1" collapsed="1">
      <c r="A237" s="333" t="s">
        <v>23</v>
      </c>
      <c r="B237" s="333" t="s">
        <v>962</v>
      </c>
      <c r="C237" s="332" t="s">
        <v>963</v>
      </c>
      <c r="D237" s="334" t="s">
        <v>604</v>
      </c>
      <c r="E237" s="286" t="s">
        <v>596</v>
      </c>
      <c r="F237" s="334" t="str">
        <f>IF(H237&gt;0,"F",IF(I237&gt;0,"A",IF(G237&gt;0,"P","NT")))</f>
        <v>P</v>
      </c>
      <c r="G237" s="334">
        <f>COUNTA(G238:G242)</f>
        <v>2</v>
      </c>
      <c r="H237" s="334">
        <f>COUNTA(H238:H242)</f>
        <v>0</v>
      </c>
      <c r="I237" s="334">
        <f>COUNTA(I238:I242)</f>
        <v>0</v>
      </c>
      <c r="J237" s="365">
        <f>COUNTA(J238:J242)</f>
        <v>0</v>
      </c>
    </row>
    <row r="238" spans="1:11" s="371" customFormat="1" hidden="1" outlineLevel="1">
      <c r="A238" s="390"/>
      <c r="B238" s="351" t="s">
        <v>598</v>
      </c>
      <c r="C238" s="348" t="s">
        <v>964</v>
      </c>
      <c r="D238" s="391"/>
      <c r="E238" s="380"/>
      <c r="F238" s="380"/>
      <c r="G238" s="310"/>
      <c r="H238" s="311"/>
      <c r="I238" s="310"/>
      <c r="J238" s="366"/>
    </row>
    <row r="239" spans="1:11" s="371" customFormat="1" ht="30" hidden="1" customHeight="1" outlineLevel="1">
      <c r="A239" s="390"/>
      <c r="B239" s="351" t="s">
        <v>599</v>
      </c>
      <c r="C239" s="348" t="s">
        <v>620</v>
      </c>
      <c r="D239" s="391"/>
      <c r="E239" s="380"/>
      <c r="F239" s="380"/>
      <c r="G239" s="310"/>
      <c r="H239" s="311"/>
      <c r="I239" s="310"/>
      <c r="J239" s="366"/>
    </row>
    <row r="240" spans="1:11" s="371" customFormat="1" hidden="1" outlineLevel="1">
      <c r="A240" s="390"/>
      <c r="B240" s="352">
        <v>1</v>
      </c>
      <c r="C240" s="353" t="s">
        <v>621</v>
      </c>
      <c r="D240" s="391"/>
      <c r="E240" s="380"/>
      <c r="F240" s="380"/>
      <c r="G240" s="310" t="s">
        <v>603</v>
      </c>
      <c r="H240" s="311"/>
      <c r="I240" s="310"/>
      <c r="J240" s="366"/>
    </row>
    <row r="241" spans="1:11" s="371" customFormat="1" hidden="1" outlineLevel="1">
      <c r="A241" s="390"/>
      <c r="B241" s="352">
        <v>2</v>
      </c>
      <c r="C241" s="353" t="s">
        <v>945</v>
      </c>
      <c r="D241" s="391"/>
      <c r="E241" s="380"/>
      <c r="F241" s="380"/>
      <c r="G241" s="310" t="s">
        <v>603</v>
      </c>
      <c r="H241" s="311"/>
      <c r="I241" s="310"/>
      <c r="J241" s="366"/>
    </row>
    <row r="242" spans="1:11" s="371" customFormat="1" hidden="1" outlineLevel="1">
      <c r="A242" s="390"/>
      <c r="B242" s="352" t="s">
        <v>635</v>
      </c>
      <c r="C242" s="353" t="s">
        <v>631</v>
      </c>
      <c r="D242" s="391"/>
      <c r="E242" s="380"/>
      <c r="F242" s="380"/>
      <c r="G242" s="310"/>
      <c r="H242" s="311"/>
      <c r="I242" s="310"/>
      <c r="J242" s="366"/>
    </row>
    <row r="243" spans="1:11" s="276" customFormat="1" collapsed="1">
      <c r="A243" s="333" t="s">
        <v>23</v>
      </c>
      <c r="B243" s="333" t="s">
        <v>965</v>
      </c>
      <c r="C243" s="332" t="s">
        <v>966</v>
      </c>
      <c r="D243" s="334" t="s">
        <v>604</v>
      </c>
      <c r="E243" s="286" t="s">
        <v>596</v>
      </c>
      <c r="F243" s="334" t="str">
        <f>IF(H243&gt;0,"F",IF(I243&gt;0,"A",IF(G243&gt;0,"P","NT")))</f>
        <v>P</v>
      </c>
      <c r="G243" s="334">
        <f>COUNTA(G244:G247)</f>
        <v>2</v>
      </c>
      <c r="H243" s="334">
        <f>COUNTA(H244:H247)</f>
        <v>0</v>
      </c>
      <c r="I243" s="334">
        <f>COUNTA(I244:I247)</f>
        <v>0</v>
      </c>
      <c r="J243" s="365">
        <f>COUNTA(J244:J247)</f>
        <v>0</v>
      </c>
    </row>
    <row r="244" spans="1:11" s="371" customFormat="1" ht="30" hidden="1" outlineLevel="1">
      <c r="A244" s="390"/>
      <c r="B244" s="354" t="s">
        <v>446</v>
      </c>
      <c r="C244" s="348" t="s">
        <v>886</v>
      </c>
      <c r="D244" s="391"/>
      <c r="E244" s="380"/>
      <c r="F244" s="380"/>
      <c r="G244" s="310"/>
      <c r="H244" s="311"/>
      <c r="I244" s="310"/>
      <c r="J244" s="366"/>
    </row>
    <row r="245" spans="1:11" s="371" customFormat="1" hidden="1" outlineLevel="1">
      <c r="A245" s="390"/>
      <c r="B245" s="354">
        <v>1</v>
      </c>
      <c r="C245" s="353" t="s">
        <v>621</v>
      </c>
      <c r="D245" s="391"/>
      <c r="E245" s="380"/>
      <c r="F245" s="380"/>
      <c r="G245" s="310" t="s">
        <v>603</v>
      </c>
      <c r="H245" s="311"/>
      <c r="I245" s="310"/>
      <c r="J245" s="366"/>
    </row>
    <row r="246" spans="1:11" s="371" customFormat="1" hidden="1" outlineLevel="1">
      <c r="A246" s="390"/>
      <c r="B246" s="354">
        <v>2</v>
      </c>
      <c r="C246" s="353" t="s">
        <v>922</v>
      </c>
      <c r="D246" s="391"/>
      <c r="E246" s="380"/>
      <c r="F246" s="380"/>
      <c r="G246" s="310" t="s">
        <v>603</v>
      </c>
      <c r="H246" s="311"/>
      <c r="I246" s="310"/>
      <c r="J246" s="366"/>
    </row>
    <row r="247" spans="1:11" s="371" customFormat="1" hidden="1" outlineLevel="1">
      <c r="A247" s="390"/>
      <c r="B247" s="358" t="s">
        <v>636</v>
      </c>
      <c r="C247" s="374" t="s">
        <v>631</v>
      </c>
      <c r="D247" s="391"/>
      <c r="E247" s="380"/>
      <c r="F247" s="380"/>
      <c r="G247" s="310"/>
      <c r="H247" s="311"/>
      <c r="I247" s="310"/>
      <c r="J247" s="366"/>
    </row>
    <row r="248" spans="1:11" s="371" customFormat="1" collapsed="1">
      <c r="A248" s="333" t="s">
        <v>23</v>
      </c>
      <c r="B248" s="333" t="s">
        <v>967</v>
      </c>
      <c r="C248" s="332" t="s">
        <v>968</v>
      </c>
      <c r="D248" s="334" t="s">
        <v>604</v>
      </c>
      <c r="E248" s="288" t="s">
        <v>596</v>
      </c>
      <c r="F248" s="334" t="str">
        <f>IF(H248&gt;0,"F",IF(I248&gt;0,"A",IF(G248&gt;0,"P","NT")))</f>
        <v>P</v>
      </c>
      <c r="G248" s="334">
        <f>COUNTA(G249:G263)</f>
        <v>11</v>
      </c>
      <c r="H248" s="334">
        <f>COUNTA(H249:H263)</f>
        <v>0</v>
      </c>
      <c r="I248" s="334">
        <f>COUNTA(I249:I263)</f>
        <v>0</v>
      </c>
      <c r="J248" s="365">
        <f>COUNTA(J249:J263)</f>
        <v>1</v>
      </c>
    </row>
    <row r="249" spans="1:11" s="371" customFormat="1" ht="30" hidden="1" outlineLevel="1">
      <c r="A249" s="290"/>
      <c r="B249" s="354" t="s">
        <v>446</v>
      </c>
      <c r="C249" s="348" t="s">
        <v>894</v>
      </c>
      <c r="D249" s="391"/>
      <c r="E249" s="392"/>
      <c r="F249" s="289"/>
      <c r="G249" s="314"/>
      <c r="H249" s="315"/>
      <c r="I249" s="316"/>
      <c r="J249" s="364"/>
    </row>
    <row r="250" spans="1:11" s="371" customFormat="1" hidden="1" outlineLevel="1">
      <c r="A250" s="290"/>
      <c r="B250" s="354">
        <v>1</v>
      </c>
      <c r="C250" s="353" t="s">
        <v>621</v>
      </c>
      <c r="D250" s="391"/>
      <c r="E250" s="392"/>
      <c r="F250" s="289"/>
      <c r="G250" s="314"/>
      <c r="H250" s="315"/>
      <c r="I250" s="316"/>
      <c r="J250" s="364"/>
      <c r="K250" s="287"/>
    </row>
    <row r="251" spans="1:11" s="371" customFormat="1" ht="30" hidden="1" outlineLevel="1">
      <c r="A251" s="290"/>
      <c r="B251" s="354">
        <v>2</v>
      </c>
      <c r="C251" s="353" t="s">
        <v>887</v>
      </c>
      <c r="D251" s="391"/>
      <c r="E251" s="392"/>
      <c r="F251" s="289"/>
      <c r="G251" s="314" t="s">
        <v>603</v>
      </c>
      <c r="H251" s="315"/>
      <c r="I251" s="316"/>
      <c r="J251" s="364"/>
      <c r="K251" s="287"/>
    </row>
    <row r="252" spans="1:11" s="371" customFormat="1" hidden="1" outlineLevel="1">
      <c r="A252" s="290"/>
      <c r="B252" s="354">
        <v>3</v>
      </c>
      <c r="C252" s="357" t="s">
        <v>888</v>
      </c>
      <c r="D252" s="391"/>
      <c r="E252" s="392"/>
      <c r="F252" s="289"/>
      <c r="G252" s="314" t="s">
        <v>603</v>
      </c>
      <c r="H252" s="315"/>
      <c r="I252" s="316"/>
      <c r="J252" s="364"/>
      <c r="K252" s="287"/>
    </row>
    <row r="253" spans="1:11" s="371" customFormat="1" hidden="1" outlineLevel="1">
      <c r="A253" s="290"/>
      <c r="B253" s="354">
        <v>4</v>
      </c>
      <c r="C253" s="348" t="s">
        <v>969</v>
      </c>
      <c r="D253" s="391"/>
      <c r="E253" s="392"/>
      <c r="F253" s="289"/>
      <c r="G253" s="314" t="s">
        <v>603</v>
      </c>
      <c r="H253" s="315"/>
      <c r="I253" s="316"/>
      <c r="J253" s="364"/>
      <c r="K253" s="287"/>
    </row>
    <row r="254" spans="1:11" s="371" customFormat="1" hidden="1" outlineLevel="1">
      <c r="A254" s="290"/>
      <c r="B254" s="354">
        <v>5</v>
      </c>
      <c r="C254" s="348" t="s">
        <v>970</v>
      </c>
      <c r="D254" s="391"/>
      <c r="E254" s="392"/>
      <c r="F254" s="289"/>
      <c r="G254" s="314" t="s">
        <v>603</v>
      </c>
      <c r="H254" s="315"/>
      <c r="I254" s="316"/>
      <c r="J254" s="364"/>
      <c r="K254" s="287"/>
    </row>
    <row r="255" spans="1:11" s="371" customFormat="1" hidden="1" outlineLevel="1">
      <c r="A255" s="290"/>
      <c r="B255" s="354">
        <v>6</v>
      </c>
      <c r="C255" s="348" t="s">
        <v>895</v>
      </c>
      <c r="D255" s="391"/>
      <c r="E255" s="392"/>
      <c r="F255" s="289"/>
      <c r="G255" s="314" t="s">
        <v>603</v>
      </c>
      <c r="H255" s="315"/>
      <c r="I255" s="316"/>
      <c r="J255" s="364"/>
      <c r="K255" s="287"/>
    </row>
    <row r="256" spans="1:11" s="371" customFormat="1" hidden="1" outlineLevel="1">
      <c r="A256" s="290"/>
      <c r="B256" s="354">
        <v>7</v>
      </c>
      <c r="C256" s="348" t="s">
        <v>926</v>
      </c>
      <c r="D256" s="391"/>
      <c r="E256" s="392"/>
      <c r="F256" s="289"/>
      <c r="G256" s="314" t="s">
        <v>603</v>
      </c>
      <c r="H256" s="315"/>
      <c r="I256" s="316"/>
      <c r="J256" s="364"/>
      <c r="K256" s="287"/>
    </row>
    <row r="257" spans="1:11" s="371" customFormat="1" hidden="1" outlineLevel="1">
      <c r="A257" s="290"/>
      <c r="B257" s="354">
        <v>8</v>
      </c>
      <c r="C257" s="348" t="s">
        <v>898</v>
      </c>
      <c r="D257" s="391"/>
      <c r="E257" s="392"/>
      <c r="F257" s="289"/>
      <c r="G257" s="314" t="s">
        <v>603</v>
      </c>
      <c r="H257" s="315"/>
      <c r="I257" s="316"/>
      <c r="J257" s="364"/>
      <c r="K257" s="287"/>
    </row>
    <row r="258" spans="1:11" s="371" customFormat="1" hidden="1" outlineLevel="1">
      <c r="A258" s="290"/>
      <c r="B258" s="354">
        <v>9</v>
      </c>
      <c r="C258" s="348" t="s">
        <v>971</v>
      </c>
      <c r="D258" s="391"/>
      <c r="E258" s="392"/>
      <c r="F258" s="289"/>
      <c r="G258" s="314" t="s">
        <v>603</v>
      </c>
      <c r="H258" s="315"/>
      <c r="I258" s="316"/>
      <c r="J258" s="364"/>
      <c r="K258" s="287"/>
    </row>
    <row r="259" spans="1:11" s="371" customFormat="1" hidden="1" outlineLevel="1">
      <c r="A259" s="290"/>
      <c r="B259" s="354">
        <v>10</v>
      </c>
      <c r="C259" s="348" t="s">
        <v>972</v>
      </c>
      <c r="D259" s="391"/>
      <c r="E259" s="392"/>
      <c r="F259" s="289"/>
      <c r="G259" s="314" t="s">
        <v>603</v>
      </c>
      <c r="H259" s="315"/>
      <c r="I259" s="316"/>
      <c r="J259" s="364"/>
      <c r="K259" s="287"/>
    </row>
    <row r="260" spans="1:11" s="371" customFormat="1" ht="30" hidden="1" outlineLevel="1">
      <c r="A260" s="390"/>
      <c r="B260" s="354">
        <v>11</v>
      </c>
      <c r="C260" s="353" t="s">
        <v>882</v>
      </c>
      <c r="D260" s="391"/>
      <c r="E260" s="380"/>
      <c r="F260" s="380"/>
      <c r="G260" s="310"/>
      <c r="H260" s="311"/>
      <c r="I260" s="310"/>
      <c r="J260" s="366" t="s">
        <v>1259</v>
      </c>
    </row>
    <row r="261" spans="1:11" s="371" customFormat="1" hidden="1" outlineLevel="1">
      <c r="A261" s="390"/>
      <c r="B261" s="354">
        <v>12</v>
      </c>
      <c r="C261" s="353" t="s">
        <v>902</v>
      </c>
      <c r="D261" s="391"/>
      <c r="E261" s="380"/>
      <c r="F261" s="380"/>
      <c r="G261" s="310" t="s">
        <v>603</v>
      </c>
      <c r="H261" s="311"/>
      <c r="I261" s="310"/>
      <c r="J261" s="366"/>
    </row>
    <row r="262" spans="1:11" s="371" customFormat="1" hidden="1" outlineLevel="1">
      <c r="A262" s="390"/>
      <c r="B262" s="354">
        <v>13</v>
      </c>
      <c r="C262" s="359" t="s">
        <v>630</v>
      </c>
      <c r="D262" s="391"/>
      <c r="E262" s="380"/>
      <c r="F262" s="380"/>
      <c r="G262" s="310" t="s">
        <v>603</v>
      </c>
      <c r="H262" s="311"/>
      <c r="I262" s="310"/>
      <c r="J262" s="366"/>
    </row>
    <row r="263" spans="1:11" s="371" customFormat="1" hidden="1" outlineLevel="1">
      <c r="A263" s="390"/>
      <c r="B263" s="358" t="s">
        <v>637</v>
      </c>
      <c r="C263" s="374" t="s">
        <v>631</v>
      </c>
      <c r="D263" s="391"/>
      <c r="E263" s="380"/>
      <c r="F263" s="380"/>
      <c r="G263" s="310"/>
      <c r="H263" s="311"/>
      <c r="I263" s="310"/>
      <c r="J263" s="366"/>
    </row>
    <row r="264" spans="1:11" s="371" customFormat="1" collapsed="1">
      <c r="A264" s="333" t="s">
        <v>23</v>
      </c>
      <c r="B264" s="333" t="s">
        <v>973</v>
      </c>
      <c r="C264" s="332" t="s">
        <v>974</v>
      </c>
      <c r="D264" s="334" t="s">
        <v>604</v>
      </c>
      <c r="E264" s="294" t="s">
        <v>596</v>
      </c>
      <c r="F264" s="334" t="str">
        <f>IF(H264&gt;0,"F",IF(I264&gt;0,"A",IF(G264&gt;0,"P","NT")))</f>
        <v>P</v>
      </c>
      <c r="G264" s="334">
        <f>COUNTA(G265:G276)</f>
        <v>10</v>
      </c>
      <c r="H264" s="334">
        <f>COUNTA(H265:H276)</f>
        <v>0</v>
      </c>
      <c r="I264" s="334">
        <f>COUNTA(I265:I276)</f>
        <v>0</v>
      </c>
      <c r="J264" s="365">
        <f>COUNTA(J265:J276)</f>
        <v>1</v>
      </c>
      <c r="K264" s="291"/>
    </row>
    <row r="265" spans="1:11" s="371" customFormat="1" ht="30" hidden="1" outlineLevel="1">
      <c r="A265" s="292"/>
      <c r="B265" s="354" t="s">
        <v>446</v>
      </c>
      <c r="C265" s="348" t="s">
        <v>886</v>
      </c>
      <c r="D265" s="391"/>
      <c r="E265" s="293"/>
      <c r="F265" s="293"/>
      <c r="G265" s="312"/>
      <c r="H265" s="312"/>
      <c r="I265" s="313"/>
      <c r="J265" s="345"/>
      <c r="K265" s="291"/>
    </row>
    <row r="266" spans="1:11" s="371" customFormat="1" hidden="1" outlineLevel="1">
      <c r="A266" s="292"/>
      <c r="B266" s="354">
        <v>1</v>
      </c>
      <c r="C266" s="353" t="s">
        <v>621</v>
      </c>
      <c r="D266" s="391"/>
      <c r="E266" s="293"/>
      <c r="F266" s="293"/>
      <c r="G266" s="312" t="s">
        <v>603</v>
      </c>
      <c r="H266" s="312"/>
      <c r="I266" s="313"/>
      <c r="J266" s="345"/>
      <c r="K266" s="291"/>
    </row>
    <row r="267" spans="1:11" s="371" customFormat="1" hidden="1" outlineLevel="1">
      <c r="A267" s="292"/>
      <c r="B267" s="354">
        <v>2</v>
      </c>
      <c r="C267" s="359" t="s">
        <v>905</v>
      </c>
      <c r="D267" s="391"/>
      <c r="E267" s="293"/>
      <c r="F267" s="293"/>
      <c r="G267" s="312" t="s">
        <v>603</v>
      </c>
      <c r="H267" s="312"/>
      <c r="I267" s="313"/>
      <c r="J267" s="345"/>
      <c r="K267" s="291"/>
    </row>
    <row r="268" spans="1:11" s="371" customFormat="1" hidden="1" outlineLevel="1">
      <c r="A268" s="292"/>
      <c r="B268" s="354">
        <v>3</v>
      </c>
      <c r="C268" s="394" t="s">
        <v>975</v>
      </c>
      <c r="D268" s="391"/>
      <c r="E268" s="293"/>
      <c r="F268" s="293"/>
      <c r="G268" s="312" t="s">
        <v>603</v>
      </c>
      <c r="H268" s="312"/>
      <c r="I268" s="313"/>
      <c r="J268" s="345"/>
      <c r="K268" s="291"/>
    </row>
    <row r="269" spans="1:11" s="371" customFormat="1" hidden="1" outlineLevel="1">
      <c r="A269" s="292"/>
      <c r="B269" s="354">
        <v>4</v>
      </c>
      <c r="C269" s="394" t="s">
        <v>907</v>
      </c>
      <c r="D269" s="391"/>
      <c r="E269" s="293"/>
      <c r="F269" s="293"/>
      <c r="G269" s="312" t="s">
        <v>603</v>
      </c>
      <c r="H269" s="312"/>
      <c r="I269" s="313"/>
      <c r="J269" s="345"/>
      <c r="K269" s="291"/>
    </row>
    <row r="270" spans="1:11" s="371" customFormat="1" hidden="1" outlineLevel="1">
      <c r="A270" s="292"/>
      <c r="B270" s="354">
        <v>5</v>
      </c>
      <c r="C270" s="394" t="s">
        <v>976</v>
      </c>
      <c r="D270" s="391"/>
      <c r="E270" s="293"/>
      <c r="F270" s="293"/>
      <c r="G270" s="312" t="s">
        <v>603</v>
      </c>
      <c r="H270" s="312"/>
      <c r="I270" s="313"/>
      <c r="J270" s="345"/>
      <c r="K270" s="291"/>
    </row>
    <row r="271" spans="1:11" s="371" customFormat="1" ht="180" hidden="1" outlineLevel="1">
      <c r="A271" s="292"/>
      <c r="B271" s="354" t="s">
        <v>638</v>
      </c>
      <c r="C271" s="394" t="s">
        <v>977</v>
      </c>
      <c r="D271" s="391"/>
      <c r="E271" s="293" t="s">
        <v>603</v>
      </c>
      <c r="F271" s="293"/>
      <c r="G271" s="312"/>
      <c r="H271" s="312"/>
      <c r="I271" s="313"/>
      <c r="J271" s="345" t="s">
        <v>1236</v>
      </c>
      <c r="K271" s="291"/>
    </row>
    <row r="272" spans="1:11" s="371" customFormat="1" hidden="1" outlineLevel="1">
      <c r="A272" s="292"/>
      <c r="B272" s="354">
        <v>6</v>
      </c>
      <c r="C272" s="394" t="s">
        <v>913</v>
      </c>
      <c r="D272" s="391"/>
      <c r="E272" s="293"/>
      <c r="F272" s="293"/>
      <c r="G272" s="312" t="s">
        <v>603</v>
      </c>
      <c r="H272" s="312"/>
      <c r="I272" s="313"/>
      <c r="J272" s="345"/>
      <c r="K272" s="396" t="s">
        <v>979</v>
      </c>
    </row>
    <row r="273" spans="1:11" s="371" customFormat="1" hidden="1" outlineLevel="1">
      <c r="A273" s="292"/>
      <c r="B273" s="354">
        <v>7</v>
      </c>
      <c r="C273" s="394" t="s">
        <v>960</v>
      </c>
      <c r="D273" s="391"/>
      <c r="E273" s="293"/>
      <c r="F273" s="293"/>
      <c r="G273" s="312" t="s">
        <v>603</v>
      </c>
      <c r="H273" s="312"/>
      <c r="I273" s="313"/>
      <c r="J273" s="345"/>
      <c r="K273" s="396"/>
    </row>
    <row r="274" spans="1:11" s="371" customFormat="1" hidden="1" outlineLevel="1">
      <c r="A274" s="292"/>
      <c r="B274" s="354">
        <v>8</v>
      </c>
      <c r="C274" s="353" t="s">
        <v>882</v>
      </c>
      <c r="D274" s="391"/>
      <c r="E274" s="293"/>
      <c r="F274" s="293"/>
      <c r="G274" s="312" t="s">
        <v>603</v>
      </c>
      <c r="H274" s="312"/>
      <c r="I274" s="313"/>
      <c r="J274" s="345"/>
      <c r="K274" s="291"/>
    </row>
    <row r="275" spans="1:11" s="371" customFormat="1" hidden="1" outlineLevel="1">
      <c r="A275" s="292"/>
      <c r="B275" s="349">
        <v>9</v>
      </c>
      <c r="C275" s="353" t="s">
        <v>978</v>
      </c>
      <c r="D275" s="391"/>
      <c r="E275" s="293"/>
      <c r="F275" s="293"/>
      <c r="G275" s="312" t="s">
        <v>603</v>
      </c>
      <c r="H275" s="312"/>
      <c r="I275" s="313"/>
      <c r="J275" s="345"/>
      <c r="K275" s="291"/>
    </row>
    <row r="276" spans="1:11" s="371" customFormat="1" hidden="1" outlineLevel="1">
      <c r="A276" s="292"/>
      <c r="B276" s="349">
        <v>10</v>
      </c>
      <c r="C276" s="359" t="s">
        <v>630</v>
      </c>
      <c r="D276" s="391"/>
      <c r="E276" s="293"/>
      <c r="F276" s="293"/>
      <c r="G276" s="312" t="s">
        <v>603</v>
      </c>
      <c r="H276" s="312"/>
      <c r="I276" s="313"/>
      <c r="J276" s="345"/>
      <c r="K276" s="291"/>
    </row>
    <row r="277" spans="1:11" s="433" customFormat="1">
      <c r="A277" s="428"/>
      <c r="B277" s="429"/>
      <c r="C277" s="430"/>
      <c r="D277" s="431"/>
      <c r="E277" s="428"/>
      <c r="F277" s="428"/>
      <c r="G277" s="428"/>
      <c r="H277" s="428"/>
      <c r="I277" s="428"/>
      <c r="J277" s="432"/>
    </row>
  </sheetData>
  <mergeCells count="12">
    <mergeCell ref="A5:B5"/>
    <mergeCell ref="C5:I5"/>
    <mergeCell ref="A1:I1"/>
    <mergeCell ref="A2:I2"/>
    <mergeCell ref="A3:B3"/>
    <mergeCell ref="C3:I3"/>
    <mergeCell ref="A4:I4"/>
    <mergeCell ref="A6:I6"/>
    <mergeCell ref="A7:B7"/>
    <mergeCell ref="C7:I7"/>
    <mergeCell ref="A8:I8"/>
    <mergeCell ref="D9:I9"/>
  </mergeCells>
  <conditionalFormatting sqref="E277:E65593 E191:E236 E10:E53">
    <cfRule type="cellIs" dxfId="322" priority="15" operator="equal">
      <formula>"Ready to Test"</formula>
    </cfRule>
    <cfRule type="cellIs" dxfId="321" priority="16" operator="equal">
      <formula>"Do Not Test"</formula>
    </cfRule>
    <cfRule type="cellIs" dxfId="320" priority="17" operator="equal">
      <formula>"Ready for Retest"</formula>
    </cfRule>
    <cfRule type="cellIs" dxfId="319" priority="18" operator="equal">
      <formula>"Passed"</formula>
    </cfRule>
  </conditionalFormatting>
  <conditionalFormatting sqref="E265:E276 E179:E205 E226:E236 E132:E148 E85:E100">
    <cfRule type="cellIs" dxfId="318" priority="11" stopIfTrue="1" operator="equal">
      <formula>"Passed"</formula>
    </cfRule>
    <cfRule type="cellIs" dxfId="317" priority="12" stopIfTrue="1" operator="equal">
      <formula>"Do Not Test"</formula>
    </cfRule>
    <cfRule type="cellIs" dxfId="316" priority="13" stopIfTrue="1" operator="equal">
      <formula>"Ready for Retest"</formula>
    </cfRule>
    <cfRule type="cellIs" dxfId="315" priority="14" stopIfTrue="1" operator="equal">
      <formula>"Ready to Test"</formula>
    </cfRule>
  </conditionalFormatting>
  <conditionalFormatting sqref="E3 E7 E5">
    <cfRule type="cellIs" dxfId="314" priority="9" stopIfTrue="1" operator="equal">
      <formula>"Ready to Test"</formula>
    </cfRule>
    <cfRule type="cellIs" dxfId="313" priority="10" stopIfTrue="1" operator="equal">
      <formula>"Do Not Test"</formula>
    </cfRule>
  </conditionalFormatting>
  <conditionalFormatting sqref="E237 E243 E248 E264 E149 E156 E161 E178 E191 E206 E219 E101 E108 E113 E131 E66 E84 E12 E54">
    <cfRule type="cellIs" dxfId="312" priority="8" stopIfTrue="1" operator="equal">
      <formula>"Do Not Test"</formula>
    </cfRule>
  </conditionalFormatting>
  <conditionalFormatting sqref="E237 E243 E248 E264 E149 E156 E161 E178 E191 E206 E219 E101 E108 E113 E131 E66 E84 E12 E54">
    <cfRule type="cellIs" dxfId="311" priority="7" stopIfTrue="1" operator="equal">
      <formula>"Ready To Test"</formula>
    </cfRule>
  </conditionalFormatting>
  <conditionalFormatting sqref="I124 I125:J276 I12:J123">
    <cfRule type="cellIs" dxfId="310" priority="6" operator="greaterThan">
      <formula>0</formula>
    </cfRule>
  </conditionalFormatting>
  <conditionalFormatting sqref="H11:H276">
    <cfRule type="cellIs" dxfId="309" priority="5" operator="greaterThan">
      <formula>0</formula>
    </cfRule>
  </conditionalFormatting>
  <conditionalFormatting sqref="G12:G276">
    <cfRule type="cellIs" dxfId="308" priority="4" operator="greaterThan">
      <formula>0</formula>
    </cfRule>
  </conditionalFormatting>
  <conditionalFormatting sqref="F237 F243 F248 F264 F149 F156 F161 F178 F191 F206 F219 F101 F108 F113 F131 F54 F66 F84 F12">
    <cfRule type="cellIs" dxfId="307" priority="3" operator="equal">
      <formula>"A"</formula>
    </cfRule>
  </conditionalFormatting>
  <conditionalFormatting sqref="F237 F243 F248 F264 F149 F156 F161 F178 F191 F206 F219 F101 F108 F113 F131 F54 F66 F84 F12">
    <cfRule type="cellIs" dxfId="306" priority="1" operator="equal">
      <formula>"F"</formula>
    </cfRule>
    <cfRule type="cellIs" dxfId="305" priority="2" operator="equal">
      <formula>"p"</formula>
    </cfRule>
  </conditionalFormatting>
  <hyperlinks>
    <hyperlink ref="C9" r:id="rId1"/>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sheetPr>
    <tabColor theme="9"/>
    <outlinePr summaryBelow="0"/>
  </sheetPr>
  <dimension ref="A1:K223"/>
  <sheetViews>
    <sheetView zoomScaleNormal="100" workbookViewId="0">
      <selection sqref="A1:I1"/>
    </sheetView>
  </sheetViews>
  <sheetFormatPr defaultRowHeight="15" outlineLevelRow="1"/>
  <cols>
    <col min="1" max="1" width="8.7109375" style="320" bestFit="1" customWidth="1"/>
    <col min="2" max="2" width="20.85546875" style="324" customWidth="1"/>
    <col min="3" max="3" width="70.140625" style="328" customWidth="1"/>
    <col min="4" max="4" width="10.28515625" style="326" bestFit="1" customWidth="1"/>
    <col min="5" max="5" width="13.28515625" style="320" bestFit="1" customWidth="1"/>
    <col min="6" max="6" width="9.85546875" style="320" bestFit="1" customWidth="1"/>
    <col min="7" max="7" width="8.28515625" style="320" bestFit="1" customWidth="1"/>
    <col min="8" max="8" width="7.5703125" style="320" customWidth="1"/>
    <col min="9" max="9" width="10.5703125" style="320" bestFit="1" customWidth="1"/>
    <col min="10" max="10" width="55.85546875" style="369" customWidth="1"/>
    <col min="11" max="16384" width="9.140625" style="372"/>
  </cols>
  <sheetData>
    <row r="1" spans="1:10" s="397" customFormat="1">
      <c r="A1" s="529" t="s">
        <v>1486</v>
      </c>
      <c r="B1" s="529"/>
      <c r="C1" s="529"/>
      <c r="D1" s="529"/>
      <c r="E1" s="529"/>
      <c r="F1" s="529"/>
      <c r="G1" s="529"/>
      <c r="H1" s="529"/>
      <c r="I1" s="529"/>
      <c r="J1" s="330"/>
    </row>
    <row r="2" spans="1:10" s="398" customFormat="1">
      <c r="A2" s="530"/>
      <c r="B2" s="530"/>
      <c r="C2" s="531"/>
      <c r="D2" s="531"/>
      <c r="E2" s="531"/>
      <c r="F2" s="531"/>
      <c r="G2" s="531"/>
      <c r="H2" s="531"/>
      <c r="I2" s="531"/>
      <c r="J2" s="368"/>
    </row>
    <row r="3" spans="1:10" s="398" customFormat="1" ht="33.75" customHeight="1">
      <c r="A3" s="532" t="s">
        <v>1227</v>
      </c>
      <c r="B3" s="533"/>
      <c r="C3" s="521" t="s">
        <v>1228</v>
      </c>
      <c r="D3" s="522"/>
      <c r="E3" s="522"/>
      <c r="F3" s="522"/>
      <c r="G3" s="522"/>
      <c r="H3" s="522"/>
      <c r="I3" s="523"/>
      <c r="J3" s="409"/>
    </row>
    <row r="4" spans="1:10" s="398" customFormat="1">
      <c r="A4" s="534"/>
      <c r="B4" s="535"/>
      <c r="C4" s="536"/>
      <c r="D4" s="536"/>
      <c r="E4" s="536"/>
      <c r="F4" s="536"/>
      <c r="G4" s="536"/>
      <c r="H4" s="536"/>
      <c r="I4" s="536"/>
      <c r="J4" s="368"/>
    </row>
    <row r="5" spans="1:10" s="397" customFormat="1" ht="30" customHeight="1">
      <c r="A5" s="519" t="s">
        <v>594</v>
      </c>
      <c r="B5" s="520"/>
      <c r="C5" s="526" t="s">
        <v>865</v>
      </c>
      <c r="D5" s="527"/>
      <c r="E5" s="527"/>
      <c r="F5" s="527"/>
      <c r="G5" s="527"/>
      <c r="H5" s="527"/>
      <c r="I5" s="528"/>
      <c r="J5" s="330"/>
    </row>
    <row r="6" spans="1:10" s="397" customFormat="1">
      <c r="A6" s="516"/>
      <c r="B6" s="517"/>
      <c r="C6" s="518"/>
      <c r="D6" s="518"/>
      <c r="E6" s="518"/>
      <c r="F6" s="518"/>
      <c r="G6" s="518"/>
      <c r="H6" s="518"/>
      <c r="I6" s="518"/>
      <c r="J6" s="367"/>
    </row>
    <row r="7" spans="1:10" s="397" customFormat="1" ht="17.25" customHeight="1">
      <c r="A7" s="519" t="s">
        <v>1229</v>
      </c>
      <c r="B7" s="520"/>
      <c r="C7" s="521" t="s">
        <v>1230</v>
      </c>
      <c r="D7" s="522"/>
      <c r="E7" s="522"/>
      <c r="F7" s="522"/>
      <c r="G7" s="522"/>
      <c r="H7" s="522"/>
      <c r="I7" s="523"/>
      <c r="J7" s="330"/>
    </row>
    <row r="8" spans="1:10" s="399" customFormat="1">
      <c r="A8" s="524"/>
      <c r="B8" s="524"/>
      <c r="C8" s="524"/>
      <c r="D8" s="524"/>
      <c r="E8" s="524"/>
      <c r="F8" s="524"/>
      <c r="G8" s="524"/>
      <c r="H8" s="524"/>
      <c r="I8" s="524"/>
      <c r="J8" s="363"/>
    </row>
    <row r="9" spans="1:10" ht="27.75" customHeight="1">
      <c r="A9" s="410" t="s">
        <v>1231</v>
      </c>
      <c r="B9" s="411"/>
      <c r="C9" s="412" t="s">
        <v>1232</v>
      </c>
      <c r="D9" s="525"/>
      <c r="E9" s="525"/>
      <c r="F9" s="525"/>
      <c r="G9" s="525"/>
      <c r="H9" s="525"/>
      <c r="I9" s="525"/>
      <c r="J9" s="413"/>
    </row>
    <row r="10" spans="1:10">
      <c r="A10" s="321"/>
      <c r="B10" s="323"/>
      <c r="C10" s="327"/>
      <c r="D10" s="325"/>
      <c r="E10" s="322"/>
      <c r="F10" s="322"/>
      <c r="G10" s="322"/>
      <c r="H10" s="322"/>
      <c r="I10" s="322"/>
      <c r="J10" s="370"/>
    </row>
    <row r="11" spans="1:10" s="216" customFormat="1" ht="29.25" customHeight="1">
      <c r="A11" s="385" t="s">
        <v>0</v>
      </c>
      <c r="B11" s="379" t="s">
        <v>226</v>
      </c>
      <c r="C11" s="386" t="s">
        <v>540</v>
      </c>
      <c r="D11" s="386" t="s">
        <v>595</v>
      </c>
      <c r="E11" s="387" t="s">
        <v>214</v>
      </c>
      <c r="F11" s="387" t="s">
        <v>584</v>
      </c>
      <c r="G11" s="388" t="s">
        <v>2</v>
      </c>
      <c r="H11" s="389" t="s">
        <v>579</v>
      </c>
      <c r="I11" s="331" t="s">
        <v>583</v>
      </c>
      <c r="J11" s="331" t="s">
        <v>1</v>
      </c>
    </row>
    <row r="12" spans="1:10" s="276" customFormat="1" collapsed="1">
      <c r="A12" s="333" t="s">
        <v>23</v>
      </c>
      <c r="B12" s="333" t="s">
        <v>1073</v>
      </c>
      <c r="C12" s="332" t="s">
        <v>1072</v>
      </c>
      <c r="D12" s="334" t="s">
        <v>604</v>
      </c>
      <c r="E12" s="286" t="s">
        <v>596</v>
      </c>
      <c r="F12" s="334" t="str">
        <f>IF(H12&gt;0,"F",IF(I12&gt;0,"A",IF(G12&gt;0,"P","NT")))</f>
        <v>P</v>
      </c>
      <c r="G12" s="334">
        <f>COUNTA(G13:G45)</f>
        <v>30</v>
      </c>
      <c r="H12" s="334">
        <f>COUNTA(H13:H45)</f>
        <v>0</v>
      </c>
      <c r="I12" s="334">
        <f>COUNTA(I13:I45)</f>
        <v>0</v>
      </c>
      <c r="J12" s="365">
        <f>COUNTA(J13:J45)</f>
        <v>0</v>
      </c>
    </row>
    <row r="13" spans="1:10" s="371" customFormat="1" hidden="1" outlineLevel="1">
      <c r="A13" s="390"/>
      <c r="B13" s="351" t="s">
        <v>598</v>
      </c>
      <c r="C13" s="348" t="s">
        <v>1071</v>
      </c>
      <c r="D13" s="391"/>
      <c r="E13" s="380"/>
      <c r="F13" s="380"/>
      <c r="G13" s="310"/>
      <c r="H13" s="311"/>
      <c r="I13" s="310"/>
      <c r="J13" s="366"/>
    </row>
    <row r="14" spans="1:10" s="371" customFormat="1" ht="30" hidden="1" customHeight="1" outlineLevel="1">
      <c r="A14" s="390"/>
      <c r="B14" s="351" t="s">
        <v>599</v>
      </c>
      <c r="C14" s="348" t="s">
        <v>620</v>
      </c>
      <c r="D14" s="391"/>
      <c r="E14" s="380"/>
      <c r="F14" s="380"/>
      <c r="G14" s="310"/>
      <c r="H14" s="311"/>
      <c r="I14" s="310"/>
      <c r="J14" s="366"/>
    </row>
    <row r="15" spans="1:10" s="371" customFormat="1" ht="30" hidden="1" customHeight="1" outlineLevel="1">
      <c r="A15" s="390"/>
      <c r="B15" s="382" t="s">
        <v>634</v>
      </c>
      <c r="C15" s="348" t="s">
        <v>868</v>
      </c>
      <c r="D15" s="391"/>
      <c r="E15" s="380"/>
      <c r="F15" s="380"/>
      <c r="G15" s="310" t="s">
        <v>603</v>
      </c>
      <c r="H15" s="311"/>
      <c r="I15" s="310"/>
      <c r="J15" s="366"/>
    </row>
    <row r="16" spans="1:10" s="371" customFormat="1" hidden="1" outlineLevel="1">
      <c r="A16" s="390"/>
      <c r="B16" s="352">
        <v>1</v>
      </c>
      <c r="C16" s="353" t="s">
        <v>621</v>
      </c>
      <c r="D16" s="391"/>
      <c r="E16" s="380"/>
      <c r="F16" s="380"/>
      <c r="G16" s="310" t="s">
        <v>603</v>
      </c>
      <c r="H16" s="311"/>
      <c r="I16" s="310"/>
      <c r="J16" s="366"/>
    </row>
    <row r="17" spans="1:10" s="371" customFormat="1" ht="30" hidden="1" outlineLevel="1">
      <c r="A17" s="390"/>
      <c r="B17" s="352">
        <v>2</v>
      </c>
      <c r="C17" s="353" t="s">
        <v>1070</v>
      </c>
      <c r="D17" s="391"/>
      <c r="E17" s="380"/>
      <c r="F17" s="380"/>
      <c r="G17" s="310" t="s">
        <v>603</v>
      </c>
      <c r="H17" s="311"/>
      <c r="I17" s="310"/>
      <c r="J17" s="366"/>
    </row>
    <row r="18" spans="1:10" s="371" customFormat="1" hidden="1" outlineLevel="1">
      <c r="A18" s="390"/>
      <c r="B18" s="352">
        <v>3</v>
      </c>
      <c r="C18" s="353" t="s">
        <v>623</v>
      </c>
      <c r="D18" s="391"/>
      <c r="E18" s="380"/>
      <c r="F18" s="380"/>
      <c r="G18" s="310" t="s">
        <v>603</v>
      </c>
      <c r="H18" s="311"/>
      <c r="I18" s="310"/>
      <c r="J18" s="366"/>
    </row>
    <row r="19" spans="1:10" s="371" customFormat="1" hidden="1" outlineLevel="1">
      <c r="A19" s="390"/>
      <c r="B19" s="352">
        <v>4</v>
      </c>
      <c r="C19" s="353" t="s">
        <v>622</v>
      </c>
      <c r="D19" s="391"/>
      <c r="E19" s="380"/>
      <c r="F19" s="380"/>
      <c r="G19" s="310" t="s">
        <v>603</v>
      </c>
      <c r="H19" s="311"/>
      <c r="I19" s="310"/>
      <c r="J19" s="366"/>
    </row>
    <row r="20" spans="1:10" s="371" customFormat="1" hidden="1" outlineLevel="1">
      <c r="A20" s="390"/>
      <c r="B20" s="352">
        <v>5</v>
      </c>
      <c r="C20" s="353" t="s">
        <v>1069</v>
      </c>
      <c r="D20" s="391"/>
      <c r="E20" s="380"/>
      <c r="F20" s="380"/>
      <c r="G20" s="310" t="s">
        <v>603</v>
      </c>
      <c r="H20" s="311"/>
      <c r="I20" s="310"/>
      <c r="J20" s="366"/>
    </row>
    <row r="21" spans="1:10" s="371" customFormat="1" hidden="1" outlineLevel="1">
      <c r="A21" s="390"/>
      <c r="B21" s="352">
        <v>6</v>
      </c>
      <c r="C21" s="353" t="s">
        <v>1068</v>
      </c>
      <c r="D21" s="391"/>
      <c r="E21" s="380"/>
      <c r="F21" s="380"/>
      <c r="G21" s="310" t="s">
        <v>603</v>
      </c>
      <c r="H21" s="311"/>
      <c r="I21" s="310"/>
      <c r="J21" s="366"/>
    </row>
    <row r="22" spans="1:10" s="371" customFormat="1" hidden="1" outlineLevel="1">
      <c r="A22" s="390"/>
      <c r="B22" s="352">
        <v>7</v>
      </c>
      <c r="C22" s="353" t="s">
        <v>873</v>
      </c>
      <c r="D22" s="391"/>
      <c r="E22" s="380"/>
      <c r="F22" s="380"/>
      <c r="G22" s="310" t="s">
        <v>603</v>
      </c>
      <c r="H22" s="311"/>
      <c r="I22" s="310"/>
      <c r="J22" s="366"/>
    </row>
    <row r="23" spans="1:10" s="371" customFormat="1" hidden="1" outlineLevel="1">
      <c r="A23" s="390"/>
      <c r="B23" s="352">
        <v>8</v>
      </c>
      <c r="C23" s="353" t="s">
        <v>874</v>
      </c>
      <c r="D23" s="391"/>
      <c r="E23" s="380"/>
      <c r="F23" s="380"/>
      <c r="G23" s="310" t="s">
        <v>603</v>
      </c>
      <c r="H23" s="311"/>
      <c r="I23" s="310"/>
      <c r="J23" s="366"/>
    </row>
    <row r="24" spans="1:10" s="371" customFormat="1" hidden="1" outlineLevel="1">
      <c r="A24" s="390"/>
      <c r="B24" s="352">
        <v>9</v>
      </c>
      <c r="C24" s="353" t="s">
        <v>1067</v>
      </c>
      <c r="D24" s="391"/>
      <c r="E24" s="380"/>
      <c r="F24" s="380"/>
      <c r="G24" s="310" t="s">
        <v>603</v>
      </c>
      <c r="H24" s="311"/>
      <c r="I24" s="310"/>
      <c r="J24" s="366"/>
    </row>
    <row r="25" spans="1:10" s="371" customFormat="1" hidden="1" outlineLevel="1">
      <c r="A25" s="390"/>
      <c r="B25" s="352">
        <v>10</v>
      </c>
      <c r="C25" s="353" t="s">
        <v>1066</v>
      </c>
      <c r="D25" s="391"/>
      <c r="E25" s="380"/>
      <c r="F25" s="380"/>
      <c r="G25" s="310" t="s">
        <v>603</v>
      </c>
      <c r="H25" s="311"/>
      <c r="I25" s="310"/>
      <c r="J25" s="366"/>
    </row>
    <row r="26" spans="1:10" s="371" customFormat="1" hidden="1" outlineLevel="1">
      <c r="A26" s="390"/>
      <c r="B26" s="352">
        <v>11</v>
      </c>
      <c r="C26" s="353" t="s">
        <v>1065</v>
      </c>
      <c r="D26" s="391"/>
      <c r="E26" s="380"/>
      <c r="F26" s="380"/>
      <c r="G26" s="310" t="s">
        <v>603</v>
      </c>
      <c r="H26" s="311"/>
      <c r="I26" s="310"/>
      <c r="J26" s="366"/>
    </row>
    <row r="27" spans="1:10" s="371" customFormat="1" hidden="1" outlineLevel="1">
      <c r="A27" s="390"/>
      <c r="B27" s="352">
        <v>12</v>
      </c>
      <c r="C27" s="353" t="s">
        <v>1064</v>
      </c>
      <c r="D27" s="391"/>
      <c r="E27" s="380"/>
      <c r="F27" s="380"/>
      <c r="G27" s="310" t="s">
        <v>603</v>
      </c>
      <c r="H27" s="311"/>
      <c r="I27" s="310"/>
      <c r="J27" s="366"/>
    </row>
    <row r="28" spans="1:10" s="371" customFormat="1" hidden="1" outlineLevel="1">
      <c r="A28" s="390"/>
      <c r="B28" s="352">
        <v>13</v>
      </c>
      <c r="C28" s="353" t="s">
        <v>1063</v>
      </c>
      <c r="D28" s="391"/>
      <c r="E28" s="380"/>
      <c r="F28" s="380"/>
      <c r="G28" s="310" t="s">
        <v>603</v>
      </c>
      <c r="H28" s="311"/>
      <c r="I28" s="310"/>
      <c r="J28" s="366"/>
    </row>
    <row r="29" spans="1:10" s="371" customFormat="1" hidden="1" outlineLevel="1">
      <c r="A29" s="390"/>
      <c r="B29" s="352">
        <v>14</v>
      </c>
      <c r="C29" s="353" t="s">
        <v>1062</v>
      </c>
      <c r="D29" s="391"/>
      <c r="E29" s="380"/>
      <c r="F29" s="380"/>
      <c r="G29" s="310" t="s">
        <v>603</v>
      </c>
      <c r="H29" s="311"/>
      <c r="I29" s="310"/>
      <c r="J29" s="366"/>
    </row>
    <row r="30" spans="1:10" s="371" customFormat="1" hidden="1" outlineLevel="1">
      <c r="A30" s="390"/>
      <c r="B30" s="352">
        <v>15</v>
      </c>
      <c r="C30" s="353" t="s">
        <v>1061</v>
      </c>
      <c r="D30" s="391"/>
      <c r="E30" s="380"/>
      <c r="F30" s="380"/>
      <c r="G30" s="310" t="s">
        <v>603</v>
      </c>
      <c r="H30" s="311"/>
      <c r="I30" s="310"/>
      <c r="J30" s="366"/>
    </row>
    <row r="31" spans="1:10" s="371" customFormat="1" hidden="1" outlineLevel="1">
      <c r="A31" s="390"/>
      <c r="B31" s="352">
        <v>16</v>
      </c>
      <c r="C31" s="353" t="s">
        <v>1060</v>
      </c>
      <c r="D31" s="391"/>
      <c r="E31" s="380"/>
      <c r="F31" s="380"/>
      <c r="G31" s="310" t="s">
        <v>603</v>
      </c>
      <c r="H31" s="311"/>
      <c r="I31" s="310"/>
      <c r="J31" s="366"/>
    </row>
    <row r="32" spans="1:10" s="371" customFormat="1" hidden="1" outlineLevel="1">
      <c r="A32" s="390"/>
      <c r="B32" s="352">
        <v>17</v>
      </c>
      <c r="C32" s="353" t="s">
        <v>1059</v>
      </c>
      <c r="D32" s="391"/>
      <c r="E32" s="380"/>
      <c r="F32" s="380"/>
      <c r="G32" s="310" t="s">
        <v>603</v>
      </c>
      <c r="H32" s="311"/>
      <c r="I32" s="310"/>
      <c r="J32" s="366"/>
    </row>
    <row r="33" spans="1:10" s="371" customFormat="1" hidden="1" outlineLevel="1">
      <c r="A33" s="390"/>
      <c r="B33" s="352">
        <v>18</v>
      </c>
      <c r="C33" s="353" t="s">
        <v>1058</v>
      </c>
      <c r="D33" s="391"/>
      <c r="E33" s="380"/>
      <c r="F33" s="380"/>
      <c r="G33" s="310" t="s">
        <v>603</v>
      </c>
      <c r="H33" s="311"/>
      <c r="I33" s="310"/>
      <c r="J33" s="366"/>
    </row>
    <row r="34" spans="1:10" s="371" customFormat="1" hidden="1" outlineLevel="1">
      <c r="A34" s="390"/>
      <c r="B34" s="352">
        <v>19</v>
      </c>
      <c r="C34" s="353" t="s">
        <v>1057</v>
      </c>
      <c r="D34" s="391"/>
      <c r="E34" s="380"/>
      <c r="F34" s="380"/>
      <c r="G34" s="310" t="s">
        <v>603</v>
      </c>
      <c r="H34" s="311"/>
      <c r="I34" s="310"/>
      <c r="J34" s="366"/>
    </row>
    <row r="35" spans="1:10" s="371" customFormat="1" hidden="1" outlineLevel="1">
      <c r="A35" s="390"/>
      <c r="B35" s="352">
        <v>20</v>
      </c>
      <c r="C35" s="353" t="s">
        <v>1056</v>
      </c>
      <c r="D35" s="391"/>
      <c r="E35" s="380"/>
      <c r="F35" s="380"/>
      <c r="G35" s="310" t="s">
        <v>603</v>
      </c>
      <c r="H35" s="311"/>
      <c r="I35" s="310"/>
      <c r="J35" s="366"/>
    </row>
    <row r="36" spans="1:10" s="371" customFormat="1" hidden="1" outlineLevel="1">
      <c r="A36" s="390"/>
      <c r="B36" s="352">
        <v>22</v>
      </c>
      <c r="C36" s="353" t="s">
        <v>1055</v>
      </c>
      <c r="D36" s="391"/>
      <c r="E36" s="380"/>
      <c r="F36" s="380"/>
      <c r="G36" s="310" t="s">
        <v>603</v>
      </c>
      <c r="H36" s="311"/>
      <c r="I36" s="310"/>
      <c r="J36" s="366"/>
    </row>
    <row r="37" spans="1:10" s="371" customFormat="1" hidden="1" outlineLevel="1">
      <c r="A37" s="390"/>
      <c r="B37" s="352">
        <v>23</v>
      </c>
      <c r="C37" s="353" t="s">
        <v>1054</v>
      </c>
      <c r="D37" s="391"/>
      <c r="E37" s="380"/>
      <c r="F37" s="380"/>
      <c r="G37" s="310" t="s">
        <v>603</v>
      </c>
      <c r="H37" s="311"/>
      <c r="I37" s="310"/>
      <c r="J37" s="366"/>
    </row>
    <row r="38" spans="1:10" s="371" customFormat="1" hidden="1" outlineLevel="1">
      <c r="A38" s="390"/>
      <c r="B38" s="352">
        <v>24</v>
      </c>
      <c r="C38" s="353" t="s">
        <v>1053</v>
      </c>
      <c r="D38" s="391"/>
      <c r="E38" s="380"/>
      <c r="F38" s="380"/>
      <c r="G38" s="310" t="s">
        <v>603</v>
      </c>
      <c r="H38" s="311"/>
      <c r="I38" s="310"/>
      <c r="J38" s="366"/>
    </row>
    <row r="39" spans="1:10" s="371" customFormat="1" hidden="1" outlineLevel="1">
      <c r="A39" s="390"/>
      <c r="B39" s="352">
        <v>25</v>
      </c>
      <c r="C39" s="353" t="s">
        <v>1052</v>
      </c>
      <c r="D39" s="391"/>
      <c r="E39" s="380"/>
      <c r="F39" s="380"/>
      <c r="G39" s="310" t="s">
        <v>603</v>
      </c>
      <c r="H39" s="311"/>
      <c r="I39" s="310"/>
      <c r="J39" s="366"/>
    </row>
    <row r="40" spans="1:10" s="371" customFormat="1" hidden="1" outlineLevel="1">
      <c r="A40" s="390"/>
      <c r="B40" s="352">
        <v>26</v>
      </c>
      <c r="C40" s="353" t="s">
        <v>1051</v>
      </c>
      <c r="D40" s="391"/>
      <c r="E40" s="380"/>
      <c r="F40" s="380"/>
      <c r="G40" s="310" t="s">
        <v>603</v>
      </c>
      <c r="H40" s="311"/>
      <c r="I40" s="310"/>
      <c r="J40" s="366"/>
    </row>
    <row r="41" spans="1:10" s="371" customFormat="1" hidden="1" outlineLevel="1">
      <c r="A41" s="390"/>
      <c r="B41" s="352">
        <v>27</v>
      </c>
      <c r="C41" s="353" t="s">
        <v>624</v>
      </c>
      <c r="D41" s="391"/>
      <c r="E41" s="380"/>
      <c r="F41" s="380"/>
      <c r="G41" s="310" t="s">
        <v>603</v>
      </c>
      <c r="H41" s="311"/>
      <c r="I41" s="310"/>
      <c r="J41" s="366"/>
    </row>
    <row r="42" spans="1:10" s="371" customFormat="1" hidden="1" outlineLevel="1">
      <c r="A42" s="390"/>
      <c r="B42" s="352">
        <v>28</v>
      </c>
      <c r="C42" s="353" t="s">
        <v>980</v>
      </c>
      <c r="D42" s="391"/>
      <c r="E42" s="380"/>
      <c r="F42" s="380"/>
      <c r="G42" s="310" t="s">
        <v>603</v>
      </c>
      <c r="H42" s="311"/>
      <c r="I42" s="310"/>
      <c r="J42" s="366"/>
    </row>
    <row r="43" spans="1:10" s="371" customFormat="1" hidden="1" outlineLevel="1">
      <c r="A43" s="390"/>
      <c r="B43" s="352">
        <v>29</v>
      </c>
      <c r="C43" s="353" t="s">
        <v>1050</v>
      </c>
      <c r="D43" s="391"/>
      <c r="E43" s="380"/>
      <c r="F43" s="380"/>
      <c r="G43" s="310" t="s">
        <v>603</v>
      </c>
      <c r="H43" s="311"/>
      <c r="I43" s="310"/>
      <c r="J43" s="366"/>
    </row>
    <row r="44" spans="1:10" s="371" customFormat="1" hidden="1" outlineLevel="1">
      <c r="A44" s="390"/>
      <c r="B44" s="352">
        <v>30</v>
      </c>
      <c r="C44" s="353" t="s">
        <v>630</v>
      </c>
      <c r="D44" s="391"/>
      <c r="E44" s="380"/>
      <c r="F44" s="380"/>
      <c r="G44" s="310" t="s">
        <v>603</v>
      </c>
      <c r="H44" s="311"/>
      <c r="I44" s="310"/>
      <c r="J44" s="366"/>
    </row>
    <row r="45" spans="1:10" s="371" customFormat="1" hidden="1" outlineLevel="1">
      <c r="A45" s="390"/>
      <c r="B45" s="352" t="s">
        <v>635</v>
      </c>
      <c r="C45" s="353" t="s">
        <v>631</v>
      </c>
      <c r="D45" s="391"/>
      <c r="E45" s="380"/>
      <c r="F45" s="380"/>
      <c r="G45" s="310"/>
      <c r="H45" s="311"/>
      <c r="I45" s="310"/>
      <c r="J45" s="366"/>
    </row>
    <row r="46" spans="1:10" s="276" customFormat="1" collapsed="1">
      <c r="A46" s="333" t="s">
        <v>23</v>
      </c>
      <c r="B46" s="333" t="s">
        <v>1049</v>
      </c>
      <c r="C46" s="332" t="s">
        <v>1048</v>
      </c>
      <c r="D46" s="334" t="s">
        <v>604</v>
      </c>
      <c r="E46" s="286" t="s">
        <v>596</v>
      </c>
      <c r="F46" s="334" t="str">
        <f>IF(H46&gt;0,"F",IF(I46&gt;0,"A",IF(G46&gt;0,"P","NT")))</f>
        <v>P</v>
      </c>
      <c r="G46" s="334">
        <f>COUNTA(G47:G57)</f>
        <v>9</v>
      </c>
      <c r="H46" s="334">
        <f>COUNTA(H47:H57)</f>
        <v>0</v>
      </c>
      <c r="I46" s="334">
        <f>COUNTA(I47:I57)</f>
        <v>0</v>
      </c>
      <c r="J46" s="365">
        <f>COUNTA(J47:J57)</f>
        <v>0</v>
      </c>
    </row>
    <row r="47" spans="1:10" s="371" customFormat="1" ht="30" hidden="1" outlineLevel="1">
      <c r="A47" s="390"/>
      <c r="B47" s="354" t="s">
        <v>446</v>
      </c>
      <c r="C47" s="348" t="s">
        <v>985</v>
      </c>
      <c r="D47" s="391"/>
      <c r="E47" s="380"/>
      <c r="F47" s="380"/>
      <c r="G47" s="310"/>
      <c r="H47" s="311"/>
      <c r="I47" s="310"/>
      <c r="J47" s="366"/>
    </row>
    <row r="48" spans="1:10" s="371" customFormat="1" ht="45" hidden="1" customHeight="1" outlineLevel="1">
      <c r="A48" s="390"/>
      <c r="B48" s="354">
        <v>1</v>
      </c>
      <c r="C48" s="353" t="s">
        <v>621</v>
      </c>
      <c r="D48" s="391"/>
      <c r="E48" s="380"/>
      <c r="F48" s="380"/>
      <c r="G48" s="310" t="s">
        <v>603</v>
      </c>
      <c r="H48" s="311"/>
      <c r="I48" s="310"/>
      <c r="J48" s="366"/>
    </row>
    <row r="49" spans="1:10" s="371" customFormat="1" ht="45" hidden="1" customHeight="1" outlineLevel="1">
      <c r="A49" s="390"/>
      <c r="B49" s="354">
        <v>2</v>
      </c>
      <c r="C49" s="353" t="s">
        <v>991</v>
      </c>
      <c r="D49" s="391"/>
      <c r="E49" s="380"/>
      <c r="F49" s="380"/>
      <c r="G49" s="310" t="s">
        <v>603</v>
      </c>
      <c r="H49" s="311"/>
      <c r="I49" s="310"/>
      <c r="J49" s="366"/>
    </row>
    <row r="50" spans="1:10" s="371" customFormat="1" ht="45" hidden="1" customHeight="1" outlineLevel="1">
      <c r="A50" s="390"/>
      <c r="B50" s="354">
        <v>3</v>
      </c>
      <c r="C50" s="357" t="s">
        <v>990</v>
      </c>
      <c r="D50" s="391"/>
      <c r="E50" s="380"/>
      <c r="F50" s="380"/>
      <c r="G50" s="310" t="s">
        <v>603</v>
      </c>
      <c r="H50" s="311"/>
      <c r="I50" s="310"/>
      <c r="J50" s="366"/>
    </row>
    <row r="51" spans="1:10" s="371" customFormat="1" hidden="1" outlineLevel="1">
      <c r="A51" s="390"/>
      <c r="B51" s="354">
        <v>4</v>
      </c>
      <c r="C51" s="359" t="s">
        <v>1047</v>
      </c>
      <c r="D51" s="391"/>
      <c r="E51" s="380"/>
      <c r="F51" s="380"/>
      <c r="G51" s="310" t="s">
        <v>603</v>
      </c>
      <c r="H51" s="311"/>
      <c r="I51" s="310"/>
      <c r="J51" s="366"/>
    </row>
    <row r="52" spans="1:10" s="371" customFormat="1" hidden="1" outlineLevel="1">
      <c r="A52" s="390"/>
      <c r="B52" s="349">
        <v>5</v>
      </c>
      <c r="C52" s="359" t="s">
        <v>1046</v>
      </c>
      <c r="D52" s="391"/>
      <c r="E52" s="380"/>
      <c r="F52" s="380"/>
      <c r="G52" s="310" t="s">
        <v>603</v>
      </c>
      <c r="H52" s="311"/>
      <c r="I52" s="310"/>
      <c r="J52" s="366"/>
    </row>
    <row r="53" spans="1:10" s="371" customFormat="1" hidden="1" outlineLevel="1">
      <c r="A53" s="390"/>
      <c r="B53" s="349">
        <v>6</v>
      </c>
      <c r="C53" s="359" t="s">
        <v>632</v>
      </c>
      <c r="D53" s="391"/>
      <c r="E53" s="380"/>
      <c r="F53" s="380"/>
      <c r="G53" s="310" t="s">
        <v>603</v>
      </c>
      <c r="H53" s="311"/>
      <c r="I53" s="310"/>
      <c r="J53" s="366"/>
    </row>
    <row r="54" spans="1:10" s="371" customFormat="1" hidden="1" outlineLevel="1">
      <c r="A54" s="390"/>
      <c r="B54" s="354">
        <v>7</v>
      </c>
      <c r="C54" s="353" t="s">
        <v>980</v>
      </c>
      <c r="D54" s="391"/>
      <c r="E54" s="380"/>
      <c r="F54" s="380"/>
      <c r="G54" s="310" t="s">
        <v>603</v>
      </c>
      <c r="H54" s="311"/>
      <c r="I54" s="310"/>
      <c r="J54" s="366"/>
    </row>
    <row r="55" spans="1:10" s="371" customFormat="1" hidden="1" outlineLevel="1">
      <c r="A55" s="390"/>
      <c r="B55" s="354">
        <v>8</v>
      </c>
      <c r="C55" s="355" t="s">
        <v>891</v>
      </c>
      <c r="D55" s="391"/>
      <c r="E55" s="380"/>
      <c r="F55" s="380"/>
      <c r="G55" s="310" t="s">
        <v>603</v>
      </c>
      <c r="H55" s="311"/>
      <c r="I55" s="310"/>
      <c r="J55" s="366"/>
    </row>
    <row r="56" spans="1:10" s="371" customFormat="1" hidden="1" outlineLevel="1">
      <c r="A56" s="390"/>
      <c r="B56" s="354">
        <v>9</v>
      </c>
      <c r="C56" s="359" t="s">
        <v>630</v>
      </c>
      <c r="D56" s="391"/>
      <c r="E56" s="380"/>
      <c r="F56" s="380"/>
      <c r="G56" s="310" t="s">
        <v>603</v>
      </c>
      <c r="H56" s="311"/>
      <c r="I56" s="310"/>
      <c r="J56" s="366"/>
    </row>
    <row r="57" spans="1:10" s="371" customFormat="1" ht="45" hidden="1" customHeight="1" outlineLevel="1">
      <c r="A57" s="390"/>
      <c r="B57" s="358" t="s">
        <v>636</v>
      </c>
      <c r="C57" s="356" t="s">
        <v>631</v>
      </c>
      <c r="D57" s="391"/>
      <c r="E57" s="380"/>
      <c r="F57" s="380"/>
      <c r="G57" s="310"/>
      <c r="H57" s="311"/>
      <c r="I57" s="310"/>
      <c r="J57" s="366"/>
    </row>
    <row r="58" spans="1:10" s="276" customFormat="1" collapsed="1">
      <c r="A58" s="333" t="s">
        <v>23</v>
      </c>
      <c r="B58" s="333" t="s">
        <v>1045</v>
      </c>
      <c r="C58" s="332" t="s">
        <v>1044</v>
      </c>
      <c r="D58" s="334" t="s">
        <v>604</v>
      </c>
      <c r="E58" s="286" t="s">
        <v>596</v>
      </c>
      <c r="F58" s="334" t="str">
        <f>IF(H58&gt;0,"F",IF(I58&gt;0,"A",IF(G58&gt;0,"P","NT")))</f>
        <v>P</v>
      </c>
      <c r="G58" s="334">
        <f>COUNTA(G59:G78)</f>
        <v>16</v>
      </c>
      <c r="H58" s="334">
        <f>COUNTA(H59:H78)</f>
        <v>0</v>
      </c>
      <c r="I58" s="334">
        <f>COUNTA(I59:I78)</f>
        <v>0</v>
      </c>
      <c r="J58" s="365">
        <f>COUNTA(J59:J78)</f>
        <v>1</v>
      </c>
    </row>
    <row r="59" spans="1:10" s="371" customFormat="1" ht="30" hidden="1" outlineLevel="1">
      <c r="A59" s="390"/>
      <c r="B59" s="354" t="s">
        <v>446</v>
      </c>
      <c r="C59" s="348" t="s">
        <v>992</v>
      </c>
      <c r="D59" s="391"/>
      <c r="E59" s="380"/>
      <c r="F59" s="380"/>
      <c r="G59" s="310"/>
      <c r="H59" s="311"/>
      <c r="I59" s="310"/>
      <c r="J59" s="366"/>
    </row>
    <row r="60" spans="1:10" s="371" customFormat="1" ht="45" hidden="1" customHeight="1" outlineLevel="1">
      <c r="A60" s="390"/>
      <c r="B60" s="354">
        <v>1</v>
      </c>
      <c r="C60" s="353" t="s">
        <v>621</v>
      </c>
      <c r="D60" s="391"/>
      <c r="E60" s="380"/>
      <c r="F60" s="380"/>
      <c r="G60" s="310" t="s">
        <v>603</v>
      </c>
      <c r="H60" s="311"/>
      <c r="I60" s="310"/>
      <c r="J60" s="366"/>
    </row>
    <row r="61" spans="1:10" s="371" customFormat="1" ht="45" hidden="1" customHeight="1" outlineLevel="1">
      <c r="A61" s="390"/>
      <c r="B61" s="354">
        <v>2</v>
      </c>
      <c r="C61" s="353" t="s">
        <v>991</v>
      </c>
      <c r="D61" s="391"/>
      <c r="E61" s="380"/>
      <c r="F61" s="380"/>
      <c r="G61" s="310" t="s">
        <v>603</v>
      </c>
      <c r="H61" s="311"/>
      <c r="I61" s="310"/>
      <c r="J61" s="366"/>
    </row>
    <row r="62" spans="1:10" s="371" customFormat="1" ht="45" hidden="1" customHeight="1" outlineLevel="1">
      <c r="A62" s="390"/>
      <c r="B62" s="354">
        <v>3</v>
      </c>
      <c r="C62" s="357" t="s">
        <v>990</v>
      </c>
      <c r="D62" s="391"/>
      <c r="E62" s="380"/>
      <c r="F62" s="380"/>
      <c r="G62" s="310" t="s">
        <v>603</v>
      </c>
      <c r="H62" s="311"/>
      <c r="I62" s="310"/>
      <c r="J62" s="366"/>
    </row>
    <row r="63" spans="1:10" s="371" customFormat="1" hidden="1" outlineLevel="1">
      <c r="A63" s="390"/>
      <c r="B63" s="354">
        <v>4</v>
      </c>
      <c r="C63" s="359" t="s">
        <v>1043</v>
      </c>
      <c r="D63" s="391"/>
      <c r="E63" s="380"/>
      <c r="F63" s="380"/>
      <c r="G63" s="310" t="s">
        <v>603</v>
      </c>
      <c r="H63" s="311"/>
      <c r="I63" s="310"/>
      <c r="J63" s="366"/>
    </row>
    <row r="64" spans="1:10" s="371" customFormat="1" hidden="1" outlineLevel="1">
      <c r="A64" s="390"/>
      <c r="B64" s="354">
        <v>5</v>
      </c>
      <c r="C64" s="359" t="s">
        <v>1018</v>
      </c>
      <c r="D64" s="391"/>
      <c r="E64" s="380"/>
      <c r="F64" s="380"/>
      <c r="G64" s="310" t="s">
        <v>603</v>
      </c>
      <c r="H64" s="311"/>
      <c r="I64" s="310"/>
      <c r="J64" s="366"/>
    </row>
    <row r="65" spans="1:10" s="371" customFormat="1" hidden="1" outlineLevel="1">
      <c r="A65" s="390"/>
      <c r="B65" s="354">
        <v>6</v>
      </c>
      <c r="C65" s="359" t="s">
        <v>1017</v>
      </c>
      <c r="D65" s="391"/>
      <c r="E65" s="380"/>
      <c r="F65" s="380"/>
      <c r="G65" s="310" t="s">
        <v>603</v>
      </c>
      <c r="H65" s="311"/>
      <c r="I65" s="310"/>
      <c r="J65" s="366"/>
    </row>
    <row r="66" spans="1:10" s="371" customFormat="1" hidden="1" outlineLevel="1">
      <c r="A66" s="390"/>
      <c r="B66" s="354">
        <v>7</v>
      </c>
      <c r="C66" s="359" t="s">
        <v>1042</v>
      </c>
      <c r="D66" s="391"/>
      <c r="E66" s="380"/>
      <c r="F66" s="380"/>
      <c r="G66" s="310" t="s">
        <v>603</v>
      </c>
      <c r="H66" s="311"/>
      <c r="I66" s="310"/>
      <c r="J66" s="366"/>
    </row>
    <row r="67" spans="1:10" s="371" customFormat="1" hidden="1" outlineLevel="1">
      <c r="A67" s="390"/>
      <c r="B67" s="349">
        <v>8</v>
      </c>
      <c r="C67" s="359" t="s">
        <v>1004</v>
      </c>
      <c r="D67" s="391"/>
      <c r="E67" s="380"/>
      <c r="F67" s="380"/>
      <c r="G67" s="310" t="s">
        <v>603</v>
      </c>
      <c r="H67" s="311"/>
      <c r="I67" s="310"/>
      <c r="J67" s="366"/>
    </row>
    <row r="68" spans="1:10" s="371" customFormat="1" hidden="1" outlineLevel="1">
      <c r="A68" s="390"/>
      <c r="B68" s="349">
        <v>9</v>
      </c>
      <c r="C68" s="359" t="s">
        <v>1041</v>
      </c>
      <c r="D68" s="391"/>
      <c r="E68" s="380"/>
      <c r="F68" s="380"/>
      <c r="G68" s="310" t="s">
        <v>603</v>
      </c>
      <c r="H68" s="311"/>
      <c r="I68" s="310"/>
      <c r="J68" s="366"/>
    </row>
    <row r="69" spans="1:10" s="371" customFormat="1" hidden="1" outlineLevel="1">
      <c r="A69" s="390"/>
      <c r="B69" s="349">
        <v>10</v>
      </c>
      <c r="C69" s="359" t="s">
        <v>898</v>
      </c>
      <c r="D69" s="391"/>
      <c r="E69" s="380"/>
      <c r="F69" s="380"/>
      <c r="G69" s="310" t="s">
        <v>603</v>
      </c>
      <c r="H69" s="311"/>
      <c r="I69" s="310"/>
      <c r="J69" s="366"/>
    </row>
    <row r="70" spans="1:10" s="371" customFormat="1" hidden="1" outlineLevel="1">
      <c r="A70" s="390"/>
      <c r="B70" s="349">
        <v>11</v>
      </c>
      <c r="C70" s="359" t="s">
        <v>1040</v>
      </c>
      <c r="D70" s="391"/>
      <c r="E70" s="380"/>
      <c r="F70" s="380"/>
      <c r="G70" s="310" t="s">
        <v>603</v>
      </c>
      <c r="H70" s="311"/>
      <c r="I70" s="310"/>
      <c r="J70" s="366"/>
    </row>
    <row r="71" spans="1:10" s="371" customFormat="1" hidden="1" outlineLevel="1">
      <c r="A71" s="390"/>
      <c r="B71" s="349">
        <v>12</v>
      </c>
      <c r="C71" s="359" t="s">
        <v>1039</v>
      </c>
      <c r="D71" s="391"/>
      <c r="E71" s="380"/>
      <c r="F71" s="380"/>
      <c r="G71" s="310" t="s">
        <v>603</v>
      </c>
      <c r="H71" s="311"/>
      <c r="I71" s="310"/>
      <c r="J71" s="366"/>
    </row>
    <row r="72" spans="1:10" s="371" customFormat="1" hidden="1" outlineLevel="1">
      <c r="A72" s="390"/>
      <c r="B72" s="349">
        <v>13</v>
      </c>
      <c r="C72" s="359" t="s">
        <v>1038</v>
      </c>
      <c r="D72" s="391"/>
      <c r="E72" s="380"/>
      <c r="F72" s="380"/>
      <c r="G72" s="310" t="s">
        <v>603</v>
      </c>
      <c r="H72" s="311"/>
      <c r="I72" s="310"/>
      <c r="J72" s="366"/>
    </row>
    <row r="73" spans="1:10" s="371" customFormat="1" ht="82.5" hidden="1" customHeight="1" outlineLevel="1">
      <c r="A73" s="390"/>
      <c r="B73" s="354" t="s">
        <v>1037</v>
      </c>
      <c r="C73" s="400" t="s">
        <v>1036</v>
      </c>
      <c r="D73" s="391"/>
      <c r="E73" s="380"/>
      <c r="F73" s="380"/>
      <c r="G73" s="310"/>
      <c r="H73" s="311"/>
      <c r="I73" s="310"/>
      <c r="J73" s="366"/>
    </row>
    <row r="74" spans="1:10" s="371" customFormat="1" hidden="1" outlineLevel="1">
      <c r="A74" s="390"/>
      <c r="B74" s="349">
        <v>10</v>
      </c>
      <c r="C74" s="359" t="s">
        <v>632</v>
      </c>
      <c r="D74" s="391"/>
      <c r="E74" s="380"/>
      <c r="F74" s="380"/>
      <c r="G74" s="310" t="s">
        <v>603</v>
      </c>
      <c r="H74" s="311"/>
      <c r="I74" s="310"/>
      <c r="J74" s="366"/>
    </row>
    <row r="75" spans="1:10" s="371" customFormat="1" ht="41.25" hidden="1" customHeight="1" outlineLevel="1">
      <c r="A75" s="390"/>
      <c r="B75" s="354">
        <v>11</v>
      </c>
      <c r="C75" s="353" t="s">
        <v>980</v>
      </c>
      <c r="D75" s="391"/>
      <c r="E75" s="380"/>
      <c r="F75" s="380"/>
      <c r="G75" s="310"/>
      <c r="H75" s="311"/>
      <c r="I75" s="310"/>
      <c r="J75" s="366" t="s">
        <v>1259</v>
      </c>
    </row>
    <row r="76" spans="1:10" s="371" customFormat="1" hidden="1" outlineLevel="1">
      <c r="A76" s="390"/>
      <c r="B76" s="354">
        <v>12</v>
      </c>
      <c r="C76" s="355" t="s">
        <v>1035</v>
      </c>
      <c r="D76" s="391"/>
      <c r="E76" s="380"/>
      <c r="F76" s="380"/>
      <c r="G76" s="310" t="s">
        <v>603</v>
      </c>
      <c r="H76" s="311"/>
      <c r="I76" s="310"/>
      <c r="J76" s="366"/>
    </row>
    <row r="77" spans="1:10" s="371" customFormat="1" hidden="1" outlineLevel="1">
      <c r="A77" s="390"/>
      <c r="B77" s="354">
        <v>13</v>
      </c>
      <c r="C77" s="359" t="s">
        <v>630</v>
      </c>
      <c r="D77" s="391"/>
      <c r="E77" s="380"/>
      <c r="F77" s="380"/>
      <c r="G77" s="310" t="s">
        <v>603</v>
      </c>
      <c r="H77" s="311"/>
      <c r="I77" s="310"/>
      <c r="J77" s="366"/>
    </row>
    <row r="78" spans="1:10" s="371" customFormat="1" ht="45" hidden="1" customHeight="1" outlineLevel="1">
      <c r="A78" s="390"/>
      <c r="B78" s="358" t="s">
        <v>637</v>
      </c>
      <c r="C78" s="356" t="s">
        <v>631</v>
      </c>
      <c r="D78" s="391"/>
      <c r="E78" s="380"/>
      <c r="F78" s="380"/>
      <c r="G78" s="310"/>
      <c r="H78" s="311"/>
      <c r="I78" s="310"/>
      <c r="J78" s="366"/>
    </row>
    <row r="79" spans="1:10" s="371" customFormat="1" ht="14.25" customHeight="1" collapsed="1">
      <c r="A79" s="333" t="s">
        <v>23</v>
      </c>
      <c r="B79" s="333" t="s">
        <v>1034</v>
      </c>
      <c r="C79" s="332" t="s">
        <v>1033</v>
      </c>
      <c r="D79" s="334" t="s">
        <v>604</v>
      </c>
      <c r="E79" s="288" t="s">
        <v>596</v>
      </c>
      <c r="F79" s="334" t="str">
        <f>IF(H79&gt;0,"F",IF(I79&gt;0,"A",IF(G79&gt;0,"P","NT")))</f>
        <v>P</v>
      </c>
      <c r="G79" s="334">
        <f>COUNTA(G80:G90)</f>
        <v>10</v>
      </c>
      <c r="H79" s="334">
        <f>COUNTA(H80:H90)</f>
        <v>0</v>
      </c>
      <c r="I79" s="334">
        <f>COUNTA(I80:I90)</f>
        <v>0</v>
      </c>
      <c r="J79" s="365">
        <f>COUNTA(J80:J85)</f>
        <v>0</v>
      </c>
    </row>
    <row r="80" spans="1:10" s="371" customFormat="1" ht="30" hidden="1" outlineLevel="1">
      <c r="A80" s="290"/>
      <c r="B80" s="354" t="s">
        <v>446</v>
      </c>
      <c r="C80" s="348" t="s">
        <v>985</v>
      </c>
      <c r="D80" s="391"/>
      <c r="E80" s="392"/>
      <c r="F80" s="289"/>
      <c r="G80" s="314"/>
      <c r="H80" s="315"/>
      <c r="I80" s="316"/>
      <c r="J80" s="364"/>
    </row>
    <row r="81" spans="1:11" s="371" customFormat="1" hidden="1" outlineLevel="1">
      <c r="A81" s="290"/>
      <c r="B81" s="354">
        <v>1</v>
      </c>
      <c r="C81" s="353" t="s">
        <v>621</v>
      </c>
      <c r="D81" s="391"/>
      <c r="E81" s="392"/>
      <c r="F81" s="289"/>
      <c r="G81" s="314" t="s">
        <v>603</v>
      </c>
      <c r="H81" s="315"/>
      <c r="I81" s="316"/>
      <c r="J81" s="364"/>
      <c r="K81" s="287"/>
    </row>
    <row r="82" spans="1:11" s="371" customFormat="1" ht="30" hidden="1" outlineLevel="1">
      <c r="A82" s="290"/>
      <c r="B82" s="354">
        <v>2</v>
      </c>
      <c r="C82" s="353" t="s">
        <v>991</v>
      </c>
      <c r="D82" s="391"/>
      <c r="E82" s="392"/>
      <c r="F82" s="289"/>
      <c r="G82" s="314" t="s">
        <v>603</v>
      </c>
      <c r="H82" s="315"/>
      <c r="I82" s="316"/>
      <c r="J82" s="364"/>
      <c r="K82" s="287"/>
    </row>
    <row r="83" spans="1:11" s="371" customFormat="1" hidden="1" outlineLevel="1">
      <c r="A83" s="290"/>
      <c r="B83" s="354">
        <v>3</v>
      </c>
      <c r="C83" s="357" t="s">
        <v>990</v>
      </c>
      <c r="D83" s="391"/>
      <c r="E83" s="392"/>
      <c r="F83" s="289"/>
      <c r="G83" s="314" t="s">
        <v>603</v>
      </c>
      <c r="H83" s="315"/>
      <c r="I83" s="316"/>
      <c r="J83" s="364"/>
      <c r="K83" s="287"/>
    </row>
    <row r="84" spans="1:11" s="371" customFormat="1" hidden="1" outlineLevel="1">
      <c r="A84" s="290"/>
      <c r="B84" s="354">
        <v>4</v>
      </c>
      <c r="C84" s="348" t="s">
        <v>1032</v>
      </c>
      <c r="D84" s="391"/>
      <c r="E84" s="392"/>
      <c r="F84" s="289"/>
      <c r="G84" s="314" t="s">
        <v>603</v>
      </c>
      <c r="H84" s="315"/>
      <c r="I84" s="316"/>
      <c r="J84" s="364"/>
      <c r="K84" s="287"/>
    </row>
    <row r="85" spans="1:11" s="371" customFormat="1" hidden="1" outlineLevel="1">
      <c r="A85" s="290"/>
      <c r="B85" s="354">
        <v>5</v>
      </c>
      <c r="C85" s="348" t="s">
        <v>1031</v>
      </c>
      <c r="D85" s="391"/>
      <c r="E85" s="392"/>
      <c r="F85" s="289"/>
      <c r="G85" s="314" t="s">
        <v>603</v>
      </c>
      <c r="H85" s="315"/>
      <c r="I85" s="316"/>
      <c r="J85" s="364"/>
      <c r="K85" s="287"/>
    </row>
    <row r="86" spans="1:11" s="371" customFormat="1" hidden="1" outlineLevel="1">
      <c r="A86" s="292"/>
      <c r="B86" s="354">
        <v>6</v>
      </c>
      <c r="C86" s="394" t="s">
        <v>1030</v>
      </c>
      <c r="D86" s="391"/>
      <c r="E86" s="293"/>
      <c r="F86" s="293"/>
      <c r="G86" s="312" t="s">
        <v>603</v>
      </c>
      <c r="H86" s="312"/>
      <c r="I86" s="313"/>
      <c r="J86" s="345"/>
      <c r="K86" s="291"/>
    </row>
    <row r="87" spans="1:11" s="371" customFormat="1" hidden="1" outlineLevel="1">
      <c r="A87" s="292"/>
      <c r="B87" s="354">
        <v>7</v>
      </c>
      <c r="C87" s="394" t="s">
        <v>907</v>
      </c>
      <c r="D87" s="391"/>
      <c r="E87" s="293"/>
      <c r="F87" s="293"/>
      <c r="G87" s="312" t="s">
        <v>603</v>
      </c>
      <c r="H87" s="312"/>
      <c r="I87" s="313"/>
      <c r="J87" s="345"/>
      <c r="K87" s="291"/>
    </row>
    <row r="88" spans="1:11" s="371" customFormat="1" hidden="1" outlineLevel="1">
      <c r="A88" s="292"/>
      <c r="B88" s="354">
        <v>8</v>
      </c>
      <c r="C88" s="394" t="s">
        <v>908</v>
      </c>
      <c r="D88" s="391"/>
      <c r="E88" s="293"/>
      <c r="F88" s="293"/>
      <c r="G88" s="312" t="s">
        <v>603</v>
      </c>
      <c r="H88" s="312"/>
      <c r="I88" s="313"/>
      <c r="J88" s="345"/>
      <c r="K88" s="291"/>
    </row>
    <row r="89" spans="1:11" s="371" customFormat="1" ht="117" hidden="1" customHeight="1" outlineLevel="1">
      <c r="A89" s="292"/>
      <c r="B89" s="354" t="s">
        <v>638</v>
      </c>
      <c r="C89" s="394" t="s">
        <v>1029</v>
      </c>
      <c r="D89" s="391"/>
      <c r="E89" s="293"/>
      <c r="F89" s="293"/>
      <c r="G89" s="312" t="s">
        <v>603</v>
      </c>
      <c r="H89" s="312"/>
      <c r="I89" s="313"/>
      <c r="J89" s="345"/>
      <c r="K89" s="291"/>
    </row>
    <row r="90" spans="1:11" s="371" customFormat="1" ht="129" hidden="1" customHeight="1" outlineLevel="1">
      <c r="A90" s="292"/>
      <c r="B90" s="354" t="s">
        <v>639</v>
      </c>
      <c r="C90" s="394" t="s">
        <v>1028</v>
      </c>
      <c r="D90" s="391"/>
      <c r="E90" s="293"/>
      <c r="F90" s="293"/>
      <c r="G90" s="312" t="s">
        <v>603</v>
      </c>
      <c r="H90" s="312"/>
      <c r="I90" s="313"/>
      <c r="J90" s="345"/>
      <c r="K90" s="291"/>
    </row>
    <row r="91" spans="1:11" s="371" customFormat="1" ht="159.75" hidden="1" customHeight="1" outlineLevel="1">
      <c r="A91" s="292"/>
      <c r="B91" s="354" t="s">
        <v>646</v>
      </c>
      <c r="C91" s="394" t="s">
        <v>1027</v>
      </c>
      <c r="D91" s="391"/>
      <c r="E91" s="293"/>
      <c r="F91" s="293"/>
      <c r="G91" s="312" t="s">
        <v>603</v>
      </c>
      <c r="H91" s="312"/>
      <c r="I91" s="313"/>
      <c r="J91" s="345"/>
      <c r="K91" s="291"/>
    </row>
    <row r="92" spans="1:11" s="371" customFormat="1" ht="180.75" hidden="1" customHeight="1" outlineLevel="1">
      <c r="A92" s="292"/>
      <c r="B92" s="354" t="s">
        <v>647</v>
      </c>
      <c r="C92" s="394" t="s">
        <v>1026</v>
      </c>
      <c r="D92" s="391"/>
      <c r="E92" s="293"/>
      <c r="F92" s="293"/>
      <c r="G92" s="312" t="s">
        <v>603</v>
      </c>
      <c r="H92" s="312"/>
      <c r="I92" s="313"/>
      <c r="J92" s="345"/>
      <c r="K92" s="291"/>
    </row>
    <row r="93" spans="1:11" s="371" customFormat="1" hidden="1" outlineLevel="1">
      <c r="A93" s="292"/>
      <c r="B93" s="354">
        <v>6</v>
      </c>
      <c r="C93" s="394" t="s">
        <v>913</v>
      </c>
      <c r="D93" s="391"/>
      <c r="E93" s="293"/>
      <c r="F93" s="293"/>
      <c r="G93" s="312" t="s">
        <v>603</v>
      </c>
      <c r="H93" s="312"/>
      <c r="I93" s="313"/>
      <c r="J93" s="345"/>
      <c r="K93" s="396" t="s">
        <v>979</v>
      </c>
    </row>
    <row r="94" spans="1:11" s="371" customFormat="1" hidden="1" outlineLevel="1">
      <c r="A94" s="292"/>
      <c r="B94" s="354">
        <v>7</v>
      </c>
      <c r="C94" s="394" t="s">
        <v>914</v>
      </c>
      <c r="D94" s="391"/>
      <c r="E94" s="293"/>
      <c r="F94" s="293"/>
      <c r="G94" s="312" t="s">
        <v>603</v>
      </c>
      <c r="H94" s="312"/>
      <c r="I94" s="313"/>
      <c r="J94" s="345"/>
      <c r="K94" s="396"/>
    </row>
    <row r="95" spans="1:11" s="371" customFormat="1" hidden="1" outlineLevel="1">
      <c r="A95" s="292"/>
      <c r="B95" s="354">
        <v>8</v>
      </c>
      <c r="C95" s="353" t="s">
        <v>980</v>
      </c>
      <c r="D95" s="391"/>
      <c r="E95" s="293"/>
      <c r="F95" s="293"/>
      <c r="G95" s="312" t="s">
        <v>603</v>
      </c>
      <c r="H95" s="312"/>
      <c r="I95" s="313"/>
      <c r="J95" s="345"/>
      <c r="K95" s="291"/>
    </row>
    <row r="96" spans="1:11" s="371" customFormat="1" hidden="1" outlineLevel="1">
      <c r="A96" s="292"/>
      <c r="B96" s="349">
        <v>9</v>
      </c>
      <c r="C96" s="353" t="s">
        <v>659</v>
      </c>
      <c r="D96" s="391"/>
      <c r="E96" s="293"/>
      <c r="F96" s="293"/>
      <c r="G96" s="312" t="s">
        <v>603</v>
      </c>
      <c r="H96" s="312"/>
      <c r="I96" s="313"/>
      <c r="J96" s="345"/>
      <c r="K96" s="291"/>
    </row>
    <row r="97" spans="1:11" s="455" customFormat="1" ht="75" hidden="1" outlineLevel="1">
      <c r="A97" s="290"/>
      <c r="B97" s="354" t="s">
        <v>640</v>
      </c>
      <c r="C97" s="348" t="s">
        <v>1261</v>
      </c>
      <c r="D97" s="452"/>
      <c r="E97" s="453"/>
      <c r="F97" s="289"/>
      <c r="G97" s="314"/>
      <c r="H97" s="315"/>
      <c r="I97" s="316"/>
      <c r="J97" s="364"/>
      <c r="K97" s="454"/>
    </row>
    <row r="98" spans="1:11" s="371" customFormat="1" hidden="1" outlineLevel="1">
      <c r="A98" s="292"/>
      <c r="B98" s="349">
        <v>10</v>
      </c>
      <c r="C98" s="359" t="s">
        <v>630</v>
      </c>
      <c r="D98" s="391"/>
      <c r="E98" s="293"/>
      <c r="F98" s="293"/>
      <c r="G98" s="312" t="s">
        <v>603</v>
      </c>
      <c r="H98" s="312"/>
      <c r="I98" s="313"/>
      <c r="J98" s="345"/>
      <c r="K98" s="291"/>
    </row>
    <row r="99" spans="1:11" s="423" customFormat="1">
      <c r="A99" s="414"/>
      <c r="B99" s="415"/>
      <c r="C99" s="416"/>
      <c r="D99" s="417"/>
      <c r="E99" s="418"/>
      <c r="F99" s="418"/>
      <c r="G99" s="419"/>
      <c r="H99" s="419"/>
      <c r="I99" s="420"/>
      <c r="J99" s="421"/>
      <c r="K99" s="422"/>
    </row>
    <row r="100" spans="1:11" s="276" customFormat="1" collapsed="1">
      <c r="A100" s="333" t="s">
        <v>23</v>
      </c>
      <c r="B100" s="333" t="s">
        <v>1025</v>
      </c>
      <c r="C100" s="332" t="s">
        <v>1024</v>
      </c>
      <c r="D100" s="334" t="s">
        <v>604</v>
      </c>
      <c r="E100" s="286" t="s">
        <v>596</v>
      </c>
      <c r="F100" s="334" t="str">
        <f>IF(H100&gt;0,"F",IF(I100&gt;0,"A",IF(G100&gt;0,"P","NT")))</f>
        <v>P</v>
      </c>
      <c r="G100" s="334">
        <f>COUNTA(G101:G106)</f>
        <v>2</v>
      </c>
      <c r="H100" s="334">
        <f>COUNTA(H101:H106)</f>
        <v>0</v>
      </c>
      <c r="I100" s="334">
        <f>COUNTA(I101:I106)</f>
        <v>0</v>
      </c>
      <c r="J100" s="365">
        <f>COUNTA(J101:J106)</f>
        <v>0</v>
      </c>
    </row>
    <row r="101" spans="1:11" s="371" customFormat="1" ht="30" hidden="1" outlineLevel="1">
      <c r="A101" s="390"/>
      <c r="B101" s="351" t="s">
        <v>598</v>
      </c>
      <c r="C101" s="348" t="s">
        <v>918</v>
      </c>
      <c r="D101" s="391"/>
      <c r="E101" s="380"/>
      <c r="F101" s="380"/>
      <c r="G101" s="310"/>
      <c r="H101" s="311"/>
      <c r="I101" s="310"/>
      <c r="J101" s="366"/>
    </row>
    <row r="102" spans="1:11" s="371" customFormat="1" ht="30" hidden="1" customHeight="1" outlineLevel="1">
      <c r="A102" s="390"/>
      <c r="B102" s="351" t="s">
        <v>599</v>
      </c>
      <c r="C102" s="348" t="s">
        <v>620</v>
      </c>
      <c r="D102" s="391"/>
      <c r="E102" s="380"/>
      <c r="F102" s="380"/>
      <c r="G102" s="310"/>
      <c r="H102" s="311"/>
      <c r="I102" s="310"/>
      <c r="J102" s="366"/>
    </row>
    <row r="103" spans="1:11" s="371" customFormat="1" ht="30" hidden="1" customHeight="1" outlineLevel="1">
      <c r="A103" s="390"/>
      <c r="B103" s="382" t="s">
        <v>634</v>
      </c>
      <c r="C103" s="348" t="s">
        <v>868</v>
      </c>
      <c r="D103" s="391"/>
      <c r="E103" s="380"/>
      <c r="F103" s="380"/>
      <c r="G103" s="310"/>
      <c r="H103" s="311"/>
      <c r="I103" s="310"/>
      <c r="J103" s="366"/>
    </row>
    <row r="104" spans="1:11" s="371" customFormat="1" hidden="1" outlineLevel="1">
      <c r="A104" s="390"/>
      <c r="B104" s="352">
        <v>1</v>
      </c>
      <c r="C104" s="353" t="s">
        <v>621</v>
      </c>
      <c r="D104" s="391"/>
      <c r="E104" s="380"/>
      <c r="F104" s="380"/>
      <c r="G104" s="310" t="s">
        <v>603</v>
      </c>
      <c r="H104" s="311"/>
      <c r="I104" s="310"/>
      <c r="J104" s="366"/>
    </row>
    <row r="105" spans="1:11" s="371" customFormat="1" hidden="1" outlineLevel="1">
      <c r="A105" s="390"/>
      <c r="B105" s="352">
        <v>2</v>
      </c>
      <c r="C105" s="353" t="s">
        <v>1023</v>
      </c>
      <c r="D105" s="391"/>
      <c r="E105" s="380"/>
      <c r="F105" s="380"/>
      <c r="G105" s="310" t="s">
        <v>603</v>
      </c>
      <c r="H105" s="311"/>
      <c r="I105" s="310"/>
      <c r="J105" s="366"/>
    </row>
    <row r="106" spans="1:11" s="371" customFormat="1" hidden="1" outlineLevel="1">
      <c r="A106" s="390"/>
      <c r="B106" s="352" t="s">
        <v>635</v>
      </c>
      <c r="C106" s="353" t="s">
        <v>631</v>
      </c>
      <c r="D106" s="391"/>
      <c r="E106" s="380"/>
      <c r="F106" s="380"/>
      <c r="G106" s="310"/>
      <c r="H106" s="311"/>
      <c r="I106" s="310"/>
      <c r="J106" s="366"/>
    </row>
    <row r="107" spans="1:11" s="276" customFormat="1" collapsed="1">
      <c r="A107" s="333" t="s">
        <v>23</v>
      </c>
      <c r="B107" s="333" t="s">
        <v>1022</v>
      </c>
      <c r="C107" s="332" t="s">
        <v>1021</v>
      </c>
      <c r="D107" s="334" t="s">
        <v>604</v>
      </c>
      <c r="E107" s="286" t="s">
        <v>596</v>
      </c>
      <c r="F107" s="334" t="str">
        <f>IF(H107&gt;0,"F",IF(I107&gt;0,"A",IF(G107&gt;0,"P","NT")))</f>
        <v>P</v>
      </c>
      <c r="G107" s="334">
        <f>COUNTA(G108:G111)</f>
        <v>2</v>
      </c>
      <c r="H107" s="334">
        <f>COUNTA(H108:H111)</f>
        <v>0</v>
      </c>
      <c r="I107" s="334">
        <f>COUNTA(I108:I111)</f>
        <v>0</v>
      </c>
      <c r="J107" s="365">
        <f>COUNTA(J108:J111)</f>
        <v>0</v>
      </c>
    </row>
    <row r="108" spans="1:11" s="371" customFormat="1" ht="30" hidden="1" outlineLevel="1">
      <c r="A108" s="390"/>
      <c r="B108" s="354" t="s">
        <v>446</v>
      </c>
      <c r="C108" s="348" t="s">
        <v>985</v>
      </c>
      <c r="D108" s="391"/>
      <c r="E108" s="380"/>
      <c r="F108" s="380"/>
      <c r="G108" s="310"/>
      <c r="H108" s="311"/>
      <c r="I108" s="310"/>
      <c r="J108" s="366"/>
    </row>
    <row r="109" spans="1:11" s="371" customFormat="1" hidden="1" outlineLevel="1">
      <c r="A109" s="390"/>
      <c r="B109" s="354">
        <v>1</v>
      </c>
      <c r="C109" s="353" t="s">
        <v>621</v>
      </c>
      <c r="D109" s="391"/>
      <c r="E109" s="380"/>
      <c r="F109" s="380"/>
      <c r="G109" s="310" t="s">
        <v>603</v>
      </c>
      <c r="H109" s="311"/>
      <c r="I109" s="310"/>
      <c r="J109" s="366"/>
    </row>
    <row r="110" spans="1:11" s="371" customFormat="1" hidden="1" outlineLevel="1">
      <c r="A110" s="390"/>
      <c r="B110" s="354">
        <v>2</v>
      </c>
      <c r="C110" s="353" t="s">
        <v>995</v>
      </c>
      <c r="D110" s="391"/>
      <c r="E110" s="380"/>
      <c r="F110" s="380"/>
      <c r="G110" s="310" t="s">
        <v>603</v>
      </c>
      <c r="H110" s="311"/>
      <c r="I110" s="310"/>
      <c r="J110" s="366"/>
    </row>
    <row r="111" spans="1:11" s="371" customFormat="1" hidden="1" outlineLevel="1">
      <c r="A111" s="390"/>
      <c r="B111" s="358" t="s">
        <v>636</v>
      </c>
      <c r="C111" s="374" t="s">
        <v>631</v>
      </c>
      <c r="D111" s="391"/>
      <c r="E111" s="380"/>
      <c r="F111" s="380"/>
      <c r="G111" s="310"/>
      <c r="H111" s="311"/>
      <c r="I111" s="310"/>
      <c r="J111" s="366"/>
    </row>
    <row r="112" spans="1:11" s="371" customFormat="1" collapsed="1">
      <c r="A112" s="333" t="s">
        <v>23</v>
      </c>
      <c r="B112" s="333" t="s">
        <v>1020</v>
      </c>
      <c r="C112" s="332" t="s">
        <v>1019</v>
      </c>
      <c r="D112" s="334" t="s">
        <v>604</v>
      </c>
      <c r="E112" s="288" t="s">
        <v>596</v>
      </c>
      <c r="F112" s="334" t="str">
        <f>IF(H112&gt;0,"F",IF(I112&gt;0,"A",IF(G112&gt;0,"P","NT")))</f>
        <v>P</v>
      </c>
      <c r="G112" s="334">
        <f>COUNTA(G113:G127)</f>
        <v>12</v>
      </c>
      <c r="H112" s="334">
        <f>COUNTA(H113:H127)</f>
        <v>0</v>
      </c>
      <c r="I112" s="334">
        <f>COUNTA(I113:I127)</f>
        <v>0</v>
      </c>
      <c r="J112" s="365">
        <f>COUNTA(J113:J127)</f>
        <v>1</v>
      </c>
    </row>
    <row r="113" spans="1:11" s="371" customFormat="1" ht="30" hidden="1" outlineLevel="1">
      <c r="A113" s="290"/>
      <c r="B113" s="354" t="s">
        <v>446</v>
      </c>
      <c r="C113" s="348" t="s">
        <v>992</v>
      </c>
      <c r="D113" s="391"/>
      <c r="E113" s="392"/>
      <c r="F113" s="289"/>
      <c r="G113" s="314"/>
      <c r="H113" s="315"/>
      <c r="I113" s="316"/>
      <c r="J113" s="364"/>
    </row>
    <row r="114" spans="1:11" s="371" customFormat="1" hidden="1" outlineLevel="1">
      <c r="A114" s="290"/>
      <c r="B114" s="354">
        <v>1</v>
      </c>
      <c r="C114" s="353" t="s">
        <v>621</v>
      </c>
      <c r="D114" s="391"/>
      <c r="E114" s="392"/>
      <c r="F114" s="289"/>
      <c r="G114" s="314" t="s">
        <v>603</v>
      </c>
      <c r="H114" s="315"/>
      <c r="I114" s="316"/>
      <c r="J114" s="364"/>
      <c r="K114" s="287"/>
    </row>
    <row r="115" spans="1:11" s="371" customFormat="1" ht="30" hidden="1" outlineLevel="1">
      <c r="A115" s="290"/>
      <c r="B115" s="354">
        <v>2</v>
      </c>
      <c r="C115" s="353" t="s">
        <v>991</v>
      </c>
      <c r="D115" s="391"/>
      <c r="E115" s="392"/>
      <c r="F115" s="289"/>
      <c r="G115" s="314" t="s">
        <v>603</v>
      </c>
      <c r="H115" s="315"/>
      <c r="I115" s="316"/>
      <c r="J115" s="364"/>
      <c r="K115" s="287"/>
    </row>
    <row r="116" spans="1:11" s="371" customFormat="1" hidden="1" outlineLevel="1">
      <c r="A116" s="290"/>
      <c r="B116" s="354">
        <v>3</v>
      </c>
      <c r="C116" s="357" t="s">
        <v>990</v>
      </c>
      <c r="D116" s="391"/>
      <c r="E116" s="392"/>
      <c r="F116" s="289"/>
      <c r="G116" s="314" t="s">
        <v>603</v>
      </c>
      <c r="H116" s="315"/>
      <c r="I116" s="316"/>
      <c r="J116" s="364"/>
      <c r="K116" s="287"/>
    </row>
    <row r="117" spans="1:11" s="371" customFormat="1" hidden="1" outlineLevel="1">
      <c r="A117" s="290"/>
      <c r="B117" s="354">
        <v>4</v>
      </c>
      <c r="C117" s="348" t="s">
        <v>1018</v>
      </c>
      <c r="D117" s="391"/>
      <c r="E117" s="392"/>
      <c r="F117" s="289"/>
      <c r="G117" s="314" t="s">
        <v>603</v>
      </c>
      <c r="H117" s="315"/>
      <c r="I117" s="316"/>
      <c r="J117" s="364"/>
      <c r="K117" s="287"/>
    </row>
    <row r="118" spans="1:11" s="371" customFormat="1" hidden="1" outlineLevel="1">
      <c r="A118" s="290"/>
      <c r="B118" s="354">
        <v>5</v>
      </c>
      <c r="C118" s="348" t="s">
        <v>1017</v>
      </c>
      <c r="D118" s="391"/>
      <c r="E118" s="392"/>
      <c r="F118" s="289"/>
      <c r="G118" s="314" t="s">
        <v>603</v>
      </c>
      <c r="H118" s="315"/>
      <c r="I118" s="316"/>
      <c r="J118" s="364"/>
      <c r="K118" s="287"/>
    </row>
    <row r="119" spans="1:11" s="371" customFormat="1" hidden="1" outlineLevel="1">
      <c r="A119" s="290"/>
      <c r="B119" s="354">
        <v>6</v>
      </c>
      <c r="C119" s="348" t="s">
        <v>925</v>
      </c>
      <c r="D119" s="391"/>
      <c r="E119" s="392"/>
      <c r="F119" s="289"/>
      <c r="G119" s="314" t="s">
        <v>603</v>
      </c>
      <c r="H119" s="315"/>
      <c r="I119" s="316"/>
      <c r="J119" s="364"/>
      <c r="K119" s="287"/>
    </row>
    <row r="120" spans="1:11" s="371" customFormat="1" hidden="1" outlineLevel="1">
      <c r="A120" s="290"/>
      <c r="B120" s="354">
        <v>7</v>
      </c>
      <c r="C120" s="348" t="s">
        <v>1004</v>
      </c>
      <c r="D120" s="391"/>
      <c r="E120" s="392"/>
      <c r="F120" s="289"/>
      <c r="G120" s="314" t="s">
        <v>603</v>
      </c>
      <c r="H120" s="315"/>
      <c r="I120" s="316"/>
      <c r="J120" s="364"/>
      <c r="K120" s="287"/>
    </row>
    <row r="121" spans="1:11" s="371" customFormat="1" hidden="1" outlineLevel="1">
      <c r="A121" s="290"/>
      <c r="B121" s="354">
        <v>8</v>
      </c>
      <c r="C121" s="348" t="s">
        <v>898</v>
      </c>
      <c r="D121" s="391"/>
      <c r="E121" s="392"/>
      <c r="F121" s="289"/>
      <c r="G121" s="314" t="s">
        <v>603</v>
      </c>
      <c r="H121" s="315"/>
      <c r="I121" s="316"/>
      <c r="J121" s="364"/>
      <c r="K121" s="287"/>
    </row>
    <row r="122" spans="1:11" s="371" customFormat="1" hidden="1" outlineLevel="1">
      <c r="A122" s="290"/>
      <c r="B122" s="354">
        <v>9</v>
      </c>
      <c r="C122" s="348" t="s">
        <v>899</v>
      </c>
      <c r="D122" s="391"/>
      <c r="E122" s="392"/>
      <c r="F122" s="289"/>
      <c r="G122" s="314" t="s">
        <v>603</v>
      </c>
      <c r="H122" s="315"/>
      <c r="I122" s="316"/>
      <c r="J122" s="364"/>
      <c r="K122" s="287"/>
    </row>
    <row r="123" spans="1:11" s="371" customFormat="1" hidden="1" outlineLevel="1">
      <c r="A123" s="290"/>
      <c r="B123" s="354">
        <v>10</v>
      </c>
      <c r="C123" s="348" t="s">
        <v>1016</v>
      </c>
      <c r="D123" s="391"/>
      <c r="E123" s="392"/>
      <c r="F123" s="289"/>
      <c r="G123" s="314" t="s">
        <v>603</v>
      </c>
      <c r="H123" s="315"/>
      <c r="I123" s="316"/>
      <c r="K123" s="287"/>
    </row>
    <row r="124" spans="1:11" s="371" customFormat="1" ht="90" hidden="1" outlineLevel="1">
      <c r="A124" s="390"/>
      <c r="B124" s="352">
        <v>11</v>
      </c>
      <c r="C124" s="353" t="s">
        <v>980</v>
      </c>
      <c r="D124" s="391"/>
      <c r="E124" s="380"/>
      <c r="F124" s="380"/>
      <c r="G124" s="310"/>
      <c r="H124" s="311"/>
      <c r="I124" s="310"/>
      <c r="J124" s="364" t="s">
        <v>1237</v>
      </c>
    </row>
    <row r="125" spans="1:11" s="371" customFormat="1" hidden="1" outlineLevel="1">
      <c r="A125" s="390"/>
      <c r="B125" s="352">
        <v>12</v>
      </c>
      <c r="C125" s="353" t="s">
        <v>902</v>
      </c>
      <c r="D125" s="391"/>
      <c r="E125" s="380"/>
      <c r="F125" s="380"/>
      <c r="G125" s="310" t="s">
        <v>603</v>
      </c>
      <c r="H125" s="311"/>
      <c r="I125" s="310"/>
      <c r="J125" s="366"/>
    </row>
    <row r="126" spans="1:11" s="371" customFormat="1" hidden="1" outlineLevel="1">
      <c r="A126" s="390"/>
      <c r="B126" s="354">
        <v>13</v>
      </c>
      <c r="C126" s="359" t="s">
        <v>630</v>
      </c>
      <c r="D126" s="391"/>
      <c r="E126" s="380"/>
      <c r="F126" s="380"/>
      <c r="G126" s="310" t="s">
        <v>603</v>
      </c>
      <c r="H126" s="311"/>
      <c r="I126" s="310"/>
      <c r="J126" s="366"/>
    </row>
    <row r="127" spans="1:11" s="371" customFormat="1" hidden="1" outlineLevel="1">
      <c r="A127" s="390"/>
      <c r="B127" s="358" t="s">
        <v>637</v>
      </c>
      <c r="C127" s="374" t="s">
        <v>631</v>
      </c>
      <c r="D127" s="391"/>
      <c r="E127" s="380"/>
      <c r="F127" s="380"/>
      <c r="G127" s="310"/>
      <c r="H127" s="311"/>
      <c r="I127" s="310"/>
      <c r="J127" s="366"/>
    </row>
    <row r="128" spans="1:11" s="371" customFormat="1" collapsed="1">
      <c r="A128" s="333" t="s">
        <v>23</v>
      </c>
      <c r="B128" s="333" t="s">
        <v>1015</v>
      </c>
      <c r="C128" s="332" t="s">
        <v>1014</v>
      </c>
      <c r="D128" s="334" t="s">
        <v>604</v>
      </c>
      <c r="E128" s="294" t="s">
        <v>596</v>
      </c>
      <c r="F128" s="334" t="str">
        <f>IF(H128&gt;0,"F",IF(I128&gt;0,"A",IF(G128&gt;0,"P","NT")))</f>
        <v>P</v>
      </c>
      <c r="G128" s="334">
        <f>COUNTA(G129:G144)</f>
        <v>13</v>
      </c>
      <c r="H128" s="334">
        <f>COUNTA(H129:H144)</f>
        <v>0</v>
      </c>
      <c r="I128" s="334">
        <f>COUNTA(I129:I144)</f>
        <v>0</v>
      </c>
      <c r="J128" s="365">
        <f>COUNTA(J129:J144)</f>
        <v>2</v>
      </c>
      <c r="K128" s="291"/>
    </row>
    <row r="129" spans="1:11" s="371" customFormat="1" ht="30" hidden="1" outlineLevel="1">
      <c r="A129" s="292"/>
      <c r="B129" s="354" t="s">
        <v>446</v>
      </c>
      <c r="C129" s="348" t="s">
        <v>985</v>
      </c>
      <c r="D129" s="391"/>
      <c r="E129" s="293"/>
      <c r="F129" s="293"/>
      <c r="G129" s="312"/>
      <c r="H129" s="312"/>
      <c r="I129" s="313"/>
      <c r="J129" s="345"/>
      <c r="K129" s="291"/>
    </row>
    <row r="130" spans="1:11" s="371" customFormat="1" hidden="1" outlineLevel="1">
      <c r="A130" s="292"/>
      <c r="B130" s="354">
        <v>1</v>
      </c>
      <c r="C130" s="353" t="s">
        <v>621</v>
      </c>
      <c r="D130" s="391"/>
      <c r="E130" s="293"/>
      <c r="F130" s="293"/>
      <c r="G130" s="312" t="s">
        <v>603</v>
      </c>
      <c r="H130" s="312"/>
      <c r="I130" s="313"/>
      <c r="J130" s="345"/>
      <c r="K130" s="291"/>
    </row>
    <row r="131" spans="1:11" s="371" customFormat="1" hidden="1" outlineLevel="1">
      <c r="A131" s="292"/>
      <c r="B131" s="354">
        <v>2</v>
      </c>
      <c r="C131" s="359" t="s">
        <v>905</v>
      </c>
      <c r="D131" s="391"/>
      <c r="E131" s="293"/>
      <c r="F131" s="293"/>
      <c r="G131" s="312" t="s">
        <v>603</v>
      </c>
      <c r="H131" s="312"/>
      <c r="I131" s="313"/>
      <c r="J131" s="345"/>
      <c r="K131" s="291"/>
    </row>
    <row r="132" spans="1:11" s="371" customFormat="1" ht="30" hidden="1" outlineLevel="1">
      <c r="A132" s="292"/>
      <c r="B132" s="354">
        <v>3</v>
      </c>
      <c r="C132" s="394" t="s">
        <v>933</v>
      </c>
      <c r="D132" s="391"/>
      <c r="E132" s="293"/>
      <c r="F132" s="293"/>
      <c r="G132" s="312" t="s">
        <v>603</v>
      </c>
      <c r="H132" s="312"/>
      <c r="I132" s="313"/>
      <c r="J132" s="345"/>
      <c r="K132" s="291"/>
    </row>
    <row r="133" spans="1:11" s="371" customFormat="1" hidden="1" outlineLevel="1">
      <c r="A133" s="292"/>
      <c r="B133" s="354">
        <v>4</v>
      </c>
      <c r="C133" s="394" t="s">
        <v>934</v>
      </c>
      <c r="D133" s="391"/>
      <c r="E133" s="293"/>
      <c r="F133" s="293"/>
      <c r="G133" s="312" t="s">
        <v>603</v>
      </c>
      <c r="H133" s="312"/>
      <c r="I133" s="313"/>
      <c r="J133" s="345"/>
      <c r="K133" s="291"/>
    </row>
    <row r="134" spans="1:11" s="371" customFormat="1" hidden="1" outlineLevel="1">
      <c r="A134" s="292"/>
      <c r="B134" s="354">
        <v>5</v>
      </c>
      <c r="C134" s="394" t="s">
        <v>935</v>
      </c>
      <c r="D134" s="391"/>
      <c r="E134" s="293"/>
      <c r="F134" s="293"/>
      <c r="G134" s="312" t="s">
        <v>603</v>
      </c>
      <c r="H134" s="312"/>
      <c r="I134" s="313"/>
      <c r="J134" s="345"/>
      <c r="K134" s="291"/>
    </row>
    <row r="135" spans="1:11" s="371" customFormat="1" hidden="1" outlineLevel="1">
      <c r="A135" s="292"/>
      <c r="B135" s="354">
        <v>6</v>
      </c>
      <c r="C135" s="394" t="s">
        <v>913</v>
      </c>
      <c r="D135" s="391"/>
      <c r="E135" s="293"/>
      <c r="F135" s="293"/>
      <c r="G135" s="312" t="s">
        <v>603</v>
      </c>
      <c r="H135" s="312"/>
      <c r="I135" s="313"/>
      <c r="J135" s="345"/>
      <c r="K135" s="396" t="s">
        <v>979</v>
      </c>
    </row>
    <row r="136" spans="1:11" s="371" customFormat="1" ht="30" hidden="1" outlineLevel="1">
      <c r="A136" s="292"/>
      <c r="B136" s="354">
        <v>7</v>
      </c>
      <c r="C136" s="394" t="s">
        <v>936</v>
      </c>
      <c r="D136" s="391"/>
      <c r="E136" s="293"/>
      <c r="F136" s="293"/>
      <c r="G136" s="312" t="s">
        <v>603</v>
      </c>
      <c r="H136" s="312"/>
      <c r="I136" s="313"/>
      <c r="J136" s="345"/>
      <c r="K136" s="396"/>
    </row>
    <row r="137" spans="1:11" s="371" customFormat="1" hidden="1" outlineLevel="1">
      <c r="A137" s="292"/>
      <c r="B137" s="354">
        <v>8</v>
      </c>
      <c r="C137" s="394" t="s">
        <v>937</v>
      </c>
      <c r="D137" s="391"/>
      <c r="E137" s="293"/>
      <c r="F137" s="293"/>
      <c r="G137" s="312" t="s">
        <v>603</v>
      </c>
      <c r="H137" s="312"/>
      <c r="I137" s="313"/>
      <c r="J137" s="345"/>
      <c r="K137" s="291"/>
    </row>
    <row r="138" spans="1:11" s="371" customFormat="1" hidden="1" outlineLevel="1">
      <c r="A138" s="292"/>
      <c r="B138" s="354">
        <v>9</v>
      </c>
      <c r="C138" s="394" t="s">
        <v>913</v>
      </c>
      <c r="D138" s="391"/>
      <c r="E138" s="293"/>
      <c r="F138" s="293"/>
      <c r="G138" s="312" t="s">
        <v>603</v>
      </c>
      <c r="H138" s="312"/>
      <c r="I138" s="313"/>
      <c r="J138" s="345"/>
      <c r="K138" s="291"/>
    </row>
    <row r="139" spans="1:11" s="371" customFormat="1" ht="85.5" hidden="1" customHeight="1" outlineLevel="1">
      <c r="A139" s="292"/>
      <c r="B139" s="354" t="s">
        <v>638</v>
      </c>
      <c r="C139" s="394" t="s">
        <v>1013</v>
      </c>
      <c r="D139" s="391"/>
      <c r="E139" s="293"/>
      <c r="F139" s="293"/>
      <c r="G139" s="312"/>
      <c r="H139" s="312"/>
      <c r="I139" s="313"/>
      <c r="J139" s="395" t="s">
        <v>1262</v>
      </c>
      <c r="K139" s="291"/>
    </row>
    <row r="140" spans="1:11" s="371" customFormat="1" ht="90" hidden="1" outlineLevel="1">
      <c r="A140" s="292"/>
      <c r="B140" s="354" t="s">
        <v>639</v>
      </c>
      <c r="C140" s="394" t="s">
        <v>1012</v>
      </c>
      <c r="D140" s="391"/>
      <c r="E140" s="293"/>
      <c r="F140" s="293"/>
      <c r="G140" s="312"/>
      <c r="H140" s="312"/>
      <c r="I140" s="313"/>
      <c r="J140" s="395" t="s">
        <v>1263</v>
      </c>
      <c r="K140" s="291"/>
    </row>
    <row r="141" spans="1:11" s="371" customFormat="1" hidden="1" outlineLevel="1">
      <c r="A141" s="292"/>
      <c r="B141" s="354">
        <v>10</v>
      </c>
      <c r="C141" s="353" t="s">
        <v>980</v>
      </c>
      <c r="D141" s="391"/>
      <c r="E141" s="293"/>
      <c r="F141" s="293"/>
      <c r="G141" s="312" t="s">
        <v>603</v>
      </c>
      <c r="H141" s="312"/>
      <c r="I141" s="313"/>
      <c r="J141" s="345"/>
      <c r="K141" s="291"/>
    </row>
    <row r="142" spans="1:11" s="371" customFormat="1" hidden="1" outlineLevel="1">
      <c r="A142" s="292"/>
      <c r="B142" s="349">
        <v>11</v>
      </c>
      <c r="C142" s="353" t="s">
        <v>1264</v>
      </c>
      <c r="D142" s="391"/>
      <c r="E142" s="293"/>
      <c r="F142" s="293"/>
      <c r="G142" s="312" t="s">
        <v>603</v>
      </c>
      <c r="H142" s="312"/>
      <c r="I142" s="313"/>
      <c r="J142" s="345"/>
      <c r="K142" s="291"/>
    </row>
    <row r="143" spans="1:11" s="371" customFormat="1" hidden="1" outlineLevel="1">
      <c r="A143" s="292"/>
      <c r="B143" s="349">
        <v>12</v>
      </c>
      <c r="C143" s="373" t="s">
        <v>941</v>
      </c>
      <c r="D143" s="391"/>
      <c r="E143" s="293"/>
      <c r="F143" s="293"/>
      <c r="G143" s="312" t="s">
        <v>603</v>
      </c>
      <c r="H143" s="312"/>
      <c r="I143" s="313"/>
      <c r="J143" s="345"/>
      <c r="K143" s="291"/>
    </row>
    <row r="144" spans="1:11" s="371" customFormat="1" hidden="1" outlineLevel="1">
      <c r="A144" s="292"/>
      <c r="B144" s="349">
        <v>13</v>
      </c>
      <c r="C144" s="359" t="s">
        <v>630</v>
      </c>
      <c r="D144" s="391"/>
      <c r="E144" s="293"/>
      <c r="F144" s="293"/>
      <c r="G144" s="312" t="s">
        <v>603</v>
      </c>
      <c r="H144" s="312"/>
      <c r="I144" s="313"/>
      <c r="J144" s="345"/>
      <c r="K144" s="291"/>
    </row>
    <row r="145" spans="1:11" s="423" customFormat="1">
      <c r="A145" s="414"/>
      <c r="B145" s="415"/>
      <c r="C145" s="416"/>
      <c r="D145" s="417"/>
      <c r="E145" s="418"/>
      <c r="F145" s="418"/>
      <c r="G145" s="419"/>
      <c r="H145" s="419"/>
      <c r="I145" s="420"/>
      <c r="J145" s="421"/>
      <c r="K145" s="422"/>
    </row>
    <row r="146" spans="1:11" s="276" customFormat="1" collapsed="1">
      <c r="A146" s="333" t="s">
        <v>23</v>
      </c>
      <c r="B146" s="333" t="s">
        <v>1011</v>
      </c>
      <c r="C146" s="332" t="s">
        <v>1010</v>
      </c>
      <c r="D146" s="334" t="s">
        <v>604</v>
      </c>
      <c r="E146" s="286" t="s">
        <v>596</v>
      </c>
      <c r="F146" s="334" t="str">
        <f>IF(H146&gt;0,"F",IF(I146&gt;0,"A",IF(G146&gt;0,"P","NT")))</f>
        <v>P</v>
      </c>
      <c r="G146" s="334">
        <f>COUNTA(G147:G152)</f>
        <v>2</v>
      </c>
      <c r="H146" s="334">
        <f>COUNTA(H147:H152)</f>
        <v>0</v>
      </c>
      <c r="I146" s="334">
        <f>COUNTA(I147:I152)</f>
        <v>0</v>
      </c>
      <c r="J146" s="365">
        <f>COUNTA(J147:J152)</f>
        <v>0</v>
      </c>
    </row>
    <row r="147" spans="1:11" s="371" customFormat="1" hidden="1" outlineLevel="1">
      <c r="A147" s="390"/>
      <c r="B147" s="351" t="s">
        <v>598</v>
      </c>
      <c r="C147" s="348" t="s">
        <v>1009</v>
      </c>
      <c r="D147" s="391"/>
      <c r="E147" s="380"/>
      <c r="F147" s="380"/>
      <c r="G147" s="310"/>
      <c r="H147" s="311"/>
      <c r="I147" s="310"/>
      <c r="J147" s="366"/>
    </row>
    <row r="148" spans="1:11" s="371" customFormat="1" ht="30" hidden="1" customHeight="1" outlineLevel="1">
      <c r="A148" s="390"/>
      <c r="B148" s="351" t="s">
        <v>599</v>
      </c>
      <c r="C148" s="348" t="s">
        <v>620</v>
      </c>
      <c r="D148" s="391"/>
      <c r="E148" s="380"/>
      <c r="F148" s="380"/>
      <c r="G148" s="310"/>
      <c r="H148" s="311"/>
      <c r="I148" s="310"/>
      <c r="J148" s="366"/>
    </row>
    <row r="149" spans="1:11" s="371" customFormat="1" ht="30" hidden="1" customHeight="1" outlineLevel="1">
      <c r="A149" s="390"/>
      <c r="B149" s="382" t="s">
        <v>634</v>
      </c>
      <c r="C149" s="348" t="s">
        <v>868</v>
      </c>
      <c r="D149" s="391"/>
      <c r="E149" s="380"/>
      <c r="F149" s="380"/>
      <c r="G149" s="310"/>
      <c r="H149" s="311"/>
      <c r="I149" s="310"/>
      <c r="J149" s="366"/>
    </row>
    <row r="150" spans="1:11" s="371" customFormat="1" hidden="1" outlineLevel="1">
      <c r="A150" s="390"/>
      <c r="B150" s="352">
        <v>1</v>
      </c>
      <c r="C150" s="353" t="s">
        <v>621</v>
      </c>
      <c r="D150" s="391"/>
      <c r="E150" s="380"/>
      <c r="F150" s="380"/>
      <c r="G150" s="310" t="s">
        <v>603</v>
      </c>
      <c r="H150" s="311"/>
      <c r="I150" s="310"/>
      <c r="J150" s="366"/>
    </row>
    <row r="151" spans="1:11" s="371" customFormat="1" hidden="1" outlineLevel="1">
      <c r="A151" s="390"/>
      <c r="B151" s="352">
        <v>2</v>
      </c>
      <c r="C151" s="353" t="s">
        <v>998</v>
      </c>
      <c r="D151" s="391"/>
      <c r="E151" s="380"/>
      <c r="F151" s="380"/>
      <c r="G151" s="310" t="s">
        <v>603</v>
      </c>
      <c r="H151" s="311"/>
      <c r="I151" s="310"/>
      <c r="J151" s="366"/>
    </row>
    <row r="152" spans="1:11" s="371" customFormat="1" hidden="1" outlineLevel="1">
      <c r="A152" s="390"/>
      <c r="B152" s="352" t="s">
        <v>635</v>
      </c>
      <c r="C152" s="353" t="s">
        <v>631</v>
      </c>
      <c r="D152" s="391"/>
      <c r="E152" s="380"/>
      <c r="F152" s="380"/>
      <c r="G152" s="310"/>
      <c r="H152" s="311"/>
      <c r="I152" s="310"/>
      <c r="J152" s="366"/>
    </row>
    <row r="153" spans="1:11" s="276" customFormat="1" collapsed="1">
      <c r="A153" s="333" t="s">
        <v>23</v>
      </c>
      <c r="B153" s="333" t="s">
        <v>1008</v>
      </c>
      <c r="C153" s="332" t="s">
        <v>1007</v>
      </c>
      <c r="D153" s="334" t="s">
        <v>604</v>
      </c>
      <c r="E153" s="286" t="s">
        <v>596</v>
      </c>
      <c r="F153" s="334" t="str">
        <f>IF(H153&gt;0,"F",IF(I153&gt;0,"A",IF(G153&gt;0,"P","NT")))</f>
        <v>P</v>
      </c>
      <c r="G153" s="334">
        <f>COUNTA(G154:G157)</f>
        <v>2</v>
      </c>
      <c r="H153" s="334">
        <f>COUNTA(H154:H157)</f>
        <v>0</v>
      </c>
      <c r="I153" s="334">
        <f>COUNTA(I154:I157)</f>
        <v>0</v>
      </c>
      <c r="J153" s="365">
        <f>COUNTA(J154:J157)</f>
        <v>0</v>
      </c>
    </row>
    <row r="154" spans="1:11" s="371" customFormat="1" ht="30" hidden="1" outlineLevel="1">
      <c r="A154" s="390"/>
      <c r="B154" s="354" t="s">
        <v>446</v>
      </c>
      <c r="C154" s="348" t="s">
        <v>985</v>
      </c>
      <c r="D154" s="391"/>
      <c r="E154" s="380"/>
      <c r="F154" s="380"/>
      <c r="G154" s="310"/>
      <c r="H154" s="311"/>
      <c r="I154" s="310"/>
      <c r="J154" s="366"/>
    </row>
    <row r="155" spans="1:11" s="371" customFormat="1" hidden="1" outlineLevel="1">
      <c r="A155" s="390"/>
      <c r="B155" s="354">
        <v>1</v>
      </c>
      <c r="C155" s="353" t="s">
        <v>621</v>
      </c>
      <c r="D155" s="391"/>
      <c r="E155" s="380"/>
      <c r="F155" s="380"/>
      <c r="G155" s="310" t="s">
        <v>603</v>
      </c>
      <c r="H155" s="311"/>
      <c r="I155" s="310"/>
      <c r="J155" s="366"/>
    </row>
    <row r="156" spans="1:11" s="371" customFormat="1" hidden="1" outlineLevel="1">
      <c r="A156" s="390"/>
      <c r="B156" s="354">
        <v>2</v>
      </c>
      <c r="C156" s="353" t="s">
        <v>995</v>
      </c>
      <c r="D156" s="391"/>
      <c r="E156" s="380"/>
      <c r="F156" s="380"/>
      <c r="G156" s="310" t="s">
        <v>603</v>
      </c>
      <c r="H156" s="311"/>
      <c r="I156" s="310"/>
      <c r="J156" s="366"/>
    </row>
    <row r="157" spans="1:11" s="371" customFormat="1" hidden="1" outlineLevel="1">
      <c r="A157" s="390"/>
      <c r="B157" s="358" t="s">
        <v>636</v>
      </c>
      <c r="C157" s="374" t="s">
        <v>631</v>
      </c>
      <c r="D157" s="391"/>
      <c r="E157" s="380"/>
      <c r="F157" s="380"/>
      <c r="G157" s="310"/>
      <c r="H157" s="311"/>
      <c r="I157" s="310"/>
      <c r="J157" s="366"/>
    </row>
    <row r="158" spans="1:11" s="371" customFormat="1" collapsed="1">
      <c r="A158" s="333" t="s">
        <v>23</v>
      </c>
      <c r="B158" s="333" t="s">
        <v>1006</v>
      </c>
      <c r="C158" s="332" t="s">
        <v>1005</v>
      </c>
      <c r="D158" s="334" t="s">
        <v>604</v>
      </c>
      <c r="E158" s="288" t="s">
        <v>596</v>
      </c>
      <c r="F158" s="334" t="str">
        <f>IF(H158&gt;0,"F",IF(I158&gt;0,"A",IF(G158&gt;0,"P","NT")))</f>
        <v>P</v>
      </c>
      <c r="G158" s="334">
        <f>COUNTA(G159:G173)</f>
        <v>10</v>
      </c>
      <c r="H158" s="334">
        <f>COUNTA(H159:H173)</f>
        <v>0</v>
      </c>
      <c r="I158" s="334">
        <f>COUNTA(I159:I173)</f>
        <v>0</v>
      </c>
      <c r="J158" s="365">
        <f>COUNTA(J159:J173)</f>
        <v>1</v>
      </c>
    </row>
    <row r="159" spans="1:11" s="371" customFormat="1" ht="30" hidden="1" outlineLevel="1">
      <c r="A159" s="290"/>
      <c r="B159" s="354" t="s">
        <v>446</v>
      </c>
      <c r="C159" s="348" t="s">
        <v>992</v>
      </c>
      <c r="D159" s="391"/>
      <c r="E159" s="392"/>
      <c r="F159" s="289"/>
      <c r="G159" s="314"/>
      <c r="H159" s="315"/>
      <c r="I159" s="316"/>
      <c r="J159" s="364"/>
    </row>
    <row r="160" spans="1:11" s="371" customFormat="1" hidden="1" outlineLevel="1">
      <c r="A160" s="290"/>
      <c r="B160" s="354">
        <v>1</v>
      </c>
      <c r="C160" s="353" t="s">
        <v>621</v>
      </c>
      <c r="D160" s="391"/>
      <c r="E160" s="392"/>
      <c r="F160" s="289"/>
      <c r="G160" s="314" t="s">
        <v>603</v>
      </c>
      <c r="H160" s="315"/>
      <c r="I160" s="316"/>
      <c r="J160" s="364"/>
      <c r="K160" s="287"/>
    </row>
    <row r="161" spans="1:11" s="371" customFormat="1" ht="30" hidden="1" outlineLevel="1">
      <c r="A161" s="290"/>
      <c r="B161" s="354">
        <v>2</v>
      </c>
      <c r="C161" s="353" t="s">
        <v>991</v>
      </c>
      <c r="D161" s="391"/>
      <c r="E161" s="392"/>
      <c r="F161" s="289"/>
      <c r="G161" s="314" t="s">
        <v>603</v>
      </c>
      <c r="H161" s="315"/>
      <c r="I161" s="316"/>
      <c r="J161" s="364"/>
      <c r="K161" s="287"/>
    </row>
    <row r="162" spans="1:11" s="371" customFormat="1" hidden="1" outlineLevel="1">
      <c r="A162" s="290"/>
      <c r="B162" s="354">
        <v>3</v>
      </c>
      <c r="C162" s="357" t="s">
        <v>990</v>
      </c>
      <c r="D162" s="391"/>
      <c r="E162" s="392"/>
      <c r="F162" s="289"/>
      <c r="G162" s="314" t="s">
        <v>603</v>
      </c>
      <c r="H162" s="315"/>
      <c r="I162" s="316"/>
      <c r="J162" s="364"/>
      <c r="K162" s="287"/>
    </row>
    <row r="163" spans="1:11" s="371" customFormat="1" hidden="1" outlineLevel="1">
      <c r="A163" s="290"/>
      <c r="B163" s="354">
        <v>4</v>
      </c>
      <c r="C163" s="348" t="s">
        <v>950</v>
      </c>
      <c r="D163" s="391"/>
      <c r="E163" s="392"/>
      <c r="F163" s="289"/>
      <c r="G163" s="314" t="s">
        <v>603</v>
      </c>
      <c r="H163" s="315"/>
      <c r="I163" s="316"/>
      <c r="J163" s="364"/>
      <c r="K163" s="287"/>
    </row>
    <row r="164" spans="1:11" s="371" customFormat="1" hidden="1" outlineLevel="1">
      <c r="A164" s="290"/>
      <c r="B164" s="354">
        <v>5</v>
      </c>
      <c r="C164" s="348" t="s">
        <v>951</v>
      </c>
      <c r="D164" s="391"/>
      <c r="E164" s="392"/>
      <c r="F164" s="289"/>
      <c r="G164" s="314" t="s">
        <v>603</v>
      </c>
      <c r="H164" s="315"/>
      <c r="I164" s="316"/>
      <c r="J164" s="364"/>
      <c r="K164" s="287"/>
    </row>
    <row r="165" spans="1:11" s="371" customFormat="1" hidden="1" outlineLevel="1">
      <c r="A165" s="290"/>
      <c r="B165" s="354">
        <v>6</v>
      </c>
      <c r="C165" s="348" t="s">
        <v>952</v>
      </c>
      <c r="D165" s="391"/>
      <c r="E165" s="392"/>
      <c r="F165" s="289"/>
      <c r="G165" s="314" t="s">
        <v>603</v>
      </c>
      <c r="H165" s="315"/>
      <c r="I165" s="316"/>
      <c r="J165" s="364"/>
      <c r="K165" s="287"/>
    </row>
    <row r="166" spans="1:11" s="371" customFormat="1" hidden="1" outlineLevel="1">
      <c r="A166" s="290"/>
      <c r="B166" s="354">
        <v>7</v>
      </c>
      <c r="C166" s="348" t="s">
        <v>1004</v>
      </c>
      <c r="D166" s="391"/>
      <c r="E166" s="392"/>
      <c r="F166" s="289"/>
      <c r="G166" s="314" t="s">
        <v>603</v>
      </c>
      <c r="H166" s="315"/>
      <c r="I166" s="316"/>
      <c r="J166" s="364"/>
      <c r="K166" s="287"/>
    </row>
    <row r="167" spans="1:11" s="371" customFormat="1" hidden="1" outlineLevel="1">
      <c r="A167" s="290"/>
      <c r="B167" s="354">
        <v>8</v>
      </c>
      <c r="C167" s="348" t="s">
        <v>953</v>
      </c>
      <c r="D167" s="391"/>
      <c r="E167" s="392"/>
      <c r="F167" s="289"/>
      <c r="G167" s="314" t="s">
        <v>603</v>
      </c>
      <c r="H167" s="315"/>
      <c r="I167" s="316"/>
      <c r="J167" s="364"/>
      <c r="K167" s="287"/>
    </row>
    <row r="168" spans="1:11" s="371" customFormat="1" hidden="1" outlineLevel="1">
      <c r="A168" s="290"/>
      <c r="B168" s="354">
        <v>9</v>
      </c>
      <c r="C168" s="348" t="s">
        <v>898</v>
      </c>
      <c r="D168" s="391"/>
      <c r="E168" s="392"/>
      <c r="F168" s="289"/>
      <c r="G168" s="314" t="s">
        <v>603</v>
      </c>
      <c r="H168" s="315"/>
      <c r="I168" s="316"/>
      <c r="J168" s="364"/>
      <c r="K168" s="287"/>
    </row>
    <row r="169" spans="1:11" s="371" customFormat="1" hidden="1" outlineLevel="1">
      <c r="A169" s="290"/>
      <c r="B169" s="354">
        <v>10</v>
      </c>
      <c r="C169" s="348" t="s">
        <v>899</v>
      </c>
      <c r="D169" s="391"/>
      <c r="E169" s="392"/>
      <c r="F169" s="289"/>
      <c r="G169" s="314" t="s">
        <v>603</v>
      </c>
      <c r="H169" s="315"/>
      <c r="I169" s="316"/>
      <c r="J169" s="364"/>
      <c r="K169" s="287"/>
    </row>
    <row r="170" spans="1:11" s="371" customFormat="1" ht="30" hidden="1" outlineLevel="1">
      <c r="A170" s="390"/>
      <c r="B170" s="352">
        <v>11</v>
      </c>
      <c r="C170" s="353" t="s">
        <v>980</v>
      </c>
      <c r="D170" s="391"/>
      <c r="E170" s="380"/>
      <c r="F170" s="380"/>
      <c r="G170" s="310"/>
      <c r="H170" s="311"/>
      <c r="I170" s="310"/>
      <c r="J170" s="366" t="s">
        <v>1265</v>
      </c>
    </row>
    <row r="171" spans="1:11" s="371" customFormat="1" hidden="1" outlineLevel="1">
      <c r="A171" s="390"/>
      <c r="B171" s="352">
        <v>12</v>
      </c>
      <c r="C171" s="353" t="s">
        <v>902</v>
      </c>
      <c r="D171" s="391"/>
      <c r="E171" s="380"/>
      <c r="F171" s="380"/>
      <c r="G171" s="310"/>
      <c r="H171" s="311"/>
      <c r="I171" s="310"/>
      <c r="J171" s="366"/>
    </row>
    <row r="172" spans="1:11" s="371" customFormat="1" hidden="1" outlineLevel="1">
      <c r="A172" s="390"/>
      <c r="B172" s="354">
        <v>13</v>
      </c>
      <c r="C172" s="359" t="s">
        <v>630</v>
      </c>
      <c r="D172" s="391"/>
      <c r="E172" s="380"/>
      <c r="F172" s="380"/>
      <c r="G172" s="310"/>
      <c r="H172" s="311"/>
      <c r="I172" s="310"/>
      <c r="J172" s="366"/>
    </row>
    <row r="173" spans="1:11" s="371" customFormat="1" hidden="1" outlineLevel="1">
      <c r="A173" s="390"/>
      <c r="B173" s="358" t="s">
        <v>637</v>
      </c>
      <c r="C173" s="374" t="s">
        <v>631</v>
      </c>
      <c r="D173" s="391"/>
      <c r="E173" s="380"/>
      <c r="F173" s="380"/>
      <c r="G173" s="310"/>
      <c r="H173" s="311"/>
      <c r="I173" s="310"/>
      <c r="J173" s="366"/>
    </row>
    <row r="174" spans="1:11" s="371" customFormat="1" collapsed="1">
      <c r="A174" s="333" t="s">
        <v>23</v>
      </c>
      <c r="B174" s="333" t="s">
        <v>1003</v>
      </c>
      <c r="C174" s="332" t="s">
        <v>1002</v>
      </c>
      <c r="D174" s="334" t="s">
        <v>604</v>
      </c>
      <c r="E174" s="294" t="s">
        <v>596</v>
      </c>
      <c r="F174" s="334" t="str">
        <f>IF(H174&gt;0,"F",IF(I174&gt;0,"A",IF(G174&gt;0,"P","NT")))</f>
        <v>P</v>
      </c>
      <c r="G174" s="334">
        <f>COUNTA(G175:G180)</f>
        <v>5</v>
      </c>
      <c r="H174" s="334">
        <f>COUNTA(H175:H180)</f>
        <v>0</v>
      </c>
      <c r="I174" s="334">
        <f>COUNTA(I175:I180)</f>
        <v>0</v>
      </c>
      <c r="J174" s="365">
        <f>COUNTA(J175:J180)</f>
        <v>0</v>
      </c>
      <c r="K174" s="291"/>
    </row>
    <row r="175" spans="1:11" s="371" customFormat="1" ht="30" hidden="1" outlineLevel="1">
      <c r="A175" s="292"/>
      <c r="B175" s="354" t="s">
        <v>446</v>
      </c>
      <c r="C175" s="348" t="s">
        <v>985</v>
      </c>
      <c r="D175" s="391"/>
      <c r="E175" s="293"/>
      <c r="F175" s="293"/>
      <c r="G175" s="312"/>
      <c r="H175" s="312"/>
      <c r="I175" s="313"/>
      <c r="J175" s="345"/>
      <c r="K175" s="291"/>
    </row>
    <row r="176" spans="1:11" s="371" customFormat="1" hidden="1" outlineLevel="1">
      <c r="A176" s="292"/>
      <c r="B176" s="354">
        <v>1</v>
      </c>
      <c r="C176" s="353" t="s">
        <v>621</v>
      </c>
      <c r="D176" s="391"/>
      <c r="E176" s="293"/>
      <c r="F176" s="293"/>
      <c r="G176" s="312" t="s">
        <v>603</v>
      </c>
      <c r="H176" s="312"/>
      <c r="I176" s="313"/>
      <c r="J176" s="345"/>
      <c r="K176" s="291"/>
    </row>
    <row r="177" spans="1:11" s="371" customFormat="1" hidden="1" outlineLevel="1">
      <c r="A177" s="292"/>
      <c r="B177" s="354">
        <v>2</v>
      </c>
      <c r="C177" s="359" t="s">
        <v>984</v>
      </c>
      <c r="D177" s="391"/>
      <c r="E177" s="293"/>
      <c r="F177" s="293"/>
      <c r="G177" s="312" t="s">
        <v>603</v>
      </c>
      <c r="H177" s="312"/>
      <c r="I177" s="313"/>
      <c r="J177" s="345"/>
      <c r="K177" s="291"/>
    </row>
    <row r="178" spans="1:11" s="371" customFormat="1" hidden="1" outlineLevel="1">
      <c r="A178" s="292"/>
      <c r="B178" s="354">
        <v>8</v>
      </c>
      <c r="C178" s="353" t="s">
        <v>980</v>
      </c>
      <c r="D178" s="391"/>
      <c r="E178" s="293"/>
      <c r="F178" s="293"/>
      <c r="G178" s="312" t="s">
        <v>603</v>
      </c>
      <c r="H178" s="312"/>
      <c r="I178" s="313"/>
      <c r="J178" s="345"/>
      <c r="K178" s="291"/>
    </row>
    <row r="179" spans="1:11" s="371" customFormat="1" hidden="1" outlineLevel="1">
      <c r="A179" s="292"/>
      <c r="B179" s="349">
        <v>9</v>
      </c>
      <c r="C179" s="353" t="s">
        <v>961</v>
      </c>
      <c r="D179" s="391"/>
      <c r="E179" s="293"/>
      <c r="F179" s="293"/>
      <c r="G179" s="312" t="s">
        <v>603</v>
      </c>
      <c r="H179" s="312"/>
      <c r="I179" s="313"/>
      <c r="J179" s="345"/>
      <c r="K179" s="291"/>
    </row>
    <row r="180" spans="1:11" s="371" customFormat="1" hidden="1" outlineLevel="1">
      <c r="A180" s="292"/>
      <c r="B180" s="349">
        <v>10</v>
      </c>
      <c r="C180" s="359" t="s">
        <v>630</v>
      </c>
      <c r="D180" s="391"/>
      <c r="E180" s="293"/>
      <c r="F180" s="293"/>
      <c r="G180" s="312" t="s">
        <v>603</v>
      </c>
      <c r="H180" s="312"/>
      <c r="I180" s="313"/>
      <c r="J180" s="345"/>
      <c r="K180" s="291"/>
    </row>
    <row r="181" spans="1:11" s="423" customFormat="1">
      <c r="A181" s="414"/>
      <c r="B181" s="415"/>
      <c r="C181" s="416"/>
      <c r="D181" s="417"/>
      <c r="E181" s="418"/>
      <c r="F181" s="418"/>
      <c r="G181" s="419"/>
      <c r="H181" s="419"/>
      <c r="I181" s="420"/>
      <c r="J181" s="421"/>
      <c r="K181" s="422"/>
    </row>
    <row r="182" spans="1:11" s="276" customFormat="1" collapsed="1">
      <c r="A182" s="333" t="s">
        <v>23</v>
      </c>
      <c r="B182" s="333" t="s">
        <v>1001</v>
      </c>
      <c r="C182" s="332" t="s">
        <v>1000</v>
      </c>
      <c r="D182" s="334" t="s">
        <v>604</v>
      </c>
      <c r="E182" s="286" t="s">
        <v>596</v>
      </c>
      <c r="F182" s="334" t="str">
        <f>IF(H182&gt;0,"F",IF(I182&gt;0,"A",IF(G182&gt;0,"P","NT")))</f>
        <v>P</v>
      </c>
      <c r="G182" s="334">
        <f>COUNTA(G183:G187)</f>
        <v>2</v>
      </c>
      <c r="H182" s="334">
        <f>COUNTA(H183:H187)</f>
        <v>0</v>
      </c>
      <c r="I182" s="334">
        <f>COUNTA(I183:I187)</f>
        <v>0</v>
      </c>
      <c r="J182" s="365">
        <f>COUNTA(J183:J187)</f>
        <v>0</v>
      </c>
    </row>
    <row r="183" spans="1:11" s="371" customFormat="1" hidden="1" outlineLevel="1">
      <c r="A183" s="390"/>
      <c r="B183" s="351" t="s">
        <v>598</v>
      </c>
      <c r="C183" s="348" t="s">
        <v>999</v>
      </c>
      <c r="D183" s="391"/>
      <c r="E183" s="380"/>
      <c r="F183" s="380"/>
      <c r="G183" s="310"/>
      <c r="H183" s="311"/>
      <c r="I183" s="310"/>
      <c r="J183" s="366"/>
    </row>
    <row r="184" spans="1:11" s="371" customFormat="1" ht="30" hidden="1" customHeight="1" outlineLevel="1">
      <c r="A184" s="390"/>
      <c r="B184" s="351" t="s">
        <v>599</v>
      </c>
      <c r="C184" s="348" t="s">
        <v>620</v>
      </c>
      <c r="D184" s="391"/>
      <c r="E184" s="380"/>
      <c r="F184" s="380"/>
      <c r="G184" s="310"/>
      <c r="H184" s="311"/>
      <c r="I184" s="310"/>
      <c r="J184" s="366"/>
    </row>
    <row r="185" spans="1:11" s="371" customFormat="1" hidden="1" outlineLevel="1">
      <c r="A185" s="390"/>
      <c r="B185" s="352">
        <v>1</v>
      </c>
      <c r="C185" s="353" t="s">
        <v>621</v>
      </c>
      <c r="D185" s="391"/>
      <c r="E185" s="380"/>
      <c r="F185" s="380"/>
      <c r="G185" s="310" t="s">
        <v>603</v>
      </c>
      <c r="H185" s="311"/>
      <c r="I185" s="310"/>
      <c r="J185" s="366"/>
    </row>
    <row r="186" spans="1:11" s="371" customFormat="1" hidden="1" outlineLevel="1">
      <c r="A186" s="390"/>
      <c r="B186" s="352">
        <v>2</v>
      </c>
      <c r="C186" s="353" t="s">
        <v>998</v>
      </c>
      <c r="D186" s="391"/>
      <c r="E186" s="380"/>
      <c r="F186" s="380"/>
      <c r="G186" s="310" t="s">
        <v>603</v>
      </c>
      <c r="H186" s="311"/>
      <c r="I186" s="310"/>
      <c r="J186" s="366"/>
    </row>
    <row r="187" spans="1:11" s="371" customFormat="1" hidden="1" outlineLevel="1">
      <c r="A187" s="390"/>
      <c r="B187" s="352" t="s">
        <v>635</v>
      </c>
      <c r="C187" s="353" t="s">
        <v>631</v>
      </c>
      <c r="D187" s="391"/>
      <c r="E187" s="380"/>
      <c r="F187" s="380"/>
      <c r="G187" s="310"/>
      <c r="H187" s="311"/>
      <c r="I187" s="310"/>
      <c r="J187" s="366"/>
    </row>
    <row r="188" spans="1:11" s="276" customFormat="1" collapsed="1">
      <c r="A188" s="333" t="s">
        <v>23</v>
      </c>
      <c r="B188" s="333" t="s">
        <v>997</v>
      </c>
      <c r="C188" s="332" t="s">
        <v>996</v>
      </c>
      <c r="D188" s="334" t="s">
        <v>604</v>
      </c>
      <c r="E188" s="286" t="s">
        <v>596</v>
      </c>
      <c r="F188" s="334" t="str">
        <f>IF(H188&gt;0,"F",IF(I188&gt;0,"A",IF(G188&gt;0,"P","NT")))</f>
        <v>P</v>
      </c>
      <c r="G188" s="334">
        <f>COUNTA(G189:G192)</f>
        <v>2</v>
      </c>
      <c r="H188" s="334">
        <f>COUNTA(H189:H192)</f>
        <v>0</v>
      </c>
      <c r="I188" s="334">
        <f>COUNTA(I189:I192)</f>
        <v>0</v>
      </c>
      <c r="J188" s="365">
        <f>COUNTA(J189:J192)</f>
        <v>0</v>
      </c>
    </row>
    <row r="189" spans="1:11" s="371" customFormat="1" ht="30" hidden="1" outlineLevel="1">
      <c r="A189" s="390"/>
      <c r="B189" s="354" t="s">
        <v>446</v>
      </c>
      <c r="C189" s="348" t="s">
        <v>985</v>
      </c>
      <c r="D189" s="391"/>
      <c r="E189" s="380"/>
      <c r="F189" s="380"/>
      <c r="G189" s="310"/>
      <c r="H189" s="311"/>
      <c r="I189" s="310"/>
      <c r="J189" s="366"/>
    </row>
    <row r="190" spans="1:11" s="371" customFormat="1" hidden="1" outlineLevel="1">
      <c r="A190" s="390"/>
      <c r="B190" s="354">
        <v>1</v>
      </c>
      <c r="C190" s="353" t="s">
        <v>621</v>
      </c>
      <c r="D190" s="391"/>
      <c r="E190" s="380"/>
      <c r="F190" s="380"/>
      <c r="G190" s="310" t="s">
        <v>603</v>
      </c>
      <c r="H190" s="311"/>
      <c r="I190" s="310"/>
      <c r="J190" s="366"/>
    </row>
    <row r="191" spans="1:11" s="371" customFormat="1" hidden="1" outlineLevel="1">
      <c r="A191" s="390"/>
      <c r="B191" s="354">
        <v>2</v>
      </c>
      <c r="C191" s="353" t="s">
        <v>995</v>
      </c>
      <c r="D191" s="391"/>
      <c r="E191" s="380"/>
      <c r="F191" s="380"/>
      <c r="G191" s="310" t="s">
        <v>603</v>
      </c>
      <c r="H191" s="311"/>
      <c r="I191" s="310"/>
      <c r="J191" s="366"/>
    </row>
    <row r="192" spans="1:11" s="371" customFormat="1" hidden="1" outlineLevel="1">
      <c r="A192" s="390"/>
      <c r="B192" s="358" t="s">
        <v>636</v>
      </c>
      <c r="C192" s="374" t="s">
        <v>631</v>
      </c>
      <c r="D192" s="391"/>
      <c r="E192" s="380"/>
      <c r="F192" s="380"/>
      <c r="G192" s="310"/>
      <c r="H192" s="311"/>
      <c r="I192" s="310"/>
      <c r="J192" s="366"/>
    </row>
    <row r="193" spans="1:11" s="371" customFormat="1" collapsed="1">
      <c r="A193" s="333" t="s">
        <v>23</v>
      </c>
      <c r="B193" s="333" t="s">
        <v>994</v>
      </c>
      <c r="C193" s="332" t="s">
        <v>993</v>
      </c>
      <c r="D193" s="334" t="s">
        <v>604</v>
      </c>
      <c r="E193" s="288" t="s">
        <v>596</v>
      </c>
      <c r="F193" s="334" t="str">
        <f>IF(H193&gt;0,"F",IF(I193&gt;0,"A",IF(G193&gt;0,"P","NT")))</f>
        <v>P</v>
      </c>
      <c r="G193" s="334">
        <f>COUNTA(G194:G208)</f>
        <v>11</v>
      </c>
      <c r="H193" s="334">
        <f>COUNTA(H194:H208)</f>
        <v>0</v>
      </c>
      <c r="I193" s="334">
        <f>COUNTA(I194:I208)</f>
        <v>0</v>
      </c>
      <c r="J193" s="365">
        <f>COUNTA(J194:J208)</f>
        <v>1</v>
      </c>
    </row>
    <row r="194" spans="1:11" s="371" customFormat="1" ht="30" hidden="1" outlineLevel="1">
      <c r="A194" s="290"/>
      <c r="B194" s="354" t="s">
        <v>446</v>
      </c>
      <c r="C194" s="348" t="s">
        <v>992</v>
      </c>
      <c r="D194" s="391"/>
      <c r="E194" s="392"/>
      <c r="F194" s="289"/>
      <c r="G194" s="314"/>
      <c r="H194" s="315"/>
      <c r="I194" s="316"/>
      <c r="J194" s="364"/>
    </row>
    <row r="195" spans="1:11" s="371" customFormat="1" hidden="1" outlineLevel="1">
      <c r="A195" s="290"/>
      <c r="B195" s="354">
        <v>1</v>
      </c>
      <c r="C195" s="353" t="s">
        <v>621</v>
      </c>
      <c r="D195" s="391"/>
      <c r="E195" s="392"/>
      <c r="F195" s="289"/>
      <c r="G195" s="314"/>
      <c r="H195" s="315"/>
      <c r="I195" s="316"/>
      <c r="J195" s="364"/>
      <c r="K195" s="287"/>
    </row>
    <row r="196" spans="1:11" s="371" customFormat="1" ht="30" hidden="1" outlineLevel="1">
      <c r="A196" s="290"/>
      <c r="B196" s="354">
        <v>2</v>
      </c>
      <c r="C196" s="353" t="s">
        <v>991</v>
      </c>
      <c r="D196" s="391"/>
      <c r="E196" s="392"/>
      <c r="F196" s="289"/>
      <c r="G196" s="314" t="s">
        <v>603</v>
      </c>
      <c r="H196" s="315"/>
      <c r="I196" s="316"/>
      <c r="J196" s="364"/>
      <c r="K196" s="287"/>
    </row>
    <row r="197" spans="1:11" s="371" customFormat="1" hidden="1" outlineLevel="1">
      <c r="A197" s="290"/>
      <c r="B197" s="354">
        <v>3</v>
      </c>
      <c r="C197" s="357" t="s">
        <v>990</v>
      </c>
      <c r="D197" s="391"/>
      <c r="E197" s="392"/>
      <c r="F197" s="289"/>
      <c r="G197" s="314" t="s">
        <v>603</v>
      </c>
      <c r="H197" s="315"/>
      <c r="I197" s="316"/>
      <c r="J197" s="364"/>
      <c r="K197" s="287"/>
    </row>
    <row r="198" spans="1:11" s="371" customFormat="1" hidden="1" outlineLevel="1">
      <c r="A198" s="290"/>
      <c r="B198" s="354">
        <v>4</v>
      </c>
      <c r="C198" s="348" t="s">
        <v>969</v>
      </c>
      <c r="D198" s="391"/>
      <c r="E198" s="392"/>
      <c r="F198" s="289"/>
      <c r="G198" s="314" t="s">
        <v>603</v>
      </c>
      <c r="H198" s="315"/>
      <c r="I198" s="316"/>
      <c r="J198" s="364"/>
      <c r="K198" s="287"/>
    </row>
    <row r="199" spans="1:11" s="371" customFormat="1" hidden="1" outlineLevel="1">
      <c r="A199" s="290"/>
      <c r="B199" s="354">
        <v>5</v>
      </c>
      <c r="C199" s="348" t="s">
        <v>970</v>
      </c>
      <c r="D199" s="391"/>
      <c r="E199" s="392"/>
      <c r="F199" s="289"/>
      <c r="G199" s="314" t="s">
        <v>603</v>
      </c>
      <c r="H199" s="315"/>
      <c r="I199" s="316"/>
      <c r="J199" s="364"/>
      <c r="K199" s="287"/>
    </row>
    <row r="200" spans="1:11" s="371" customFormat="1" hidden="1" outlineLevel="1">
      <c r="A200" s="290"/>
      <c r="B200" s="354">
        <v>6</v>
      </c>
      <c r="C200" s="348" t="s">
        <v>895</v>
      </c>
      <c r="D200" s="391"/>
      <c r="E200" s="392"/>
      <c r="F200" s="289"/>
      <c r="G200" s="314" t="s">
        <v>603</v>
      </c>
      <c r="H200" s="315"/>
      <c r="I200" s="316"/>
      <c r="J200" s="364"/>
      <c r="K200" s="287"/>
    </row>
    <row r="201" spans="1:11" s="371" customFormat="1" hidden="1" outlineLevel="1">
      <c r="A201" s="290"/>
      <c r="B201" s="354">
        <v>7</v>
      </c>
      <c r="C201" s="348" t="s">
        <v>926</v>
      </c>
      <c r="D201" s="391"/>
      <c r="E201" s="392"/>
      <c r="F201" s="289"/>
      <c r="G201" s="314" t="s">
        <v>603</v>
      </c>
      <c r="H201" s="315"/>
      <c r="I201" s="316"/>
      <c r="J201" s="364"/>
      <c r="K201" s="287"/>
    </row>
    <row r="202" spans="1:11" s="371" customFormat="1" hidden="1" outlineLevel="1">
      <c r="A202" s="290"/>
      <c r="B202" s="354">
        <v>8</v>
      </c>
      <c r="C202" s="348" t="s">
        <v>898</v>
      </c>
      <c r="D202" s="391"/>
      <c r="E202" s="392"/>
      <c r="F202" s="289"/>
      <c r="G202" s="314" t="s">
        <v>603</v>
      </c>
      <c r="H202" s="315"/>
      <c r="I202" s="316"/>
      <c r="J202" s="364"/>
      <c r="K202" s="287"/>
    </row>
    <row r="203" spans="1:11" s="371" customFormat="1" hidden="1" outlineLevel="1">
      <c r="A203" s="290"/>
      <c r="B203" s="354">
        <v>9</v>
      </c>
      <c r="C203" s="348" t="s">
        <v>971</v>
      </c>
      <c r="D203" s="391"/>
      <c r="E203" s="392"/>
      <c r="F203" s="289"/>
      <c r="G203" s="314" t="s">
        <v>603</v>
      </c>
      <c r="H203" s="315"/>
      <c r="I203" s="316"/>
      <c r="J203" s="364"/>
      <c r="K203" s="287"/>
    </row>
    <row r="204" spans="1:11" s="371" customFormat="1" hidden="1" outlineLevel="1">
      <c r="A204" s="290"/>
      <c r="B204" s="354">
        <v>10</v>
      </c>
      <c r="C204" s="348" t="s">
        <v>989</v>
      </c>
      <c r="D204" s="391"/>
      <c r="E204" s="392"/>
      <c r="F204" s="289"/>
      <c r="G204" s="314" t="s">
        <v>603</v>
      </c>
      <c r="H204" s="315"/>
      <c r="I204" s="316"/>
      <c r="J204" s="364"/>
      <c r="K204" s="287"/>
    </row>
    <row r="205" spans="1:11" s="371" customFormat="1" ht="30" hidden="1" outlineLevel="1">
      <c r="A205" s="390"/>
      <c r="B205" s="354">
        <v>11</v>
      </c>
      <c r="C205" s="353" t="s">
        <v>988</v>
      </c>
      <c r="D205" s="391"/>
      <c r="E205" s="380"/>
      <c r="F205" s="380"/>
      <c r="G205" s="310"/>
      <c r="H205" s="311"/>
      <c r="I205" s="310"/>
      <c r="J205" s="366" t="s">
        <v>1259</v>
      </c>
    </row>
    <row r="206" spans="1:11" s="371" customFormat="1" hidden="1" outlineLevel="1">
      <c r="A206" s="390"/>
      <c r="B206" s="354">
        <v>12</v>
      </c>
      <c r="C206" s="353" t="s">
        <v>902</v>
      </c>
      <c r="D206" s="391"/>
      <c r="E206" s="380"/>
      <c r="F206" s="380"/>
      <c r="G206" s="310" t="s">
        <v>603</v>
      </c>
      <c r="H206" s="311"/>
      <c r="I206" s="310"/>
      <c r="J206" s="366"/>
    </row>
    <row r="207" spans="1:11" s="371" customFormat="1" hidden="1" outlineLevel="1">
      <c r="A207" s="390"/>
      <c r="B207" s="354">
        <v>13</v>
      </c>
      <c r="C207" s="359" t="s">
        <v>630</v>
      </c>
      <c r="D207" s="391"/>
      <c r="E207" s="380"/>
      <c r="F207" s="380"/>
      <c r="G207" s="310" t="s">
        <v>603</v>
      </c>
      <c r="H207" s="311"/>
      <c r="I207" s="310"/>
      <c r="J207" s="366"/>
    </row>
    <row r="208" spans="1:11" s="371" customFormat="1" hidden="1" outlineLevel="1">
      <c r="A208" s="390"/>
      <c r="B208" s="358" t="s">
        <v>637</v>
      </c>
      <c r="C208" s="374" t="s">
        <v>631</v>
      </c>
      <c r="D208" s="391"/>
      <c r="E208" s="380"/>
      <c r="F208" s="380"/>
      <c r="G208" s="310"/>
      <c r="H208" s="311"/>
      <c r="I208" s="310"/>
      <c r="J208" s="366"/>
    </row>
    <row r="209" spans="1:11" s="371" customFormat="1" collapsed="1">
      <c r="A209" s="333" t="s">
        <v>23</v>
      </c>
      <c r="B209" s="333" t="s">
        <v>987</v>
      </c>
      <c r="C209" s="332" t="s">
        <v>986</v>
      </c>
      <c r="D209" s="334" t="s">
        <v>604</v>
      </c>
      <c r="E209" s="294" t="s">
        <v>596</v>
      </c>
      <c r="F209" s="334" t="str">
        <f>IF(H209&gt;0,"F",IF(I209&gt;0,"A",IF(G209&gt;0,"P","NT")))</f>
        <v>P</v>
      </c>
      <c r="G209" s="334">
        <f>COUNTA(G210:G222)</f>
        <v>10</v>
      </c>
      <c r="H209" s="334">
        <f>COUNTA(H210:H222)</f>
        <v>0</v>
      </c>
      <c r="I209" s="334">
        <f>COUNTA(I210:I222)</f>
        <v>0</v>
      </c>
      <c r="J209" s="365">
        <f>COUNTA(J210:J222)</f>
        <v>1</v>
      </c>
      <c r="K209" s="291"/>
    </row>
    <row r="210" spans="1:11" s="371" customFormat="1" ht="30" hidden="1" outlineLevel="1">
      <c r="A210" s="292"/>
      <c r="B210" s="354" t="s">
        <v>446</v>
      </c>
      <c r="C210" s="348" t="s">
        <v>985</v>
      </c>
      <c r="D210" s="391"/>
      <c r="E210" s="293"/>
      <c r="F210" s="293"/>
      <c r="G210" s="312"/>
      <c r="H210" s="312"/>
      <c r="I210" s="313"/>
      <c r="J210" s="345"/>
      <c r="K210" s="291"/>
    </row>
    <row r="211" spans="1:11" s="371" customFormat="1" hidden="1" outlineLevel="1">
      <c r="A211" s="292"/>
      <c r="B211" s="354">
        <v>1</v>
      </c>
      <c r="C211" s="353" t="s">
        <v>621</v>
      </c>
      <c r="D211" s="391"/>
      <c r="E211" s="293"/>
      <c r="F211" s="293"/>
      <c r="G211" s="312" t="s">
        <v>603</v>
      </c>
      <c r="H211" s="312"/>
      <c r="I211" s="313"/>
      <c r="J211" s="345"/>
      <c r="K211" s="291"/>
    </row>
    <row r="212" spans="1:11" s="371" customFormat="1" hidden="1" outlineLevel="1">
      <c r="A212" s="292"/>
      <c r="B212" s="354">
        <v>2</v>
      </c>
      <c r="C212" s="359" t="s">
        <v>984</v>
      </c>
      <c r="D212" s="391"/>
      <c r="E212" s="293"/>
      <c r="F212" s="293"/>
      <c r="G212" s="312" t="s">
        <v>603</v>
      </c>
      <c r="H212" s="312"/>
      <c r="I212" s="313"/>
      <c r="J212" s="345"/>
      <c r="K212" s="291"/>
    </row>
    <row r="213" spans="1:11" s="371" customFormat="1" hidden="1" outlineLevel="1">
      <c r="A213" s="292"/>
      <c r="B213" s="354">
        <v>3</v>
      </c>
      <c r="C213" s="394" t="s">
        <v>983</v>
      </c>
      <c r="D213" s="391"/>
      <c r="E213" s="293"/>
      <c r="F213" s="293"/>
      <c r="G213" s="312" t="s">
        <v>603</v>
      </c>
      <c r="H213" s="312"/>
      <c r="I213" s="313"/>
      <c r="J213" s="345"/>
      <c r="K213" s="291"/>
    </row>
    <row r="214" spans="1:11" s="371" customFormat="1" hidden="1" outlineLevel="1">
      <c r="A214" s="292"/>
      <c r="B214" s="354">
        <v>4</v>
      </c>
      <c r="C214" s="394" t="s">
        <v>907</v>
      </c>
      <c r="D214" s="391"/>
      <c r="E214" s="293"/>
      <c r="F214" s="293"/>
      <c r="G214" s="312" t="s">
        <v>603</v>
      </c>
      <c r="H214" s="312"/>
      <c r="I214" s="313"/>
      <c r="J214" s="345"/>
      <c r="K214" s="291"/>
    </row>
    <row r="215" spans="1:11" s="371" customFormat="1" hidden="1" outlineLevel="1">
      <c r="A215" s="292"/>
      <c r="B215" s="354">
        <v>5</v>
      </c>
      <c r="C215" s="394" t="s">
        <v>982</v>
      </c>
      <c r="D215" s="391"/>
      <c r="E215" s="293"/>
      <c r="F215" s="293"/>
      <c r="G215" s="312" t="s">
        <v>603</v>
      </c>
      <c r="H215" s="312"/>
      <c r="I215" s="313"/>
      <c r="J215" s="345"/>
      <c r="K215" s="291"/>
    </row>
    <row r="216" spans="1:11" s="371" customFormat="1" ht="180" hidden="1" outlineLevel="1">
      <c r="A216" s="292"/>
      <c r="B216" s="354" t="s">
        <v>638</v>
      </c>
      <c r="C216" s="394" t="s">
        <v>981</v>
      </c>
      <c r="D216" s="391"/>
      <c r="E216" s="293"/>
      <c r="F216" s="293"/>
      <c r="G216" s="312"/>
      <c r="H216" s="312"/>
      <c r="I216" s="313"/>
      <c r="J216" s="345" t="s">
        <v>1266</v>
      </c>
      <c r="K216" s="291"/>
    </row>
    <row r="217" spans="1:11" s="371" customFormat="1" hidden="1" outlineLevel="1">
      <c r="A217" s="292"/>
      <c r="B217" s="354">
        <v>6</v>
      </c>
      <c r="C217" s="394" t="s">
        <v>913</v>
      </c>
      <c r="D217" s="391"/>
      <c r="E217" s="293"/>
      <c r="F217" s="293"/>
      <c r="G217" s="312" t="s">
        <v>603</v>
      </c>
      <c r="H217" s="312"/>
      <c r="I217" s="313"/>
      <c r="J217" s="345"/>
      <c r="K217" s="396" t="s">
        <v>979</v>
      </c>
    </row>
    <row r="218" spans="1:11" s="371" customFormat="1" hidden="1" outlineLevel="1">
      <c r="A218" s="292"/>
      <c r="B218" s="354">
        <v>7</v>
      </c>
      <c r="C218" s="394" t="s">
        <v>960</v>
      </c>
      <c r="D218" s="391"/>
      <c r="E218" s="293"/>
      <c r="F218" s="293"/>
      <c r="G218" s="312" t="s">
        <v>603</v>
      </c>
      <c r="H218" s="312"/>
      <c r="I218" s="313"/>
      <c r="J218" s="345"/>
      <c r="K218" s="396"/>
    </row>
    <row r="219" spans="1:11" s="371" customFormat="1" hidden="1" outlineLevel="1">
      <c r="A219" s="292"/>
      <c r="B219" s="354">
        <v>8</v>
      </c>
      <c r="C219" s="353" t="s">
        <v>980</v>
      </c>
      <c r="D219" s="391"/>
      <c r="E219" s="293"/>
      <c r="F219" s="293"/>
      <c r="G219" s="312" t="s">
        <v>603</v>
      </c>
      <c r="H219" s="312"/>
      <c r="I219" s="313"/>
      <c r="J219" s="345"/>
      <c r="K219" s="291"/>
    </row>
    <row r="220" spans="1:11" s="371" customFormat="1" hidden="1" outlineLevel="1">
      <c r="A220" s="292"/>
      <c r="B220" s="349">
        <v>9</v>
      </c>
      <c r="C220" s="353" t="s">
        <v>659</v>
      </c>
      <c r="D220" s="391"/>
      <c r="E220" s="293"/>
      <c r="F220" s="293"/>
      <c r="G220" s="312" t="s">
        <v>603</v>
      </c>
      <c r="H220" s="312"/>
      <c r="I220" s="313"/>
      <c r="J220" s="345"/>
      <c r="K220" s="291"/>
    </row>
    <row r="221" spans="1:11" s="455" customFormat="1" ht="75" hidden="1" outlineLevel="1">
      <c r="A221" s="290"/>
      <c r="B221" s="354" t="s">
        <v>640</v>
      </c>
      <c r="C221" s="348" t="s">
        <v>1261</v>
      </c>
      <c r="D221" s="452"/>
      <c r="E221" s="453"/>
      <c r="F221" s="289"/>
      <c r="G221" s="314"/>
      <c r="H221" s="315"/>
      <c r="I221" s="316"/>
      <c r="J221" s="364"/>
      <c r="K221" s="454"/>
    </row>
    <row r="222" spans="1:11" s="371" customFormat="1" hidden="1" outlineLevel="1">
      <c r="A222" s="292"/>
      <c r="B222" s="349">
        <v>10</v>
      </c>
      <c r="C222" s="359" t="s">
        <v>630</v>
      </c>
      <c r="D222" s="391"/>
      <c r="E222" s="293"/>
      <c r="F222" s="293"/>
      <c r="G222" s="312" t="s">
        <v>603</v>
      </c>
      <c r="H222" s="312"/>
      <c r="I222" s="313"/>
      <c r="J222" s="345"/>
      <c r="K222" s="291"/>
    </row>
    <row r="223" spans="1:11" s="433" customFormat="1">
      <c r="A223" s="428"/>
      <c r="B223" s="429"/>
      <c r="C223" s="430"/>
      <c r="D223" s="431"/>
      <c r="E223" s="428"/>
      <c r="F223" s="428"/>
      <c r="G223" s="428"/>
      <c r="H223" s="428"/>
      <c r="I223" s="428"/>
      <c r="J223" s="432"/>
    </row>
  </sheetData>
  <mergeCells count="12">
    <mergeCell ref="A5:B5"/>
    <mergeCell ref="C5:I5"/>
    <mergeCell ref="A1:I1"/>
    <mergeCell ref="A2:I2"/>
    <mergeCell ref="A3:B3"/>
    <mergeCell ref="C3:I3"/>
    <mergeCell ref="A4:I4"/>
    <mergeCell ref="A6:I6"/>
    <mergeCell ref="A7:B7"/>
    <mergeCell ref="C7:I7"/>
    <mergeCell ref="A8:I8"/>
    <mergeCell ref="D9:I9"/>
  </mergeCells>
  <conditionalFormatting sqref="E10:E11 E97 E221 E223:E65541">
    <cfRule type="cellIs" dxfId="304" priority="330" operator="equal">
      <formula>"Ready to Test"</formula>
    </cfRule>
    <cfRule type="cellIs" dxfId="303" priority="331" operator="equal">
      <formula>"Do Not Test"</formula>
    </cfRule>
    <cfRule type="cellIs" dxfId="302" priority="332" operator="equal">
      <formula>"Ready for Retest"</formula>
    </cfRule>
    <cfRule type="cellIs" dxfId="301" priority="333" operator="equal">
      <formula>"Passed"</formula>
    </cfRule>
  </conditionalFormatting>
  <conditionalFormatting sqref="E129:E145 E175:E181 E86:E99 E210:E222">
    <cfRule type="cellIs" dxfId="300" priority="326" stopIfTrue="1" operator="equal">
      <formula>"Passed"</formula>
    </cfRule>
    <cfRule type="cellIs" dxfId="299" priority="327" stopIfTrue="1" operator="equal">
      <formula>"Do Not Test"</formula>
    </cfRule>
    <cfRule type="cellIs" dxfId="298" priority="328" stopIfTrue="1" operator="equal">
      <formula>"Ready for Retest"</formula>
    </cfRule>
    <cfRule type="cellIs" dxfId="297" priority="329" stopIfTrue="1" operator="equal">
      <formula>"Ready to Test"</formula>
    </cfRule>
  </conditionalFormatting>
  <conditionalFormatting sqref="E3 E7 E5">
    <cfRule type="cellIs" dxfId="296" priority="324" stopIfTrue="1" operator="equal">
      <formula>"Ready to Test"</formula>
    </cfRule>
    <cfRule type="cellIs" dxfId="295" priority="325" stopIfTrue="1" operator="equal">
      <formula>"Do Not Test"</formula>
    </cfRule>
  </conditionalFormatting>
  <conditionalFormatting sqref="E79 E12 E58 E46 E100 E107 E112 E128 E146 E153 E158 E174 E182 E188 E193 E209">
    <cfRule type="cellIs" dxfId="294" priority="323" stopIfTrue="1" operator="equal">
      <formula>"Do Not Test"</formula>
    </cfRule>
  </conditionalFormatting>
  <conditionalFormatting sqref="E79 E12 E58 E46 E100 E107 E112 E128 E146 E153 E158 E174 E182 E188 E193 E209">
    <cfRule type="cellIs" dxfId="293" priority="322" stopIfTrue="1" operator="equal">
      <formula>"Ready To Test"</formula>
    </cfRule>
  </conditionalFormatting>
  <conditionalFormatting sqref="I12:J122 I123 I124:J222">
    <cfRule type="cellIs" dxfId="292" priority="321" operator="greaterThan">
      <formula>0</formula>
    </cfRule>
  </conditionalFormatting>
  <conditionalFormatting sqref="H11:H222">
    <cfRule type="cellIs" dxfId="291" priority="320" operator="greaterThan">
      <formula>0</formula>
    </cfRule>
  </conditionalFormatting>
  <conditionalFormatting sqref="G12:G222">
    <cfRule type="cellIs" dxfId="290" priority="319" operator="greaterThan">
      <formula>0</formula>
    </cfRule>
  </conditionalFormatting>
  <conditionalFormatting sqref="F12 F58 F79 F46 F100 F107 F112 F128 F146 F153 F158 F174 F182 F188 F193 F209">
    <cfRule type="cellIs" dxfId="289" priority="318" operator="equal">
      <formula>"A"</formula>
    </cfRule>
  </conditionalFormatting>
  <conditionalFormatting sqref="F12 F58 F79 F46 F100 F107 F112 F128 F146 F153 F158 F174 F182 F188 F193 F209">
    <cfRule type="cellIs" dxfId="288" priority="316" operator="equal">
      <formula>"F"</formula>
    </cfRule>
    <cfRule type="cellIs" dxfId="287" priority="317" operator="equal">
      <formula>"p"</formula>
    </cfRule>
  </conditionalFormatting>
  <hyperlinks>
    <hyperlink ref="C9" r:id="rId1"/>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sheetPr>
    <tabColor theme="9"/>
    <outlinePr summaryBelow="0"/>
  </sheetPr>
  <dimension ref="A1:K207"/>
  <sheetViews>
    <sheetView zoomScaleNormal="100" workbookViewId="0">
      <selection sqref="A1:I1"/>
    </sheetView>
  </sheetViews>
  <sheetFormatPr defaultRowHeight="15" outlineLevelRow="1"/>
  <cols>
    <col min="1" max="1" width="8.7109375" style="320" bestFit="1" customWidth="1"/>
    <col min="2" max="2" width="20.85546875" style="324" customWidth="1"/>
    <col min="3" max="3" width="70.140625" style="328" customWidth="1"/>
    <col min="4" max="4" width="10.28515625" style="326" bestFit="1" customWidth="1"/>
    <col min="5" max="5" width="13.28515625" style="320" bestFit="1" customWidth="1"/>
    <col min="6" max="6" width="9.85546875" style="320" bestFit="1" customWidth="1"/>
    <col min="7" max="7" width="8.28515625" style="320" bestFit="1" customWidth="1"/>
    <col min="8" max="8" width="7.5703125" style="320" customWidth="1"/>
    <col min="9" max="9" width="10.5703125" style="320" bestFit="1" customWidth="1"/>
    <col min="10" max="10" width="55.85546875" style="369" customWidth="1"/>
    <col min="11" max="16384" width="9.140625" style="372"/>
  </cols>
  <sheetData>
    <row r="1" spans="1:10" s="397" customFormat="1">
      <c r="A1" s="529" t="s">
        <v>1486</v>
      </c>
      <c r="B1" s="529"/>
      <c r="C1" s="529"/>
      <c r="D1" s="529"/>
      <c r="E1" s="529"/>
      <c r="F1" s="529"/>
      <c r="G1" s="529"/>
      <c r="H1" s="529"/>
      <c r="I1" s="529"/>
      <c r="J1" s="330"/>
    </row>
    <row r="2" spans="1:10" s="398" customFormat="1">
      <c r="A2" s="530"/>
      <c r="B2" s="530"/>
      <c r="C2" s="531"/>
      <c r="D2" s="531"/>
      <c r="E2" s="531"/>
      <c r="F2" s="531"/>
      <c r="G2" s="531"/>
      <c r="H2" s="531"/>
      <c r="I2" s="531"/>
      <c r="J2" s="368"/>
    </row>
    <row r="3" spans="1:10" s="398" customFormat="1" ht="33.75" customHeight="1">
      <c r="A3" s="532" t="s">
        <v>1227</v>
      </c>
      <c r="B3" s="533"/>
      <c r="C3" s="521" t="s">
        <v>1228</v>
      </c>
      <c r="D3" s="522"/>
      <c r="E3" s="522"/>
      <c r="F3" s="522"/>
      <c r="G3" s="522"/>
      <c r="H3" s="522"/>
      <c r="I3" s="523"/>
      <c r="J3" s="409"/>
    </row>
    <row r="4" spans="1:10" s="398" customFormat="1">
      <c r="A4" s="534"/>
      <c r="B4" s="535"/>
      <c r="C4" s="536"/>
      <c r="D4" s="536"/>
      <c r="E4" s="536"/>
      <c r="F4" s="536"/>
      <c r="G4" s="536"/>
      <c r="H4" s="536"/>
      <c r="I4" s="536"/>
      <c r="J4" s="368"/>
    </row>
    <row r="5" spans="1:10" s="397" customFormat="1" ht="30" customHeight="1">
      <c r="A5" s="519" t="s">
        <v>594</v>
      </c>
      <c r="B5" s="520"/>
      <c r="C5" s="526" t="s">
        <v>865</v>
      </c>
      <c r="D5" s="527"/>
      <c r="E5" s="527"/>
      <c r="F5" s="527"/>
      <c r="G5" s="527"/>
      <c r="H5" s="527"/>
      <c r="I5" s="528"/>
      <c r="J5" s="330"/>
    </row>
    <row r="6" spans="1:10" s="397" customFormat="1">
      <c r="A6" s="516"/>
      <c r="B6" s="517"/>
      <c r="C6" s="518"/>
      <c r="D6" s="518"/>
      <c r="E6" s="518"/>
      <c r="F6" s="518"/>
      <c r="G6" s="518"/>
      <c r="H6" s="518"/>
      <c r="I6" s="518"/>
      <c r="J6" s="367"/>
    </row>
    <row r="7" spans="1:10" s="397" customFormat="1" ht="17.25" customHeight="1">
      <c r="A7" s="519" t="s">
        <v>1229</v>
      </c>
      <c r="B7" s="520"/>
      <c r="C7" s="521" t="s">
        <v>1230</v>
      </c>
      <c r="D7" s="522"/>
      <c r="E7" s="522"/>
      <c r="F7" s="522"/>
      <c r="G7" s="522"/>
      <c r="H7" s="522"/>
      <c r="I7" s="523"/>
      <c r="J7" s="330"/>
    </row>
    <row r="8" spans="1:10" s="399" customFormat="1">
      <c r="A8" s="524"/>
      <c r="B8" s="524"/>
      <c r="C8" s="524"/>
      <c r="D8" s="524"/>
      <c r="E8" s="524"/>
      <c r="F8" s="524"/>
      <c r="G8" s="524"/>
      <c r="H8" s="524"/>
      <c r="I8" s="524"/>
      <c r="J8" s="363"/>
    </row>
    <row r="9" spans="1:10" ht="27.75" customHeight="1">
      <c r="A9" s="410" t="s">
        <v>1231</v>
      </c>
      <c r="B9" s="411"/>
      <c r="C9" s="412" t="s">
        <v>1232</v>
      </c>
      <c r="D9" s="525"/>
      <c r="E9" s="525"/>
      <c r="F9" s="525"/>
      <c r="G9" s="525"/>
      <c r="H9" s="525"/>
      <c r="I9" s="525"/>
      <c r="J9" s="413"/>
    </row>
    <row r="10" spans="1:10">
      <c r="A10" s="321"/>
      <c r="B10" s="323"/>
      <c r="C10" s="327"/>
      <c r="D10" s="325"/>
      <c r="E10" s="322"/>
      <c r="F10" s="322"/>
      <c r="G10" s="322"/>
      <c r="H10" s="322"/>
      <c r="I10" s="322"/>
      <c r="J10" s="370"/>
    </row>
    <row r="11" spans="1:10" s="216" customFormat="1" ht="29.25" customHeight="1">
      <c r="A11" s="385" t="s">
        <v>0</v>
      </c>
      <c r="B11" s="379" t="s">
        <v>226</v>
      </c>
      <c r="C11" s="386" t="s">
        <v>540</v>
      </c>
      <c r="D11" s="386" t="s">
        <v>595</v>
      </c>
      <c r="E11" s="387" t="s">
        <v>214</v>
      </c>
      <c r="F11" s="387" t="s">
        <v>584</v>
      </c>
      <c r="G11" s="388" t="s">
        <v>2</v>
      </c>
      <c r="H11" s="389" t="s">
        <v>579</v>
      </c>
      <c r="I11" s="331" t="s">
        <v>583</v>
      </c>
      <c r="J11" s="331" t="s">
        <v>1</v>
      </c>
    </row>
    <row r="12" spans="1:10" s="276" customFormat="1" ht="12.75" customHeight="1" collapsed="1">
      <c r="A12" s="333" t="s">
        <v>23</v>
      </c>
      <c r="B12" s="333" t="s">
        <v>1126</v>
      </c>
      <c r="C12" s="332" t="s">
        <v>1125</v>
      </c>
      <c r="D12" s="334" t="s">
        <v>604</v>
      </c>
      <c r="E12" s="286" t="s">
        <v>596</v>
      </c>
      <c r="F12" s="334" t="str">
        <f>IF(H12&gt;0,"F",IF(I12&gt;0,"A",IF(G12&gt;0,"P","NT")))</f>
        <v>P</v>
      </c>
      <c r="G12" s="334">
        <f>COUNTA(G13:G41)</f>
        <v>24</v>
      </c>
      <c r="H12" s="334">
        <f>COUNTA(H13:H41)</f>
        <v>0</v>
      </c>
      <c r="I12" s="334">
        <f>COUNTA(I13:I41)</f>
        <v>0</v>
      </c>
      <c r="J12" s="365">
        <f>COUNTA(J13:J41)</f>
        <v>0</v>
      </c>
    </row>
    <row r="13" spans="1:10" s="371" customFormat="1" hidden="1" outlineLevel="1">
      <c r="A13" s="390"/>
      <c r="B13" s="351" t="s">
        <v>598</v>
      </c>
      <c r="C13" s="348" t="s">
        <v>1107</v>
      </c>
      <c r="D13" s="391"/>
      <c r="E13" s="380"/>
      <c r="F13" s="380"/>
      <c r="G13" s="310"/>
      <c r="H13" s="311"/>
      <c r="I13" s="310"/>
      <c r="J13" s="366"/>
    </row>
    <row r="14" spans="1:10" s="371" customFormat="1" ht="30" hidden="1" customHeight="1" outlineLevel="1">
      <c r="A14" s="390"/>
      <c r="B14" s="351" t="s">
        <v>599</v>
      </c>
      <c r="C14" s="348" t="s">
        <v>1106</v>
      </c>
      <c r="D14" s="391"/>
      <c r="E14" s="380"/>
      <c r="F14" s="380"/>
      <c r="G14" s="310"/>
      <c r="H14" s="311"/>
      <c r="I14" s="310"/>
      <c r="J14" s="366"/>
    </row>
    <row r="15" spans="1:10" s="371" customFormat="1" ht="30" hidden="1" customHeight="1" outlineLevel="1">
      <c r="A15" s="390"/>
      <c r="B15" s="382" t="s">
        <v>634</v>
      </c>
      <c r="C15" s="348" t="s">
        <v>868</v>
      </c>
      <c r="D15" s="391"/>
      <c r="E15" s="380"/>
      <c r="F15" s="380"/>
      <c r="G15" s="310" t="s">
        <v>603</v>
      </c>
      <c r="H15" s="311"/>
      <c r="I15" s="310"/>
      <c r="J15" s="366"/>
    </row>
    <row r="16" spans="1:10" s="371" customFormat="1" hidden="1" outlineLevel="1">
      <c r="A16" s="390"/>
      <c r="B16" s="352">
        <v>1</v>
      </c>
      <c r="C16" s="353" t="s">
        <v>621</v>
      </c>
      <c r="D16" s="391"/>
      <c r="E16" s="380"/>
      <c r="F16" s="380"/>
      <c r="G16" s="310" t="s">
        <v>603</v>
      </c>
      <c r="H16" s="311"/>
      <c r="I16" s="310"/>
      <c r="J16" s="366"/>
    </row>
    <row r="17" spans="1:10" s="371" customFormat="1" ht="30" hidden="1" outlineLevel="1">
      <c r="A17" s="390"/>
      <c r="B17" s="352">
        <v>2</v>
      </c>
      <c r="C17" s="353" t="s">
        <v>1105</v>
      </c>
      <c r="D17" s="391"/>
      <c r="E17" s="380"/>
      <c r="F17" s="380"/>
      <c r="G17" s="310" t="s">
        <v>603</v>
      </c>
      <c r="H17" s="311"/>
      <c r="I17" s="310"/>
      <c r="J17" s="366"/>
    </row>
    <row r="18" spans="1:10" s="371" customFormat="1" hidden="1" outlineLevel="1">
      <c r="A18" s="390"/>
      <c r="B18" s="352">
        <v>3</v>
      </c>
      <c r="C18" s="353" t="s">
        <v>623</v>
      </c>
      <c r="D18" s="391"/>
      <c r="E18" s="380"/>
      <c r="F18" s="380"/>
      <c r="G18" s="310" t="s">
        <v>603</v>
      </c>
      <c r="H18" s="311"/>
      <c r="I18" s="310"/>
      <c r="J18" s="366"/>
    </row>
    <row r="19" spans="1:10" s="371" customFormat="1" hidden="1" outlineLevel="1">
      <c r="A19" s="390"/>
      <c r="B19" s="352">
        <v>4</v>
      </c>
      <c r="C19" s="353" t="s">
        <v>1104</v>
      </c>
      <c r="D19" s="391"/>
      <c r="E19" s="380"/>
      <c r="F19" s="380"/>
      <c r="G19" s="310" t="s">
        <v>603</v>
      </c>
      <c r="H19" s="311"/>
      <c r="I19" s="310"/>
      <c r="J19" s="366"/>
    </row>
    <row r="20" spans="1:10" s="371" customFormat="1" hidden="1" outlineLevel="1">
      <c r="A20" s="390"/>
      <c r="B20" s="352">
        <v>5</v>
      </c>
      <c r="C20" s="353" t="s">
        <v>622</v>
      </c>
      <c r="D20" s="391"/>
      <c r="E20" s="380"/>
      <c r="F20" s="380"/>
      <c r="G20" s="310" t="s">
        <v>603</v>
      </c>
      <c r="H20" s="311"/>
      <c r="I20" s="310"/>
      <c r="J20" s="366"/>
    </row>
    <row r="21" spans="1:10" s="371" customFormat="1" hidden="1" outlineLevel="1">
      <c r="A21" s="390"/>
      <c r="B21" s="352">
        <v>6</v>
      </c>
      <c r="C21" s="353" t="s">
        <v>1103</v>
      </c>
      <c r="D21" s="391"/>
      <c r="E21" s="380"/>
      <c r="F21" s="380"/>
      <c r="G21" s="310" t="s">
        <v>603</v>
      </c>
      <c r="H21" s="311"/>
      <c r="I21" s="310"/>
      <c r="J21" s="366"/>
    </row>
    <row r="22" spans="1:10" s="371" customFormat="1" hidden="1" outlineLevel="1">
      <c r="A22" s="390"/>
      <c r="B22" s="352">
        <v>7</v>
      </c>
      <c r="C22" s="353" t="s">
        <v>1102</v>
      </c>
      <c r="D22" s="391"/>
      <c r="E22" s="380"/>
      <c r="F22" s="380"/>
      <c r="G22" s="310" t="s">
        <v>603</v>
      </c>
      <c r="H22" s="311"/>
      <c r="I22" s="310"/>
      <c r="J22" s="366"/>
    </row>
    <row r="23" spans="1:10" s="371" customFormat="1" hidden="1" outlineLevel="1">
      <c r="A23" s="390"/>
      <c r="B23" s="352">
        <v>8</v>
      </c>
      <c r="C23" s="353" t="s">
        <v>1101</v>
      </c>
      <c r="D23" s="391"/>
      <c r="E23" s="380"/>
      <c r="F23" s="380"/>
      <c r="G23" s="310" t="s">
        <v>603</v>
      </c>
      <c r="H23" s="311"/>
      <c r="I23" s="310"/>
      <c r="J23" s="366"/>
    </row>
    <row r="24" spans="1:10" s="371" customFormat="1" hidden="1" outlineLevel="1">
      <c r="A24" s="390"/>
      <c r="B24" s="352">
        <v>9</v>
      </c>
      <c r="C24" s="353" t="s">
        <v>1100</v>
      </c>
      <c r="D24" s="391"/>
      <c r="E24" s="380"/>
      <c r="F24" s="380"/>
      <c r="G24" s="310" t="s">
        <v>603</v>
      </c>
      <c r="H24" s="311"/>
      <c r="I24" s="310"/>
      <c r="J24" s="366"/>
    </row>
    <row r="25" spans="1:10" s="371" customFormat="1" hidden="1" outlineLevel="1">
      <c r="A25" s="390"/>
      <c r="B25" s="352">
        <v>10</v>
      </c>
      <c r="C25" s="353" t="s">
        <v>873</v>
      </c>
      <c r="D25" s="391"/>
      <c r="E25" s="380"/>
      <c r="F25" s="380"/>
      <c r="G25" s="310" t="s">
        <v>603</v>
      </c>
      <c r="H25" s="311"/>
      <c r="I25" s="310"/>
      <c r="J25" s="366"/>
    </row>
    <row r="26" spans="1:10" s="371" customFormat="1" hidden="1" outlineLevel="1">
      <c r="A26" s="390"/>
      <c r="B26" s="352">
        <v>11</v>
      </c>
      <c r="C26" s="353" t="s">
        <v>874</v>
      </c>
      <c r="D26" s="391"/>
      <c r="E26" s="380"/>
      <c r="F26" s="380"/>
      <c r="G26" s="310" t="s">
        <v>603</v>
      </c>
      <c r="H26" s="311"/>
      <c r="I26" s="310"/>
      <c r="J26" s="366"/>
    </row>
    <row r="27" spans="1:10" s="371" customFormat="1" hidden="1" outlineLevel="1">
      <c r="A27" s="390"/>
      <c r="B27" s="352">
        <v>12</v>
      </c>
      <c r="C27" s="353" t="s">
        <v>1099</v>
      </c>
      <c r="D27" s="391"/>
      <c r="E27" s="380"/>
      <c r="F27" s="380"/>
      <c r="G27" s="310" t="s">
        <v>603</v>
      </c>
      <c r="H27" s="311"/>
      <c r="I27" s="310"/>
      <c r="J27" s="366"/>
    </row>
    <row r="28" spans="1:10" s="371" customFormat="1" ht="30" hidden="1" outlineLevel="1">
      <c r="A28" s="390"/>
      <c r="B28" s="352">
        <v>13</v>
      </c>
      <c r="C28" s="353" t="s">
        <v>1200</v>
      </c>
      <c r="D28" s="391"/>
      <c r="E28" s="380"/>
      <c r="F28" s="380"/>
      <c r="G28" s="310"/>
      <c r="H28" s="311"/>
      <c r="I28" s="310"/>
      <c r="J28" s="366"/>
    </row>
    <row r="29" spans="1:10" s="371" customFormat="1" hidden="1" outlineLevel="1">
      <c r="A29" s="390"/>
      <c r="B29" s="352">
        <v>14</v>
      </c>
      <c r="C29" s="353" t="s">
        <v>1098</v>
      </c>
      <c r="D29" s="391"/>
      <c r="E29" s="380"/>
      <c r="F29" s="380"/>
      <c r="G29" s="310" t="s">
        <v>603</v>
      </c>
      <c r="H29" s="311"/>
      <c r="I29" s="310"/>
      <c r="J29" s="366"/>
    </row>
    <row r="30" spans="1:10" s="371" customFormat="1" hidden="1" outlineLevel="1">
      <c r="A30" s="390"/>
      <c r="B30" s="352">
        <v>15</v>
      </c>
      <c r="C30" s="353" t="s">
        <v>1214</v>
      </c>
      <c r="D30" s="391"/>
      <c r="E30" s="380"/>
      <c r="F30" s="380"/>
      <c r="G30" s="310"/>
      <c r="H30" s="311"/>
      <c r="I30" s="310"/>
      <c r="J30" s="366"/>
    </row>
    <row r="31" spans="1:10" s="371" customFormat="1" hidden="1" outlineLevel="1">
      <c r="A31" s="390"/>
      <c r="B31" s="352">
        <v>16</v>
      </c>
      <c r="C31" s="353" t="s">
        <v>1097</v>
      </c>
      <c r="D31" s="391"/>
      <c r="E31" s="380"/>
      <c r="F31" s="380"/>
      <c r="G31" s="310" t="s">
        <v>603</v>
      </c>
      <c r="H31" s="311"/>
      <c r="I31" s="310"/>
      <c r="J31" s="366"/>
    </row>
    <row r="32" spans="1:10" s="371" customFormat="1" hidden="1" outlineLevel="1">
      <c r="A32" s="390"/>
      <c r="B32" s="352">
        <v>17</v>
      </c>
      <c r="C32" s="353" t="s">
        <v>1096</v>
      </c>
      <c r="D32" s="391"/>
      <c r="E32" s="380"/>
      <c r="F32" s="380"/>
      <c r="G32" s="310" t="s">
        <v>603</v>
      </c>
      <c r="H32" s="311"/>
      <c r="I32" s="310"/>
      <c r="J32" s="366"/>
    </row>
    <row r="33" spans="1:10" s="371" customFormat="1" hidden="1" outlineLevel="1">
      <c r="A33" s="390"/>
      <c r="B33" s="352">
        <v>18</v>
      </c>
      <c r="C33" s="353" t="s">
        <v>1095</v>
      </c>
      <c r="D33" s="391"/>
      <c r="E33" s="380"/>
      <c r="F33" s="380"/>
      <c r="G33" s="310" t="s">
        <v>603</v>
      </c>
      <c r="H33" s="311"/>
      <c r="I33" s="310"/>
      <c r="J33" s="366"/>
    </row>
    <row r="34" spans="1:10" s="371" customFormat="1" hidden="1" outlineLevel="1">
      <c r="A34" s="390"/>
      <c r="B34" s="352">
        <v>19</v>
      </c>
      <c r="C34" s="353" t="s">
        <v>1094</v>
      </c>
      <c r="D34" s="391"/>
      <c r="E34" s="380"/>
      <c r="F34" s="380"/>
      <c r="G34" s="310" t="s">
        <v>603</v>
      </c>
      <c r="H34" s="311"/>
      <c r="I34" s="310"/>
      <c r="J34" s="366"/>
    </row>
    <row r="35" spans="1:10" s="371" customFormat="1" hidden="1" outlineLevel="1">
      <c r="A35" s="390"/>
      <c r="B35" s="352">
        <v>20</v>
      </c>
      <c r="C35" s="353" t="s">
        <v>1093</v>
      </c>
      <c r="D35" s="391"/>
      <c r="E35" s="380"/>
      <c r="F35" s="380"/>
      <c r="G35" s="310" t="s">
        <v>603</v>
      </c>
      <c r="H35" s="311"/>
      <c r="I35" s="310"/>
      <c r="J35" s="366"/>
    </row>
    <row r="36" spans="1:10" s="371" customFormat="1" hidden="1" outlineLevel="1">
      <c r="A36" s="390"/>
      <c r="B36" s="352">
        <v>21</v>
      </c>
      <c r="C36" s="353" t="s">
        <v>1092</v>
      </c>
      <c r="D36" s="391"/>
      <c r="E36" s="380"/>
      <c r="F36" s="380"/>
      <c r="G36" s="310" t="s">
        <v>603</v>
      </c>
      <c r="H36" s="311"/>
      <c r="I36" s="310"/>
      <c r="J36" s="366"/>
    </row>
    <row r="37" spans="1:10" s="371" customFormat="1" hidden="1" outlineLevel="1">
      <c r="A37" s="390"/>
      <c r="B37" s="352">
        <v>22</v>
      </c>
      <c r="C37" s="353" t="s">
        <v>624</v>
      </c>
      <c r="D37" s="391"/>
      <c r="E37" s="380"/>
      <c r="F37" s="380"/>
      <c r="G37" s="310" t="s">
        <v>603</v>
      </c>
      <c r="H37" s="311"/>
      <c r="I37" s="310"/>
      <c r="J37" s="366"/>
    </row>
    <row r="38" spans="1:10" s="371" customFormat="1" hidden="1" outlineLevel="1">
      <c r="A38" s="390"/>
      <c r="B38" s="352">
        <v>23</v>
      </c>
      <c r="C38" s="353" t="s">
        <v>1074</v>
      </c>
      <c r="D38" s="391"/>
      <c r="E38" s="380"/>
      <c r="F38" s="380"/>
      <c r="G38" s="310" t="s">
        <v>603</v>
      </c>
      <c r="H38" s="311"/>
      <c r="I38" s="310"/>
      <c r="J38" s="366"/>
    </row>
    <row r="39" spans="1:10" s="371" customFormat="1" hidden="1" outlineLevel="1">
      <c r="A39" s="390"/>
      <c r="B39" s="352">
        <v>24</v>
      </c>
      <c r="C39" s="353" t="s">
        <v>1091</v>
      </c>
      <c r="D39" s="391"/>
      <c r="E39" s="380"/>
      <c r="F39" s="380"/>
      <c r="G39" s="310" t="s">
        <v>603</v>
      </c>
      <c r="H39" s="311"/>
      <c r="I39" s="310"/>
      <c r="J39" s="366"/>
    </row>
    <row r="40" spans="1:10" s="371" customFormat="1" hidden="1" outlineLevel="1">
      <c r="A40" s="390"/>
      <c r="B40" s="352">
        <v>25</v>
      </c>
      <c r="C40" s="353" t="s">
        <v>630</v>
      </c>
      <c r="D40" s="391"/>
      <c r="E40" s="380"/>
      <c r="F40" s="380"/>
      <c r="G40" s="310" t="s">
        <v>603</v>
      </c>
      <c r="H40" s="311"/>
      <c r="I40" s="310"/>
      <c r="J40" s="366"/>
    </row>
    <row r="41" spans="1:10" s="371" customFormat="1" hidden="1" outlineLevel="1">
      <c r="A41" s="390"/>
      <c r="B41" s="352" t="s">
        <v>635</v>
      </c>
      <c r="C41" s="353" t="s">
        <v>631</v>
      </c>
      <c r="D41" s="391"/>
      <c r="E41" s="380"/>
      <c r="F41" s="380"/>
      <c r="G41" s="310"/>
      <c r="H41" s="311"/>
      <c r="I41" s="310"/>
      <c r="J41" s="366"/>
    </row>
    <row r="42" spans="1:10" s="276" customFormat="1" collapsed="1">
      <c r="A42" s="333" t="s">
        <v>23</v>
      </c>
      <c r="B42" s="333" t="s">
        <v>1124</v>
      </c>
      <c r="C42" s="332" t="s">
        <v>1123</v>
      </c>
      <c r="D42" s="334" t="s">
        <v>604</v>
      </c>
      <c r="E42" s="286" t="s">
        <v>596</v>
      </c>
      <c r="F42" s="334" t="str">
        <f>IF(H42&gt;0,"F",IF(I42&gt;0,"A",IF(G42&gt;0,"P","NT")))</f>
        <v>P</v>
      </c>
      <c r="G42" s="334">
        <f>COUNTA(G43:G58)</f>
        <v>13</v>
      </c>
      <c r="H42" s="334">
        <f>COUNTA(H43:H58)</f>
        <v>0</v>
      </c>
      <c r="I42" s="334">
        <f>COUNTA(I43:I58)</f>
        <v>0</v>
      </c>
      <c r="J42" s="365">
        <f>COUNTA(J43:J58)</f>
        <v>0</v>
      </c>
    </row>
    <row r="43" spans="1:10" s="371" customFormat="1" ht="30" hidden="1" outlineLevel="1">
      <c r="A43" s="390"/>
      <c r="B43" s="354" t="s">
        <v>446</v>
      </c>
      <c r="C43" s="348" t="s">
        <v>1088</v>
      </c>
      <c r="D43" s="391"/>
      <c r="E43" s="380"/>
      <c r="F43" s="380"/>
      <c r="G43" s="310"/>
      <c r="H43" s="311"/>
      <c r="I43" s="310"/>
      <c r="J43" s="366"/>
    </row>
    <row r="44" spans="1:10" s="371" customFormat="1" ht="45" hidden="1" customHeight="1" outlineLevel="1">
      <c r="A44" s="390"/>
      <c r="B44" s="354">
        <v>1</v>
      </c>
      <c r="C44" s="353" t="s">
        <v>621</v>
      </c>
      <c r="D44" s="391"/>
      <c r="E44" s="380"/>
      <c r="F44" s="380"/>
      <c r="G44" s="310" t="s">
        <v>603</v>
      </c>
      <c r="H44" s="311"/>
      <c r="I44" s="310"/>
      <c r="J44" s="366"/>
    </row>
    <row r="45" spans="1:10" s="371" customFormat="1" ht="45" hidden="1" customHeight="1" outlineLevel="1">
      <c r="A45" s="390"/>
      <c r="B45" s="354">
        <v>2</v>
      </c>
      <c r="C45" s="353" t="s">
        <v>1081</v>
      </c>
      <c r="D45" s="391"/>
      <c r="E45" s="380"/>
      <c r="F45" s="380"/>
      <c r="G45" s="310" t="s">
        <v>603</v>
      </c>
      <c r="H45" s="311"/>
      <c r="I45" s="310"/>
      <c r="J45" s="366"/>
    </row>
    <row r="46" spans="1:10" s="371" customFormat="1" ht="45" hidden="1" customHeight="1" outlineLevel="1">
      <c r="A46" s="390"/>
      <c r="B46" s="354">
        <v>3</v>
      </c>
      <c r="C46" s="357" t="s">
        <v>1080</v>
      </c>
      <c r="D46" s="391"/>
      <c r="E46" s="380"/>
      <c r="F46" s="380"/>
      <c r="G46" s="310" t="s">
        <v>603</v>
      </c>
      <c r="H46" s="311"/>
      <c r="I46" s="310"/>
      <c r="J46" s="366"/>
    </row>
    <row r="47" spans="1:10" s="371" customFormat="1" hidden="1" outlineLevel="1">
      <c r="A47" s="390"/>
      <c r="B47" s="354">
        <v>4</v>
      </c>
      <c r="C47" s="359" t="s">
        <v>1087</v>
      </c>
      <c r="D47" s="391"/>
      <c r="E47" s="380"/>
      <c r="F47" s="380"/>
      <c r="G47" s="310" t="s">
        <v>603</v>
      </c>
      <c r="H47" s="311"/>
      <c r="I47" s="310"/>
      <c r="J47" s="366"/>
    </row>
    <row r="48" spans="1:10" s="371" customFormat="1" hidden="1" outlineLevel="1">
      <c r="A48" s="390"/>
      <c r="B48" s="354">
        <v>5</v>
      </c>
      <c r="C48" s="359" t="s">
        <v>1086</v>
      </c>
      <c r="D48" s="391"/>
      <c r="E48" s="380"/>
      <c r="F48" s="380"/>
      <c r="G48" s="310" t="s">
        <v>603</v>
      </c>
      <c r="H48" s="311"/>
      <c r="I48" s="310"/>
      <c r="J48" s="366"/>
    </row>
    <row r="49" spans="1:11" s="371" customFormat="1" hidden="1" outlineLevel="1">
      <c r="A49" s="390"/>
      <c r="B49" s="354">
        <v>6</v>
      </c>
      <c r="C49" s="359" t="s">
        <v>926</v>
      </c>
      <c r="D49" s="391"/>
      <c r="E49" s="380"/>
      <c r="F49" s="380"/>
      <c r="G49" s="310" t="s">
        <v>603</v>
      </c>
      <c r="H49" s="311"/>
      <c r="I49" s="310"/>
      <c r="J49" s="366"/>
    </row>
    <row r="50" spans="1:11" s="371" customFormat="1" hidden="1" outlineLevel="1">
      <c r="A50" s="390"/>
      <c r="B50" s="354">
        <v>7</v>
      </c>
      <c r="C50" s="359" t="s">
        <v>1085</v>
      </c>
      <c r="D50" s="391"/>
      <c r="E50" s="380"/>
      <c r="F50" s="380"/>
      <c r="G50" s="310" t="s">
        <v>603</v>
      </c>
      <c r="H50" s="311"/>
      <c r="I50" s="310"/>
      <c r="J50" s="366"/>
    </row>
    <row r="51" spans="1:11" s="371" customFormat="1" hidden="1" outlineLevel="1">
      <c r="A51" s="390"/>
      <c r="B51" s="349">
        <v>8</v>
      </c>
      <c r="C51" s="359" t="s">
        <v>1039</v>
      </c>
      <c r="D51" s="391"/>
      <c r="E51" s="380"/>
      <c r="F51" s="380"/>
      <c r="G51" s="310" t="s">
        <v>603</v>
      </c>
      <c r="H51" s="311"/>
      <c r="I51" s="310"/>
      <c r="J51" s="366"/>
    </row>
    <row r="52" spans="1:11" s="371" customFormat="1" hidden="1" outlineLevel="1">
      <c r="A52" s="390"/>
      <c r="B52" s="349">
        <v>9</v>
      </c>
      <c r="C52" s="359" t="s">
        <v>1038</v>
      </c>
      <c r="D52" s="391"/>
      <c r="E52" s="380"/>
      <c r="F52" s="380"/>
      <c r="G52" s="310" t="s">
        <v>603</v>
      </c>
      <c r="H52" s="311"/>
      <c r="I52" s="310"/>
      <c r="J52" s="366"/>
    </row>
    <row r="53" spans="1:11" s="371" customFormat="1" ht="184.5" hidden="1" customHeight="1" outlineLevel="1">
      <c r="A53" s="390"/>
      <c r="B53" s="354" t="s">
        <v>1037</v>
      </c>
      <c r="C53" s="400" t="s">
        <v>1122</v>
      </c>
      <c r="D53" s="391"/>
      <c r="E53" s="380"/>
      <c r="F53" s="380"/>
      <c r="G53" s="310"/>
      <c r="H53" s="311"/>
      <c r="I53" s="310"/>
      <c r="J53" s="366"/>
    </row>
    <row r="54" spans="1:11" s="371" customFormat="1" hidden="1" outlineLevel="1">
      <c r="A54" s="390"/>
      <c r="B54" s="349">
        <v>10</v>
      </c>
      <c r="C54" s="359" t="s">
        <v>632</v>
      </c>
      <c r="D54" s="391"/>
      <c r="E54" s="380"/>
      <c r="F54" s="380"/>
      <c r="G54" s="310" t="s">
        <v>603</v>
      </c>
      <c r="H54" s="311"/>
      <c r="I54" s="310"/>
      <c r="J54" s="366"/>
    </row>
    <row r="55" spans="1:11" s="371" customFormat="1" hidden="1" outlineLevel="1">
      <c r="A55" s="390"/>
      <c r="B55" s="354">
        <v>11</v>
      </c>
      <c r="C55" s="353" t="s">
        <v>1074</v>
      </c>
      <c r="D55" s="391"/>
      <c r="E55" s="380"/>
      <c r="F55" s="380"/>
      <c r="G55" s="310" t="s">
        <v>603</v>
      </c>
      <c r="H55" s="311"/>
      <c r="I55" s="310"/>
      <c r="J55" s="366"/>
    </row>
    <row r="56" spans="1:11" s="371" customFormat="1" hidden="1" outlineLevel="1">
      <c r="A56" s="390"/>
      <c r="B56" s="354">
        <v>12</v>
      </c>
      <c r="C56" s="355" t="s">
        <v>1035</v>
      </c>
      <c r="D56" s="391"/>
      <c r="E56" s="380"/>
      <c r="F56" s="380"/>
      <c r="G56" s="310" t="s">
        <v>603</v>
      </c>
      <c r="H56" s="311"/>
      <c r="I56" s="310"/>
      <c r="J56" s="366"/>
    </row>
    <row r="57" spans="1:11" s="371" customFormat="1" hidden="1" outlineLevel="1">
      <c r="A57" s="390"/>
      <c r="B57" s="354">
        <v>13</v>
      </c>
      <c r="C57" s="359" t="s">
        <v>630</v>
      </c>
      <c r="D57" s="391"/>
      <c r="E57" s="380"/>
      <c r="F57" s="380"/>
      <c r="G57" s="310" t="s">
        <v>603</v>
      </c>
      <c r="H57" s="311"/>
      <c r="I57" s="310"/>
      <c r="J57" s="366"/>
    </row>
    <row r="58" spans="1:11" s="371" customFormat="1" ht="45" hidden="1" customHeight="1" outlineLevel="1">
      <c r="A58" s="390"/>
      <c r="B58" s="358" t="s">
        <v>637</v>
      </c>
      <c r="C58" s="356" t="s">
        <v>631</v>
      </c>
      <c r="D58" s="391"/>
      <c r="E58" s="380"/>
      <c r="F58" s="380"/>
      <c r="G58" s="310"/>
      <c r="H58" s="311"/>
      <c r="I58" s="310"/>
      <c r="J58" s="366"/>
    </row>
    <row r="59" spans="1:11" s="371" customFormat="1" collapsed="1">
      <c r="A59" s="333" t="s">
        <v>23</v>
      </c>
      <c r="B59" s="333" t="s">
        <v>1121</v>
      </c>
      <c r="C59" s="332" t="s">
        <v>1082</v>
      </c>
      <c r="D59" s="334" t="s">
        <v>604</v>
      </c>
      <c r="E59" s="288" t="s">
        <v>596</v>
      </c>
      <c r="F59" s="334" t="str">
        <f>IF(H59&gt;0,"F",IF(I59&gt;0,"A",IF(G59&gt;0,"P","NT")))</f>
        <v>P</v>
      </c>
      <c r="G59" s="334">
        <f>COUNTA(G60:G75)</f>
        <v>10</v>
      </c>
      <c r="H59" s="334">
        <f>COUNTA(H60:H75)</f>
        <v>0</v>
      </c>
      <c r="I59" s="334">
        <f>COUNTA(I60:I75)</f>
        <v>0</v>
      </c>
      <c r="J59" s="365">
        <f>COUNTA(J60:J65)</f>
        <v>0</v>
      </c>
    </row>
    <row r="60" spans="1:11" s="371" customFormat="1" ht="30" hidden="1" outlineLevel="1">
      <c r="A60" s="290"/>
      <c r="B60" s="354" t="s">
        <v>446</v>
      </c>
      <c r="C60" s="348" t="s">
        <v>1267</v>
      </c>
      <c r="D60" s="391"/>
      <c r="E60" s="392"/>
      <c r="F60" s="289"/>
      <c r="G60" s="314"/>
      <c r="H60" s="315"/>
      <c r="I60" s="316"/>
      <c r="J60" s="364"/>
    </row>
    <row r="61" spans="1:11" s="371" customFormat="1" hidden="1" outlineLevel="1">
      <c r="A61" s="290"/>
      <c r="B61" s="354">
        <v>1</v>
      </c>
      <c r="C61" s="353" t="s">
        <v>621</v>
      </c>
      <c r="D61" s="391"/>
      <c r="E61" s="392"/>
      <c r="F61" s="289"/>
      <c r="G61" s="314" t="s">
        <v>603</v>
      </c>
      <c r="H61" s="315"/>
      <c r="I61" s="316"/>
      <c r="J61" s="364"/>
      <c r="K61" s="287"/>
    </row>
    <row r="62" spans="1:11" s="371" customFormat="1" ht="30" hidden="1" outlineLevel="1">
      <c r="A62" s="290"/>
      <c r="B62" s="354">
        <v>2</v>
      </c>
      <c r="C62" s="353" t="s">
        <v>1081</v>
      </c>
      <c r="D62" s="391"/>
      <c r="E62" s="392"/>
      <c r="F62" s="289"/>
      <c r="G62" s="314" t="s">
        <v>603</v>
      </c>
      <c r="H62" s="315"/>
      <c r="I62" s="316"/>
      <c r="J62" s="364"/>
      <c r="K62" s="287"/>
    </row>
    <row r="63" spans="1:11" s="371" customFormat="1" hidden="1" outlineLevel="1">
      <c r="A63" s="290"/>
      <c r="B63" s="354">
        <v>3</v>
      </c>
      <c r="C63" s="357" t="s">
        <v>1080</v>
      </c>
      <c r="D63" s="391"/>
      <c r="E63" s="392"/>
      <c r="F63" s="289"/>
      <c r="G63" s="314" t="s">
        <v>603</v>
      </c>
      <c r="H63" s="315"/>
      <c r="I63" s="316"/>
      <c r="J63" s="364"/>
      <c r="K63" s="287"/>
    </row>
    <row r="64" spans="1:11" s="371" customFormat="1" hidden="1" outlineLevel="1">
      <c r="A64" s="290"/>
      <c r="B64" s="354">
        <v>4</v>
      </c>
      <c r="C64" s="348" t="s">
        <v>1079</v>
      </c>
      <c r="D64" s="391"/>
      <c r="E64" s="392"/>
      <c r="F64" s="289"/>
      <c r="G64" s="314" t="s">
        <v>603</v>
      </c>
      <c r="H64" s="315"/>
      <c r="I64" s="316"/>
      <c r="J64" s="364"/>
      <c r="K64" s="287"/>
    </row>
    <row r="65" spans="1:11" s="371" customFormat="1" hidden="1" outlineLevel="1">
      <c r="A65" s="290"/>
      <c r="B65" s="354">
        <v>5</v>
      </c>
      <c r="C65" s="348" t="s">
        <v>1078</v>
      </c>
      <c r="D65" s="391"/>
      <c r="E65" s="392"/>
      <c r="F65" s="289"/>
      <c r="G65" s="314" t="s">
        <v>603</v>
      </c>
      <c r="H65" s="315"/>
      <c r="I65" s="316"/>
      <c r="J65" s="364"/>
      <c r="K65" s="287"/>
    </row>
    <row r="66" spans="1:11" s="371" customFormat="1" hidden="1" outlineLevel="1">
      <c r="A66" s="292"/>
      <c r="B66" s="354">
        <v>6</v>
      </c>
      <c r="C66" s="394" t="s">
        <v>1077</v>
      </c>
      <c r="D66" s="391"/>
      <c r="E66" s="293"/>
      <c r="F66" s="293"/>
      <c r="G66" s="312" t="s">
        <v>603</v>
      </c>
      <c r="H66" s="312"/>
      <c r="I66" s="313"/>
      <c r="J66" s="345"/>
      <c r="K66" s="291"/>
    </row>
    <row r="67" spans="1:11" s="371" customFormat="1" hidden="1" outlineLevel="1">
      <c r="A67" s="292"/>
      <c r="B67" s="354">
        <v>7</v>
      </c>
      <c r="C67" s="394" t="s">
        <v>907</v>
      </c>
      <c r="D67" s="391"/>
      <c r="E67" s="293"/>
      <c r="F67" s="293"/>
      <c r="G67" s="312" t="s">
        <v>603</v>
      </c>
      <c r="H67" s="312"/>
      <c r="I67" s="313"/>
      <c r="J67" s="345"/>
      <c r="K67" s="291"/>
    </row>
    <row r="68" spans="1:11" s="371" customFormat="1" hidden="1" outlineLevel="1">
      <c r="A68" s="292"/>
      <c r="B68" s="354">
        <v>8</v>
      </c>
      <c r="C68" s="394" t="s">
        <v>908</v>
      </c>
      <c r="D68" s="391"/>
      <c r="E68" s="293"/>
      <c r="F68" s="293"/>
      <c r="G68" s="312" t="s">
        <v>603</v>
      </c>
      <c r="H68" s="312"/>
      <c r="I68" s="313"/>
      <c r="J68" s="345"/>
      <c r="K68" s="291"/>
    </row>
    <row r="69" spans="1:11" s="371" customFormat="1" ht="117" hidden="1" customHeight="1" outlineLevel="1">
      <c r="A69" s="292"/>
      <c r="B69" s="354" t="s">
        <v>638</v>
      </c>
      <c r="C69" s="394" t="s">
        <v>1120</v>
      </c>
      <c r="D69" s="391"/>
      <c r="E69" s="293"/>
      <c r="F69" s="293"/>
      <c r="G69" s="312" t="s">
        <v>603</v>
      </c>
      <c r="H69" s="312"/>
      <c r="I69" s="313"/>
      <c r="J69" s="345"/>
      <c r="K69" s="291"/>
    </row>
    <row r="70" spans="1:11" s="371" customFormat="1" ht="129" hidden="1" customHeight="1" outlineLevel="1">
      <c r="A70" s="292"/>
      <c r="B70" s="354" t="s">
        <v>639</v>
      </c>
      <c r="C70" s="394" t="s">
        <v>1119</v>
      </c>
      <c r="D70" s="391"/>
      <c r="E70" s="293"/>
      <c r="F70" s="293"/>
      <c r="G70" s="312" t="s">
        <v>603</v>
      </c>
      <c r="H70" s="312"/>
      <c r="I70" s="313"/>
      <c r="J70" s="345"/>
      <c r="K70" s="291"/>
    </row>
    <row r="71" spans="1:11" s="371" customFormat="1" ht="156.75" hidden="1" customHeight="1" outlineLevel="1">
      <c r="A71" s="292"/>
      <c r="B71" s="354" t="s">
        <v>640</v>
      </c>
      <c r="C71" s="394" t="s">
        <v>1118</v>
      </c>
      <c r="D71" s="391"/>
      <c r="E71" s="293"/>
      <c r="F71" s="293"/>
      <c r="G71" s="312"/>
      <c r="H71" s="312"/>
      <c r="I71" s="313"/>
      <c r="J71" s="345" t="s">
        <v>1268</v>
      </c>
      <c r="K71" s="291"/>
    </row>
    <row r="72" spans="1:11" s="371" customFormat="1" ht="156.75" hidden="1" customHeight="1" outlineLevel="1">
      <c r="A72" s="292"/>
      <c r="B72" s="354" t="s">
        <v>641</v>
      </c>
      <c r="C72" s="394" t="s">
        <v>1117</v>
      </c>
      <c r="D72" s="391"/>
      <c r="E72" s="293"/>
      <c r="F72" s="293"/>
      <c r="G72" s="312"/>
      <c r="H72" s="312"/>
      <c r="I72" s="313"/>
      <c r="J72" s="345" t="s">
        <v>1268</v>
      </c>
      <c r="K72" s="291"/>
    </row>
    <row r="73" spans="1:11" s="371" customFormat="1" ht="156.75" hidden="1" customHeight="1" outlineLevel="1">
      <c r="A73" s="292"/>
      <c r="B73" s="354" t="s">
        <v>642</v>
      </c>
      <c r="C73" s="394" t="s">
        <v>1116</v>
      </c>
      <c r="D73" s="391"/>
      <c r="E73" s="293"/>
      <c r="F73" s="293"/>
      <c r="G73" s="312"/>
      <c r="H73" s="312"/>
      <c r="I73" s="313"/>
      <c r="J73" s="345" t="s">
        <v>1269</v>
      </c>
      <c r="K73" s="291"/>
    </row>
    <row r="74" spans="1:11" s="371" customFormat="1" ht="156.75" hidden="1" customHeight="1" outlineLevel="1">
      <c r="A74" s="292"/>
      <c r="B74" s="354" t="s">
        <v>643</v>
      </c>
      <c r="C74" s="394" t="s">
        <v>1115</v>
      </c>
      <c r="D74" s="391"/>
      <c r="E74" s="293"/>
      <c r="F74" s="293"/>
      <c r="G74" s="312"/>
      <c r="H74" s="312"/>
      <c r="I74" s="313"/>
      <c r="J74" s="345" t="s">
        <v>1270</v>
      </c>
      <c r="K74" s="291"/>
    </row>
    <row r="75" spans="1:11" s="371" customFormat="1" ht="182.25" hidden="1" customHeight="1" outlineLevel="1">
      <c r="A75" s="292"/>
      <c r="B75" s="354" t="s">
        <v>644</v>
      </c>
      <c r="C75" s="394" t="s">
        <v>1114</v>
      </c>
      <c r="D75" s="391"/>
      <c r="E75" s="293"/>
      <c r="F75" s="293"/>
      <c r="G75" s="312"/>
      <c r="H75" s="312"/>
      <c r="I75" s="313"/>
      <c r="J75" s="345" t="s">
        <v>1271</v>
      </c>
      <c r="K75" s="291"/>
    </row>
    <row r="76" spans="1:11" s="371" customFormat="1" ht="159.75" hidden="1" customHeight="1" outlineLevel="1">
      <c r="A76" s="292"/>
      <c r="B76" s="354" t="s">
        <v>645</v>
      </c>
      <c r="C76" s="394" t="s">
        <v>1113</v>
      </c>
      <c r="D76" s="391"/>
      <c r="E76" s="293"/>
      <c r="F76" s="293"/>
      <c r="G76" s="312"/>
      <c r="H76" s="312"/>
      <c r="I76" s="313"/>
      <c r="J76" s="345" t="s">
        <v>1112</v>
      </c>
      <c r="K76" s="291"/>
    </row>
    <row r="77" spans="1:11" s="371" customFormat="1" ht="159.75" hidden="1" customHeight="1" outlineLevel="1">
      <c r="A77" s="292"/>
      <c r="B77" s="354" t="s">
        <v>646</v>
      </c>
      <c r="C77" s="394" t="s">
        <v>1111</v>
      </c>
      <c r="D77" s="391"/>
      <c r="E77" s="293"/>
      <c r="F77" s="293"/>
      <c r="G77" s="312"/>
      <c r="H77" s="312"/>
      <c r="I77" s="313"/>
      <c r="J77" s="345" t="s">
        <v>1272</v>
      </c>
      <c r="K77" s="291"/>
    </row>
    <row r="78" spans="1:11" s="371" customFormat="1" ht="159.75" hidden="1" customHeight="1" outlineLevel="1">
      <c r="A78" s="292"/>
      <c r="B78" s="354" t="s">
        <v>647</v>
      </c>
      <c r="C78" s="394" t="s">
        <v>1110</v>
      </c>
      <c r="D78" s="391"/>
      <c r="E78" s="293"/>
      <c r="F78" s="293"/>
      <c r="G78" s="312"/>
      <c r="H78" s="312"/>
      <c r="I78" s="313"/>
      <c r="J78" s="345" t="s">
        <v>1273</v>
      </c>
      <c r="K78" s="291"/>
    </row>
    <row r="79" spans="1:11" s="371" customFormat="1" hidden="1" outlineLevel="1">
      <c r="A79" s="292"/>
      <c r="B79" s="354">
        <v>6</v>
      </c>
      <c r="C79" s="394" t="s">
        <v>913</v>
      </c>
      <c r="D79" s="391"/>
      <c r="E79" s="293"/>
      <c r="F79" s="293"/>
      <c r="G79" s="312" t="s">
        <v>603</v>
      </c>
      <c r="H79" s="312"/>
      <c r="I79" s="313"/>
      <c r="J79" s="345"/>
      <c r="K79" s="396" t="s">
        <v>979</v>
      </c>
    </row>
    <row r="80" spans="1:11" s="371" customFormat="1" hidden="1" outlineLevel="1">
      <c r="A80" s="292"/>
      <c r="B80" s="354">
        <v>7</v>
      </c>
      <c r="C80" s="394" t="s">
        <v>914</v>
      </c>
      <c r="D80" s="391"/>
      <c r="E80" s="293"/>
      <c r="F80" s="293"/>
      <c r="G80" s="312" t="s">
        <v>603</v>
      </c>
      <c r="H80" s="312"/>
      <c r="I80" s="313"/>
      <c r="J80" s="345"/>
      <c r="K80" s="396"/>
    </row>
    <row r="81" spans="1:11" s="371" customFormat="1" hidden="1" outlineLevel="1">
      <c r="A81" s="292"/>
      <c r="B81" s="354">
        <v>8</v>
      </c>
      <c r="C81" s="353" t="s">
        <v>1074</v>
      </c>
      <c r="D81" s="391"/>
      <c r="E81" s="293"/>
      <c r="F81" s="293"/>
      <c r="G81" s="312" t="s">
        <v>603</v>
      </c>
      <c r="H81" s="312"/>
      <c r="I81" s="313"/>
      <c r="J81" s="345"/>
      <c r="K81" s="291"/>
    </row>
    <row r="82" spans="1:11" s="371" customFormat="1" hidden="1" outlineLevel="1">
      <c r="A82" s="292"/>
      <c r="B82" s="349">
        <v>9</v>
      </c>
      <c r="C82" s="353" t="s">
        <v>659</v>
      </c>
      <c r="D82" s="391"/>
      <c r="E82" s="293"/>
      <c r="F82" s="293"/>
      <c r="G82" s="312" t="s">
        <v>603</v>
      </c>
      <c r="H82" s="312"/>
      <c r="I82" s="313"/>
      <c r="J82" s="345"/>
      <c r="K82" s="291"/>
    </row>
    <row r="83" spans="1:11" s="455" customFormat="1" ht="75" hidden="1" outlineLevel="1">
      <c r="A83" s="290"/>
      <c r="B83" s="354" t="s">
        <v>717</v>
      </c>
      <c r="C83" s="348" t="s">
        <v>1274</v>
      </c>
      <c r="D83" s="452"/>
      <c r="E83" s="453"/>
      <c r="F83" s="289"/>
      <c r="G83" s="314"/>
      <c r="H83" s="315"/>
      <c r="I83" s="316"/>
      <c r="J83" s="364"/>
      <c r="K83" s="454"/>
    </row>
    <row r="84" spans="1:11" s="455" customFormat="1" hidden="1" outlineLevel="1">
      <c r="A84" s="456"/>
      <c r="B84" s="349">
        <v>10</v>
      </c>
      <c r="C84" s="457" t="s">
        <v>630</v>
      </c>
      <c r="D84" s="452"/>
      <c r="E84" s="293"/>
      <c r="F84" s="293"/>
      <c r="G84" s="312" t="s">
        <v>603</v>
      </c>
      <c r="H84" s="312"/>
      <c r="I84" s="313"/>
      <c r="J84" s="345"/>
      <c r="K84" s="458"/>
    </row>
    <row r="85" spans="1:11" s="455" customFormat="1" hidden="1" outlineLevel="1">
      <c r="A85" s="456"/>
      <c r="B85" s="349" t="s">
        <v>718</v>
      </c>
      <c r="C85" s="457" t="s">
        <v>1275</v>
      </c>
      <c r="D85" s="452"/>
      <c r="E85" s="293"/>
      <c r="F85" s="293"/>
      <c r="G85" s="312" t="s">
        <v>603</v>
      </c>
      <c r="H85" s="312"/>
      <c r="I85" s="313"/>
      <c r="J85" s="345"/>
      <c r="K85" s="458"/>
    </row>
    <row r="86" spans="1:11" s="450" customFormat="1">
      <c r="A86" s="441"/>
      <c r="B86" s="442"/>
      <c r="C86" s="443"/>
      <c r="D86" s="444"/>
      <c r="E86" s="445"/>
      <c r="F86" s="445"/>
      <c r="G86" s="446"/>
      <c r="H86" s="446"/>
      <c r="I86" s="447"/>
      <c r="J86" s="448"/>
      <c r="K86" s="449"/>
    </row>
    <row r="87" spans="1:11" s="276" customFormat="1" collapsed="1">
      <c r="A87" s="333" t="s">
        <v>23</v>
      </c>
      <c r="B87" s="333" t="s">
        <v>1109</v>
      </c>
      <c r="C87" s="332" t="s">
        <v>1108</v>
      </c>
      <c r="D87" s="334" t="s">
        <v>604</v>
      </c>
      <c r="E87" s="286" t="s">
        <v>596</v>
      </c>
      <c r="F87" s="334" t="str">
        <f>IF(H87&gt;0,"F",IF(I87&gt;0,"A",IF(G87&gt;0,"P","NT")))</f>
        <v>P</v>
      </c>
      <c r="G87" s="334">
        <f>COUNTA(G88:G114)</f>
        <v>23</v>
      </c>
      <c r="H87" s="334">
        <f>COUNTA(H88:H114)</f>
        <v>0</v>
      </c>
      <c r="I87" s="334">
        <f>COUNTA(I88:I114)</f>
        <v>0</v>
      </c>
      <c r="J87" s="365">
        <f>COUNTA(J88:J114)</f>
        <v>0</v>
      </c>
    </row>
    <row r="88" spans="1:11" s="371" customFormat="1" hidden="1" outlineLevel="1">
      <c r="A88" s="390"/>
      <c r="B88" s="351" t="s">
        <v>598</v>
      </c>
      <c r="C88" s="348" t="s">
        <v>1107</v>
      </c>
      <c r="D88" s="391"/>
      <c r="E88" s="380"/>
      <c r="F88" s="380"/>
      <c r="G88" s="310"/>
      <c r="H88" s="311"/>
      <c r="I88" s="310"/>
      <c r="J88" s="366"/>
    </row>
    <row r="89" spans="1:11" s="371" customFormat="1" ht="30" hidden="1" customHeight="1" outlineLevel="1">
      <c r="A89" s="390"/>
      <c r="B89" s="351" t="s">
        <v>599</v>
      </c>
      <c r="C89" s="348" t="s">
        <v>1106</v>
      </c>
      <c r="D89" s="391"/>
      <c r="E89" s="380"/>
      <c r="F89" s="380"/>
      <c r="G89" s="310"/>
      <c r="H89" s="311"/>
      <c r="I89" s="310"/>
      <c r="J89" s="366"/>
    </row>
    <row r="90" spans="1:11" s="371" customFormat="1" ht="30" hidden="1" customHeight="1" outlineLevel="1">
      <c r="A90" s="390"/>
      <c r="B90" s="382" t="s">
        <v>634</v>
      </c>
      <c r="C90" s="348" t="s">
        <v>868</v>
      </c>
      <c r="D90" s="391"/>
      <c r="E90" s="380"/>
      <c r="F90" s="380"/>
      <c r="G90" s="310"/>
      <c r="H90" s="311"/>
      <c r="I90" s="310"/>
      <c r="J90" s="366"/>
    </row>
    <row r="91" spans="1:11" s="371" customFormat="1" hidden="1" outlineLevel="1">
      <c r="A91" s="390"/>
      <c r="B91" s="352">
        <v>1</v>
      </c>
      <c r="C91" s="353" t="s">
        <v>621</v>
      </c>
      <c r="D91" s="391"/>
      <c r="E91" s="380"/>
      <c r="F91" s="380"/>
      <c r="G91" s="310" t="s">
        <v>603</v>
      </c>
      <c r="H91" s="311"/>
      <c r="I91" s="310"/>
      <c r="J91" s="366"/>
    </row>
    <row r="92" spans="1:11" s="371" customFormat="1" ht="30" hidden="1" outlineLevel="1">
      <c r="A92" s="390"/>
      <c r="B92" s="352">
        <v>2</v>
      </c>
      <c r="C92" s="353" t="s">
        <v>1105</v>
      </c>
      <c r="D92" s="391"/>
      <c r="E92" s="380"/>
      <c r="F92" s="380"/>
      <c r="G92" s="310" t="s">
        <v>603</v>
      </c>
      <c r="H92" s="311"/>
      <c r="I92" s="310"/>
      <c r="J92" s="366"/>
    </row>
    <row r="93" spans="1:11" s="371" customFormat="1" hidden="1" outlineLevel="1">
      <c r="A93" s="390"/>
      <c r="B93" s="352">
        <v>3</v>
      </c>
      <c r="C93" s="353" t="s">
        <v>623</v>
      </c>
      <c r="D93" s="391"/>
      <c r="E93" s="380"/>
      <c r="F93" s="380"/>
      <c r="G93" s="310" t="s">
        <v>603</v>
      </c>
      <c r="H93" s="311"/>
      <c r="I93" s="310"/>
      <c r="J93" s="366"/>
    </row>
    <row r="94" spans="1:11" s="371" customFormat="1" hidden="1" outlineLevel="1">
      <c r="A94" s="390"/>
      <c r="B94" s="352">
        <v>4</v>
      </c>
      <c r="C94" s="353" t="s">
        <v>1104</v>
      </c>
      <c r="D94" s="391"/>
      <c r="E94" s="380"/>
      <c r="F94" s="380"/>
      <c r="G94" s="310" t="s">
        <v>603</v>
      </c>
      <c r="H94" s="311"/>
      <c r="I94" s="310"/>
      <c r="J94" s="366"/>
    </row>
    <row r="95" spans="1:11" s="371" customFormat="1" hidden="1" outlineLevel="1">
      <c r="A95" s="390"/>
      <c r="B95" s="352">
        <v>5</v>
      </c>
      <c r="C95" s="353" t="s">
        <v>622</v>
      </c>
      <c r="D95" s="391"/>
      <c r="E95" s="380"/>
      <c r="F95" s="380"/>
      <c r="G95" s="310" t="s">
        <v>603</v>
      </c>
      <c r="H95" s="311"/>
      <c r="I95" s="310"/>
      <c r="J95" s="366"/>
    </row>
    <row r="96" spans="1:11" s="371" customFormat="1" hidden="1" outlineLevel="1">
      <c r="A96" s="390"/>
      <c r="B96" s="352">
        <v>6</v>
      </c>
      <c r="C96" s="353" t="s">
        <v>1103</v>
      </c>
      <c r="D96" s="391"/>
      <c r="E96" s="380"/>
      <c r="F96" s="380"/>
      <c r="G96" s="310" t="s">
        <v>603</v>
      </c>
      <c r="H96" s="311"/>
      <c r="I96" s="310"/>
      <c r="J96" s="366"/>
    </row>
    <row r="97" spans="1:10" s="371" customFormat="1" hidden="1" outlineLevel="1">
      <c r="A97" s="390"/>
      <c r="B97" s="352">
        <v>7</v>
      </c>
      <c r="C97" s="353" t="s">
        <v>1102</v>
      </c>
      <c r="D97" s="391"/>
      <c r="E97" s="380"/>
      <c r="F97" s="380"/>
      <c r="G97" s="310" t="s">
        <v>603</v>
      </c>
      <c r="H97" s="311"/>
      <c r="I97" s="310"/>
      <c r="J97" s="366"/>
    </row>
    <row r="98" spans="1:10" s="371" customFormat="1" hidden="1" outlineLevel="1">
      <c r="A98" s="390"/>
      <c r="B98" s="352">
        <v>8</v>
      </c>
      <c r="C98" s="353" t="s">
        <v>1101</v>
      </c>
      <c r="D98" s="391"/>
      <c r="E98" s="380"/>
      <c r="F98" s="380"/>
      <c r="G98" s="310" t="s">
        <v>603</v>
      </c>
      <c r="H98" s="311"/>
      <c r="I98" s="310"/>
      <c r="J98" s="366"/>
    </row>
    <row r="99" spans="1:10" s="371" customFormat="1" hidden="1" outlineLevel="1">
      <c r="A99" s="390"/>
      <c r="B99" s="352">
        <v>9</v>
      </c>
      <c r="C99" s="353" t="s">
        <v>1100</v>
      </c>
      <c r="D99" s="391"/>
      <c r="E99" s="380"/>
      <c r="F99" s="380"/>
      <c r="G99" s="310" t="s">
        <v>603</v>
      </c>
      <c r="H99" s="311"/>
      <c r="I99" s="310"/>
      <c r="J99" s="366"/>
    </row>
    <row r="100" spans="1:10" s="371" customFormat="1" hidden="1" outlineLevel="1">
      <c r="A100" s="390"/>
      <c r="B100" s="352">
        <v>10</v>
      </c>
      <c r="C100" s="353" t="s">
        <v>873</v>
      </c>
      <c r="D100" s="391"/>
      <c r="E100" s="380"/>
      <c r="F100" s="380"/>
      <c r="G100" s="310" t="s">
        <v>603</v>
      </c>
      <c r="H100" s="311"/>
      <c r="I100" s="310"/>
      <c r="J100" s="366"/>
    </row>
    <row r="101" spans="1:10" s="371" customFormat="1" hidden="1" outlineLevel="1">
      <c r="A101" s="390"/>
      <c r="B101" s="352">
        <v>11</v>
      </c>
      <c r="C101" s="353" t="s">
        <v>874</v>
      </c>
      <c r="D101" s="391"/>
      <c r="E101" s="380"/>
      <c r="F101" s="380"/>
      <c r="G101" s="310" t="s">
        <v>603</v>
      </c>
      <c r="H101" s="311"/>
      <c r="I101" s="310"/>
      <c r="J101" s="366"/>
    </row>
    <row r="102" spans="1:10" s="371" customFormat="1" hidden="1" outlineLevel="1">
      <c r="A102" s="390"/>
      <c r="B102" s="352">
        <v>12</v>
      </c>
      <c r="C102" s="353" t="s">
        <v>1099</v>
      </c>
      <c r="D102" s="391"/>
      <c r="E102" s="380"/>
      <c r="F102" s="380"/>
      <c r="G102" s="310" t="s">
        <v>603</v>
      </c>
      <c r="H102" s="311"/>
      <c r="I102" s="310"/>
      <c r="J102" s="366"/>
    </row>
    <row r="103" spans="1:10" s="371" customFormat="1" hidden="1" outlineLevel="1">
      <c r="A103" s="390"/>
      <c r="B103" s="352">
        <v>13</v>
      </c>
      <c r="C103" s="353" t="s">
        <v>1098</v>
      </c>
      <c r="D103" s="391"/>
      <c r="E103" s="380"/>
      <c r="F103" s="380"/>
      <c r="G103" s="310" t="s">
        <v>603</v>
      </c>
      <c r="H103" s="311"/>
      <c r="I103" s="310"/>
      <c r="J103" s="366"/>
    </row>
    <row r="104" spans="1:10" s="371" customFormat="1" hidden="1" outlineLevel="1">
      <c r="A104" s="390"/>
      <c r="B104" s="352">
        <v>14</v>
      </c>
      <c r="C104" s="353" t="s">
        <v>1097</v>
      </c>
      <c r="D104" s="391"/>
      <c r="E104" s="380"/>
      <c r="F104" s="380"/>
      <c r="G104" s="310" t="s">
        <v>603</v>
      </c>
      <c r="H104" s="311"/>
      <c r="I104" s="310"/>
      <c r="J104" s="366"/>
    </row>
    <row r="105" spans="1:10" s="371" customFormat="1" hidden="1" outlineLevel="1">
      <c r="A105" s="390"/>
      <c r="B105" s="352">
        <v>15</v>
      </c>
      <c r="C105" s="353" t="s">
        <v>1096</v>
      </c>
      <c r="D105" s="391"/>
      <c r="E105" s="380"/>
      <c r="F105" s="380"/>
      <c r="G105" s="310" t="s">
        <v>603</v>
      </c>
      <c r="H105" s="311"/>
      <c r="I105" s="310"/>
      <c r="J105" s="366"/>
    </row>
    <row r="106" spans="1:10" s="371" customFormat="1" hidden="1" outlineLevel="1">
      <c r="A106" s="390"/>
      <c r="B106" s="352">
        <v>16</v>
      </c>
      <c r="C106" s="353" t="s">
        <v>1095</v>
      </c>
      <c r="D106" s="391"/>
      <c r="E106" s="380"/>
      <c r="F106" s="380"/>
      <c r="G106" s="310" t="s">
        <v>603</v>
      </c>
      <c r="H106" s="311"/>
      <c r="I106" s="310"/>
      <c r="J106" s="366"/>
    </row>
    <row r="107" spans="1:10" s="371" customFormat="1" hidden="1" outlineLevel="1">
      <c r="A107" s="390"/>
      <c r="B107" s="352">
        <v>17</v>
      </c>
      <c r="C107" s="353" t="s">
        <v>1094</v>
      </c>
      <c r="D107" s="391"/>
      <c r="E107" s="380"/>
      <c r="F107" s="380"/>
      <c r="G107" s="310" t="s">
        <v>603</v>
      </c>
      <c r="H107" s="311"/>
      <c r="I107" s="310"/>
      <c r="J107" s="366"/>
    </row>
    <row r="108" spans="1:10" s="371" customFormat="1" hidden="1" outlineLevel="1">
      <c r="A108" s="390"/>
      <c r="B108" s="352">
        <v>18</v>
      </c>
      <c r="C108" s="353" t="s">
        <v>1093</v>
      </c>
      <c r="D108" s="391"/>
      <c r="E108" s="380"/>
      <c r="F108" s="380"/>
      <c r="G108" s="310" t="s">
        <v>603</v>
      </c>
      <c r="H108" s="311"/>
      <c r="I108" s="310"/>
      <c r="J108" s="366"/>
    </row>
    <row r="109" spans="1:10" s="371" customFormat="1" hidden="1" outlineLevel="1">
      <c r="A109" s="390"/>
      <c r="B109" s="352">
        <v>19</v>
      </c>
      <c r="C109" s="353" t="s">
        <v>1092</v>
      </c>
      <c r="D109" s="391"/>
      <c r="E109" s="380"/>
      <c r="F109" s="380"/>
      <c r="G109" s="310" t="s">
        <v>603</v>
      </c>
      <c r="H109" s="311"/>
      <c r="I109" s="310"/>
      <c r="J109" s="366"/>
    </row>
    <row r="110" spans="1:10" s="371" customFormat="1" hidden="1" outlineLevel="1">
      <c r="A110" s="390"/>
      <c r="B110" s="352">
        <v>20</v>
      </c>
      <c r="C110" s="353" t="s">
        <v>624</v>
      </c>
      <c r="D110" s="391"/>
      <c r="E110" s="380"/>
      <c r="F110" s="380"/>
      <c r="G110" s="310" t="s">
        <v>603</v>
      </c>
      <c r="H110" s="311"/>
      <c r="I110" s="310"/>
      <c r="J110" s="366"/>
    </row>
    <row r="111" spans="1:10" s="371" customFormat="1" hidden="1" outlineLevel="1">
      <c r="A111" s="390"/>
      <c r="B111" s="352">
        <v>21</v>
      </c>
      <c r="C111" s="353" t="s">
        <v>1074</v>
      </c>
      <c r="D111" s="391"/>
      <c r="E111" s="380"/>
      <c r="F111" s="380"/>
      <c r="G111" s="310" t="s">
        <v>603</v>
      </c>
      <c r="H111" s="311"/>
      <c r="I111" s="310"/>
      <c r="J111" s="366"/>
    </row>
    <row r="112" spans="1:10" s="371" customFormat="1" hidden="1" outlineLevel="1">
      <c r="A112" s="390"/>
      <c r="B112" s="352">
        <v>22</v>
      </c>
      <c r="C112" s="353" t="s">
        <v>1091</v>
      </c>
      <c r="D112" s="391"/>
      <c r="E112" s="380"/>
      <c r="F112" s="380"/>
      <c r="G112" s="310" t="s">
        <v>603</v>
      </c>
      <c r="H112" s="311"/>
      <c r="I112" s="310"/>
      <c r="J112" s="366"/>
    </row>
    <row r="113" spans="1:10" s="371" customFormat="1" hidden="1" outlineLevel="1">
      <c r="A113" s="390"/>
      <c r="B113" s="352">
        <v>23</v>
      </c>
      <c r="C113" s="353" t="s">
        <v>630</v>
      </c>
      <c r="D113" s="391"/>
      <c r="E113" s="380"/>
      <c r="F113" s="380"/>
      <c r="G113" s="310" t="s">
        <v>603</v>
      </c>
      <c r="H113" s="311"/>
      <c r="I113" s="310"/>
      <c r="J113" s="366"/>
    </row>
    <row r="114" spans="1:10" s="371" customFormat="1" hidden="1" outlineLevel="1">
      <c r="A114" s="390"/>
      <c r="B114" s="352" t="s">
        <v>635</v>
      </c>
      <c r="C114" s="353" t="s">
        <v>631</v>
      </c>
      <c r="D114" s="391"/>
      <c r="E114" s="380"/>
      <c r="F114" s="380"/>
      <c r="G114" s="310"/>
      <c r="H114" s="311"/>
      <c r="I114" s="310"/>
      <c r="J114" s="366"/>
    </row>
    <row r="115" spans="1:10" s="276" customFormat="1" collapsed="1">
      <c r="A115" s="333" t="s">
        <v>23</v>
      </c>
      <c r="B115" s="333" t="s">
        <v>1090</v>
      </c>
      <c r="C115" s="332" t="s">
        <v>1089</v>
      </c>
      <c r="D115" s="334" t="s">
        <v>604</v>
      </c>
      <c r="E115" s="286" t="s">
        <v>596</v>
      </c>
      <c r="F115" s="334" t="str">
        <f>IF(H115&gt;0,"F",IF(I115&gt;0,"A",IF(G115&gt;0,"P","NT")))</f>
        <v>P</v>
      </c>
      <c r="G115" s="334">
        <f>COUNTA(G116:G131)</f>
        <v>13</v>
      </c>
      <c r="H115" s="334">
        <f>COUNTA(H116:H131)</f>
        <v>0</v>
      </c>
      <c r="I115" s="334">
        <f>COUNTA(I116:I131)</f>
        <v>0</v>
      </c>
      <c r="J115" s="365">
        <f>COUNTA(J116:J131)</f>
        <v>0</v>
      </c>
    </row>
    <row r="116" spans="1:10" s="371" customFormat="1" ht="30" hidden="1" outlineLevel="1">
      <c r="A116" s="390"/>
      <c r="B116" s="354" t="s">
        <v>446</v>
      </c>
      <c r="C116" s="348" t="s">
        <v>1088</v>
      </c>
      <c r="D116" s="391"/>
      <c r="E116" s="380"/>
      <c r="F116" s="380"/>
      <c r="G116" s="310"/>
      <c r="H116" s="311"/>
      <c r="I116" s="310"/>
      <c r="J116" s="366"/>
    </row>
    <row r="117" spans="1:10" s="371" customFormat="1" ht="45" hidden="1" customHeight="1" outlineLevel="1">
      <c r="A117" s="390"/>
      <c r="B117" s="354">
        <v>1</v>
      </c>
      <c r="C117" s="353" t="s">
        <v>621</v>
      </c>
      <c r="D117" s="391"/>
      <c r="E117" s="380"/>
      <c r="F117" s="380"/>
      <c r="G117" s="310" t="s">
        <v>603</v>
      </c>
      <c r="H117" s="311"/>
      <c r="I117" s="310"/>
      <c r="J117" s="366"/>
    </row>
    <row r="118" spans="1:10" s="371" customFormat="1" ht="45" hidden="1" customHeight="1" outlineLevel="1">
      <c r="A118" s="390"/>
      <c r="B118" s="354">
        <v>2</v>
      </c>
      <c r="C118" s="353" t="s">
        <v>1081</v>
      </c>
      <c r="D118" s="391"/>
      <c r="E118" s="380"/>
      <c r="F118" s="380"/>
      <c r="G118" s="310" t="s">
        <v>603</v>
      </c>
      <c r="H118" s="311"/>
      <c r="I118" s="310"/>
      <c r="J118" s="366"/>
    </row>
    <row r="119" spans="1:10" s="371" customFormat="1" ht="45" hidden="1" customHeight="1" outlineLevel="1">
      <c r="A119" s="390"/>
      <c r="B119" s="354">
        <v>3</v>
      </c>
      <c r="C119" s="357" t="s">
        <v>1080</v>
      </c>
      <c r="D119" s="391"/>
      <c r="E119" s="380"/>
      <c r="F119" s="380"/>
      <c r="G119" s="310" t="s">
        <v>603</v>
      </c>
      <c r="H119" s="311"/>
      <c r="I119" s="310"/>
      <c r="J119" s="366"/>
    </row>
    <row r="120" spans="1:10" s="371" customFormat="1" hidden="1" outlineLevel="1">
      <c r="A120" s="390"/>
      <c r="B120" s="354">
        <v>4</v>
      </c>
      <c r="C120" s="359" t="s">
        <v>1087</v>
      </c>
      <c r="D120" s="391"/>
      <c r="E120" s="380"/>
      <c r="F120" s="380"/>
      <c r="G120" s="310" t="s">
        <v>603</v>
      </c>
      <c r="H120" s="311"/>
      <c r="I120" s="310"/>
      <c r="J120" s="366"/>
    </row>
    <row r="121" spans="1:10" s="371" customFormat="1" hidden="1" outlineLevel="1">
      <c r="A121" s="390"/>
      <c r="B121" s="354">
        <v>5</v>
      </c>
      <c r="C121" s="359" t="s">
        <v>1086</v>
      </c>
      <c r="D121" s="391"/>
      <c r="E121" s="380"/>
      <c r="F121" s="380"/>
      <c r="G121" s="310" t="s">
        <v>603</v>
      </c>
      <c r="H121" s="311"/>
      <c r="I121" s="310"/>
      <c r="J121" s="366"/>
    </row>
    <row r="122" spans="1:10" s="371" customFormat="1" hidden="1" outlineLevel="1">
      <c r="A122" s="390"/>
      <c r="B122" s="354">
        <v>6</v>
      </c>
      <c r="C122" s="359" t="s">
        <v>926</v>
      </c>
      <c r="D122" s="391"/>
      <c r="E122" s="380"/>
      <c r="F122" s="380"/>
      <c r="G122" s="310" t="s">
        <v>603</v>
      </c>
      <c r="H122" s="311"/>
      <c r="I122" s="310"/>
      <c r="J122" s="366"/>
    </row>
    <row r="123" spans="1:10" s="371" customFormat="1" hidden="1" outlineLevel="1">
      <c r="A123" s="390"/>
      <c r="B123" s="354">
        <v>7</v>
      </c>
      <c r="C123" s="359" t="s">
        <v>1085</v>
      </c>
      <c r="D123" s="391"/>
      <c r="E123" s="380"/>
      <c r="F123" s="380"/>
      <c r="G123" s="310" t="s">
        <v>603</v>
      </c>
      <c r="H123" s="311"/>
      <c r="I123" s="310"/>
      <c r="J123" s="366"/>
    </row>
    <row r="124" spans="1:10" s="371" customFormat="1" hidden="1" outlineLevel="1">
      <c r="A124" s="390"/>
      <c r="B124" s="349">
        <v>8</v>
      </c>
      <c r="C124" s="359" t="s">
        <v>1039</v>
      </c>
      <c r="D124" s="391"/>
      <c r="E124" s="380"/>
      <c r="F124" s="380"/>
      <c r="G124" s="310" t="s">
        <v>603</v>
      </c>
      <c r="H124" s="311"/>
      <c r="I124" s="310"/>
      <c r="J124" s="366"/>
    </row>
    <row r="125" spans="1:10" s="371" customFormat="1" hidden="1" outlineLevel="1">
      <c r="A125" s="390"/>
      <c r="B125" s="349">
        <v>9</v>
      </c>
      <c r="C125" s="359" t="s">
        <v>1038</v>
      </c>
      <c r="D125" s="391"/>
      <c r="E125" s="380"/>
      <c r="F125" s="380"/>
      <c r="G125" s="310" t="s">
        <v>603</v>
      </c>
      <c r="H125" s="311"/>
      <c r="I125" s="310"/>
      <c r="J125" s="366"/>
    </row>
    <row r="126" spans="1:10" s="371" customFormat="1" ht="48.75" hidden="1" customHeight="1" outlineLevel="1">
      <c r="A126" s="390"/>
      <c r="B126" s="354" t="s">
        <v>1037</v>
      </c>
      <c r="C126" s="400" t="s">
        <v>1084</v>
      </c>
      <c r="D126" s="391"/>
      <c r="E126" s="380"/>
      <c r="F126" s="380"/>
      <c r="G126" s="310"/>
      <c r="H126" s="311"/>
      <c r="I126" s="310"/>
      <c r="J126" s="366"/>
    </row>
    <row r="127" spans="1:10" s="371" customFormat="1" hidden="1" outlineLevel="1">
      <c r="A127" s="390"/>
      <c r="B127" s="349">
        <v>10</v>
      </c>
      <c r="C127" s="359" t="s">
        <v>632</v>
      </c>
      <c r="D127" s="391"/>
      <c r="E127" s="380"/>
      <c r="F127" s="380"/>
      <c r="G127" s="310" t="s">
        <v>603</v>
      </c>
      <c r="H127" s="311"/>
      <c r="I127" s="310"/>
      <c r="J127" s="366"/>
    </row>
    <row r="128" spans="1:10" s="371" customFormat="1" hidden="1" outlineLevel="1">
      <c r="A128" s="390"/>
      <c r="B128" s="354">
        <v>11</v>
      </c>
      <c r="C128" s="353" t="s">
        <v>1074</v>
      </c>
      <c r="D128" s="391"/>
      <c r="E128" s="380"/>
      <c r="F128" s="380"/>
      <c r="G128" s="310" t="s">
        <v>603</v>
      </c>
      <c r="H128" s="311"/>
      <c r="I128" s="310"/>
      <c r="J128" s="366"/>
    </row>
    <row r="129" spans="1:11" s="371" customFormat="1" hidden="1" outlineLevel="1">
      <c r="A129" s="390"/>
      <c r="B129" s="354">
        <v>12</v>
      </c>
      <c r="C129" s="355" t="s">
        <v>1035</v>
      </c>
      <c r="D129" s="391"/>
      <c r="E129" s="380"/>
      <c r="F129" s="380"/>
      <c r="G129" s="310" t="s">
        <v>603</v>
      </c>
      <c r="H129" s="311"/>
      <c r="I129" s="310"/>
      <c r="J129" s="366"/>
    </row>
    <row r="130" spans="1:11" s="371" customFormat="1" hidden="1" outlineLevel="1">
      <c r="A130" s="390"/>
      <c r="B130" s="354">
        <v>13</v>
      </c>
      <c r="C130" s="359" t="s">
        <v>630</v>
      </c>
      <c r="D130" s="391"/>
      <c r="E130" s="380"/>
      <c r="F130" s="380"/>
      <c r="G130" s="310" t="s">
        <v>603</v>
      </c>
      <c r="H130" s="311"/>
      <c r="I130" s="310"/>
      <c r="J130" s="366"/>
    </row>
    <row r="131" spans="1:11" s="371" customFormat="1" ht="45" hidden="1" customHeight="1" outlineLevel="1">
      <c r="A131" s="390"/>
      <c r="B131" s="358" t="s">
        <v>637</v>
      </c>
      <c r="C131" s="356" t="s">
        <v>631</v>
      </c>
      <c r="D131" s="391"/>
      <c r="E131" s="380"/>
      <c r="F131" s="380"/>
      <c r="G131" s="310"/>
      <c r="H131" s="311"/>
      <c r="I131" s="310"/>
      <c r="J131" s="366"/>
    </row>
    <row r="132" spans="1:11" s="371" customFormat="1" collapsed="1">
      <c r="A132" s="333" t="s">
        <v>23</v>
      </c>
      <c r="B132" s="333" t="s">
        <v>1083</v>
      </c>
      <c r="C132" s="332" t="s">
        <v>1082</v>
      </c>
      <c r="D132" s="334" t="s">
        <v>604</v>
      </c>
      <c r="E132" s="288" t="s">
        <v>596</v>
      </c>
      <c r="F132" s="334" t="str">
        <f>IF(H132&gt;0,"F",IF(I132&gt;0,"A",IF(G132&gt;0,"P","NT")))</f>
        <v>P</v>
      </c>
      <c r="G132" s="334">
        <f>COUNTA(G133:G138)</f>
        <v>5</v>
      </c>
      <c r="H132" s="334">
        <f>COUNTA(H133:H138)</f>
        <v>0</v>
      </c>
      <c r="I132" s="334">
        <f>COUNTA(I133:I149)</f>
        <v>0</v>
      </c>
      <c r="J132" s="365">
        <f>COUNTA(J133:J138)</f>
        <v>0</v>
      </c>
    </row>
    <row r="133" spans="1:11" s="371" customFormat="1" ht="30" hidden="1" outlineLevel="1">
      <c r="A133" s="290"/>
      <c r="B133" s="354" t="s">
        <v>446</v>
      </c>
      <c r="C133" s="348" t="s">
        <v>1276</v>
      </c>
      <c r="D133" s="391"/>
      <c r="E133" s="392"/>
      <c r="F133" s="289"/>
      <c r="G133" s="314"/>
      <c r="H133" s="315"/>
      <c r="I133" s="316"/>
      <c r="J133" s="364"/>
    </row>
    <row r="134" spans="1:11" s="371" customFormat="1" hidden="1" outlineLevel="1">
      <c r="A134" s="290"/>
      <c r="B134" s="354">
        <v>1</v>
      </c>
      <c r="C134" s="353" t="s">
        <v>621</v>
      </c>
      <c r="D134" s="391"/>
      <c r="E134" s="392"/>
      <c r="F134" s="289"/>
      <c r="G134" s="314" t="s">
        <v>603</v>
      </c>
      <c r="H134" s="315"/>
      <c r="I134" s="316"/>
      <c r="J134" s="364"/>
      <c r="K134" s="287"/>
    </row>
    <row r="135" spans="1:11" s="371" customFormat="1" ht="30" hidden="1" outlineLevel="1">
      <c r="A135" s="290"/>
      <c r="B135" s="354">
        <v>2</v>
      </c>
      <c r="C135" s="353" t="s">
        <v>1081</v>
      </c>
      <c r="D135" s="391"/>
      <c r="E135" s="392"/>
      <c r="F135" s="289"/>
      <c r="G135" s="314" t="s">
        <v>603</v>
      </c>
      <c r="H135" s="315"/>
      <c r="I135" s="316"/>
      <c r="J135" s="364"/>
      <c r="K135" s="287"/>
    </row>
    <row r="136" spans="1:11" s="371" customFormat="1" hidden="1" outlineLevel="1">
      <c r="A136" s="290"/>
      <c r="B136" s="354">
        <v>3</v>
      </c>
      <c r="C136" s="357" t="s">
        <v>1080</v>
      </c>
      <c r="D136" s="391"/>
      <c r="E136" s="392"/>
      <c r="F136" s="289"/>
      <c r="G136" s="314" t="s">
        <v>603</v>
      </c>
      <c r="H136" s="315"/>
      <c r="I136" s="316"/>
      <c r="J136" s="364"/>
      <c r="K136" s="287"/>
    </row>
    <row r="137" spans="1:11" s="371" customFormat="1" hidden="1" outlineLevel="1">
      <c r="A137" s="290"/>
      <c r="B137" s="354">
        <v>4</v>
      </c>
      <c r="C137" s="348" t="s">
        <v>1079</v>
      </c>
      <c r="D137" s="391"/>
      <c r="E137" s="392"/>
      <c r="F137" s="289"/>
      <c r="G137" s="314" t="s">
        <v>603</v>
      </c>
      <c r="H137" s="315"/>
      <c r="I137" s="316"/>
      <c r="J137" s="364"/>
      <c r="K137" s="287"/>
    </row>
    <row r="138" spans="1:11" s="371" customFormat="1" hidden="1" outlineLevel="1">
      <c r="A138" s="290"/>
      <c r="B138" s="354">
        <v>5</v>
      </c>
      <c r="C138" s="348" t="s">
        <v>1078</v>
      </c>
      <c r="D138" s="391"/>
      <c r="E138" s="392"/>
      <c r="F138" s="289"/>
      <c r="G138" s="314" t="s">
        <v>603</v>
      </c>
      <c r="H138" s="315"/>
      <c r="I138" s="316"/>
      <c r="J138" s="364"/>
      <c r="K138" s="287"/>
    </row>
    <row r="139" spans="1:11" s="371" customFormat="1" hidden="1" outlineLevel="1">
      <c r="A139" s="292"/>
      <c r="B139" s="354">
        <v>6</v>
      </c>
      <c r="C139" s="394" t="s">
        <v>1077</v>
      </c>
      <c r="D139" s="391"/>
      <c r="E139" s="293"/>
      <c r="F139" s="293"/>
      <c r="G139" s="312" t="s">
        <v>603</v>
      </c>
      <c r="H139" s="312"/>
      <c r="I139" s="313"/>
      <c r="J139" s="345"/>
      <c r="K139" s="291"/>
    </row>
    <row r="140" spans="1:11" s="371" customFormat="1" hidden="1" outlineLevel="1">
      <c r="A140" s="292"/>
      <c r="B140" s="354">
        <v>7</v>
      </c>
      <c r="C140" s="394" t="s">
        <v>907</v>
      </c>
      <c r="D140" s="391"/>
      <c r="E140" s="293"/>
      <c r="F140" s="293"/>
      <c r="G140" s="312" t="s">
        <v>603</v>
      </c>
      <c r="H140" s="312"/>
      <c r="I140" s="313"/>
      <c r="J140" s="345"/>
      <c r="K140" s="291"/>
    </row>
    <row r="141" spans="1:11" s="371" customFormat="1" hidden="1" outlineLevel="1">
      <c r="A141" s="292"/>
      <c r="B141" s="354">
        <v>8</v>
      </c>
      <c r="C141" s="394" t="s">
        <v>908</v>
      </c>
      <c r="D141" s="391"/>
      <c r="E141" s="293"/>
      <c r="F141" s="293"/>
      <c r="G141" s="312" t="s">
        <v>603</v>
      </c>
      <c r="H141" s="312"/>
      <c r="I141" s="313"/>
      <c r="J141" s="345"/>
      <c r="K141" s="291"/>
    </row>
    <row r="142" spans="1:11" s="371" customFormat="1" ht="104.25" hidden="1" customHeight="1" outlineLevel="1">
      <c r="A142" s="292"/>
      <c r="B142" s="354" t="s">
        <v>634</v>
      </c>
      <c r="C142" s="394" t="s">
        <v>1076</v>
      </c>
      <c r="D142" s="391"/>
      <c r="E142" s="293"/>
      <c r="F142" s="293"/>
      <c r="G142" s="312"/>
      <c r="H142" s="312"/>
      <c r="I142" s="313"/>
      <c r="J142" s="345" t="s">
        <v>1277</v>
      </c>
      <c r="K142" s="291"/>
    </row>
    <row r="143" spans="1:11" s="371" customFormat="1" ht="94.5" hidden="1" customHeight="1" outlineLevel="1">
      <c r="A143" s="292"/>
      <c r="B143" s="354" t="s">
        <v>635</v>
      </c>
      <c r="C143" s="394" t="s">
        <v>1075</v>
      </c>
      <c r="D143" s="391"/>
      <c r="E143" s="293"/>
      <c r="F143" s="293"/>
      <c r="G143" s="312"/>
      <c r="H143" s="312"/>
      <c r="I143" s="313"/>
      <c r="J143" s="345" t="s">
        <v>1277</v>
      </c>
      <c r="K143" s="291"/>
    </row>
    <row r="144" spans="1:11" s="371" customFormat="1" hidden="1" outlineLevel="1">
      <c r="A144" s="292"/>
      <c r="B144" s="354">
        <v>9</v>
      </c>
      <c r="C144" s="394" t="s">
        <v>913</v>
      </c>
      <c r="D144" s="391"/>
      <c r="E144" s="293"/>
      <c r="F144" s="293"/>
      <c r="G144" s="312" t="s">
        <v>603</v>
      </c>
      <c r="H144" s="312"/>
      <c r="I144" s="313"/>
      <c r="J144" s="345"/>
      <c r="K144" s="396" t="s">
        <v>979</v>
      </c>
    </row>
    <row r="145" spans="1:11" s="371" customFormat="1" hidden="1" outlineLevel="1">
      <c r="A145" s="292"/>
      <c r="B145" s="354">
        <v>10</v>
      </c>
      <c r="C145" s="394" t="s">
        <v>914</v>
      </c>
      <c r="D145" s="391"/>
      <c r="E145" s="293"/>
      <c r="F145" s="293"/>
      <c r="G145" s="312" t="s">
        <v>603</v>
      </c>
      <c r="H145" s="312"/>
      <c r="I145" s="313"/>
      <c r="J145" s="345"/>
      <c r="K145" s="396"/>
    </row>
    <row r="146" spans="1:11" s="371" customFormat="1" hidden="1" outlineLevel="1">
      <c r="A146" s="292"/>
      <c r="B146" s="354">
        <v>11</v>
      </c>
      <c r="C146" s="353" t="s">
        <v>1074</v>
      </c>
      <c r="D146" s="391"/>
      <c r="E146" s="293"/>
      <c r="F146" s="293"/>
      <c r="G146" s="312" t="s">
        <v>603</v>
      </c>
      <c r="H146" s="312"/>
      <c r="I146" s="313"/>
      <c r="J146" s="345"/>
      <c r="K146" s="291"/>
    </row>
    <row r="147" spans="1:11" s="371" customFormat="1" hidden="1" outlineLevel="1">
      <c r="A147" s="292"/>
      <c r="B147" s="349">
        <v>12</v>
      </c>
      <c r="C147" s="353" t="s">
        <v>659</v>
      </c>
      <c r="D147" s="391"/>
      <c r="E147" s="293"/>
      <c r="F147" s="293"/>
      <c r="G147" s="312" t="s">
        <v>603</v>
      </c>
      <c r="H147" s="312"/>
      <c r="I147" s="313"/>
      <c r="J147" s="345"/>
      <c r="K147" s="291"/>
    </row>
    <row r="148" spans="1:11" s="455" customFormat="1" ht="75" hidden="1" outlineLevel="1">
      <c r="A148" s="290"/>
      <c r="B148" s="354" t="s">
        <v>636</v>
      </c>
      <c r="C148" s="348" t="s">
        <v>1274</v>
      </c>
      <c r="D148" s="452"/>
      <c r="E148" s="453"/>
      <c r="F148" s="289"/>
      <c r="G148" s="314"/>
      <c r="H148" s="315"/>
      <c r="I148" s="316"/>
      <c r="J148" s="364"/>
      <c r="K148" s="454"/>
    </row>
    <row r="149" spans="1:11" s="455" customFormat="1" hidden="1" outlineLevel="1">
      <c r="A149" s="456"/>
      <c r="B149" s="349">
        <v>13</v>
      </c>
      <c r="C149" s="457" t="s">
        <v>630</v>
      </c>
      <c r="D149" s="452"/>
      <c r="E149" s="293"/>
      <c r="F149" s="293"/>
      <c r="G149" s="312" t="s">
        <v>603</v>
      </c>
      <c r="H149" s="312"/>
      <c r="I149" s="313"/>
      <c r="J149" s="345"/>
      <c r="K149" s="458"/>
    </row>
    <row r="150" spans="1:11" s="455" customFormat="1" hidden="1" outlineLevel="1">
      <c r="A150" s="456"/>
      <c r="B150" s="349" t="s">
        <v>1257</v>
      </c>
      <c r="C150" s="457" t="s">
        <v>1275</v>
      </c>
      <c r="D150" s="452"/>
      <c r="E150" s="293"/>
      <c r="F150" s="293"/>
      <c r="G150" s="312" t="s">
        <v>603</v>
      </c>
      <c r="H150" s="312"/>
      <c r="I150" s="313"/>
      <c r="J150" s="345"/>
      <c r="K150" s="458"/>
    </row>
    <row r="151" spans="1:11" s="371" customFormat="1" collapsed="1">
      <c r="A151" s="333" t="s">
        <v>23</v>
      </c>
      <c r="B151" s="333" t="s">
        <v>1278</v>
      </c>
      <c r="C151" s="332" t="s">
        <v>1279</v>
      </c>
      <c r="D151" s="334" t="s">
        <v>604</v>
      </c>
      <c r="E151" s="288" t="s">
        <v>596</v>
      </c>
      <c r="F151" s="334" t="str">
        <f>IF(H151&gt;0,"F",IF(I151&gt;0,"A",IF(G151&gt;0,"P","NT")))</f>
        <v>P</v>
      </c>
      <c r="G151" s="334">
        <f>COUNTA(G152:G157)</f>
        <v>5</v>
      </c>
      <c r="H151" s="334">
        <f>COUNTA(H152:H157)</f>
        <v>0</v>
      </c>
      <c r="I151" s="334">
        <f>COUNTA(I152:I161)</f>
        <v>0</v>
      </c>
      <c r="J151" s="365">
        <f>COUNTA(J152:J157)</f>
        <v>0</v>
      </c>
    </row>
    <row r="152" spans="1:11" s="371" customFormat="1" ht="30" hidden="1" outlineLevel="1">
      <c r="A152" s="290"/>
      <c r="B152" s="354" t="s">
        <v>446</v>
      </c>
      <c r="C152" s="348" t="s">
        <v>1276</v>
      </c>
      <c r="D152" s="391"/>
      <c r="E152" s="392"/>
      <c r="F152" s="289"/>
      <c r="G152" s="314"/>
      <c r="H152" s="315"/>
      <c r="I152" s="316"/>
      <c r="J152" s="364"/>
    </row>
    <row r="153" spans="1:11" s="371" customFormat="1" hidden="1" outlineLevel="1">
      <c r="A153" s="290"/>
      <c r="B153" s="354">
        <v>1</v>
      </c>
      <c r="C153" s="353" t="s">
        <v>621</v>
      </c>
      <c r="D153" s="391"/>
      <c r="E153" s="392"/>
      <c r="F153" s="289"/>
      <c r="G153" s="314" t="s">
        <v>603</v>
      </c>
      <c r="H153" s="315"/>
      <c r="I153" s="316"/>
      <c r="J153" s="364"/>
      <c r="K153" s="287"/>
    </row>
    <row r="154" spans="1:11" s="371" customFormat="1" ht="30" hidden="1" outlineLevel="1">
      <c r="A154" s="290"/>
      <c r="B154" s="354">
        <v>2</v>
      </c>
      <c r="C154" s="353" t="s">
        <v>1081</v>
      </c>
      <c r="D154" s="391"/>
      <c r="E154" s="392"/>
      <c r="F154" s="289"/>
      <c r="G154" s="314" t="s">
        <v>603</v>
      </c>
      <c r="H154" s="315"/>
      <c r="I154" s="316"/>
      <c r="J154" s="364"/>
      <c r="K154" s="287"/>
    </row>
    <row r="155" spans="1:11" s="371" customFormat="1" hidden="1" outlineLevel="1">
      <c r="A155" s="290"/>
      <c r="B155" s="354">
        <v>3</v>
      </c>
      <c r="C155" s="357" t="s">
        <v>1080</v>
      </c>
      <c r="D155" s="391"/>
      <c r="E155" s="392"/>
      <c r="F155" s="289"/>
      <c r="G155" s="314" t="s">
        <v>603</v>
      </c>
      <c r="H155" s="315"/>
      <c r="I155" s="316"/>
      <c r="J155" s="364"/>
      <c r="K155" s="287"/>
    </row>
    <row r="156" spans="1:11" s="371" customFormat="1" hidden="1" outlineLevel="1">
      <c r="A156" s="290"/>
      <c r="B156" s="354">
        <v>4</v>
      </c>
      <c r="C156" s="348" t="s">
        <v>1079</v>
      </c>
      <c r="D156" s="391"/>
      <c r="E156" s="392"/>
      <c r="F156" s="289"/>
      <c r="G156" s="314" t="s">
        <v>603</v>
      </c>
      <c r="H156" s="315"/>
      <c r="I156" s="316"/>
      <c r="J156" s="364"/>
      <c r="K156" s="287"/>
    </row>
    <row r="157" spans="1:11" s="371" customFormat="1" hidden="1" outlineLevel="1">
      <c r="A157" s="290"/>
      <c r="B157" s="354">
        <v>5</v>
      </c>
      <c r="C157" s="348" t="s">
        <v>1078</v>
      </c>
      <c r="D157" s="391"/>
      <c r="E157" s="392"/>
      <c r="F157" s="289"/>
      <c r="G157" s="314" t="s">
        <v>603</v>
      </c>
      <c r="H157" s="315"/>
      <c r="I157" s="316"/>
      <c r="J157" s="364"/>
      <c r="K157" s="287"/>
    </row>
    <row r="158" spans="1:11" s="371" customFormat="1" hidden="1" outlineLevel="1">
      <c r="A158" s="292"/>
      <c r="B158" s="354">
        <v>6</v>
      </c>
      <c r="C158" s="353" t="s">
        <v>1074</v>
      </c>
      <c r="D158" s="391"/>
      <c r="E158" s="293"/>
      <c r="F158" s="293"/>
      <c r="G158" s="312" t="s">
        <v>603</v>
      </c>
      <c r="H158" s="312"/>
      <c r="I158" s="313"/>
      <c r="J158" s="345"/>
      <c r="K158" s="291"/>
    </row>
    <row r="159" spans="1:11" s="371" customFormat="1" hidden="1" outlineLevel="1">
      <c r="A159" s="292"/>
      <c r="B159" s="349">
        <v>7</v>
      </c>
      <c r="C159" s="353" t="s">
        <v>659</v>
      </c>
      <c r="D159" s="391"/>
      <c r="E159" s="293"/>
      <c r="F159" s="293"/>
      <c r="G159" s="312" t="s">
        <v>603</v>
      </c>
      <c r="H159" s="312"/>
      <c r="I159" s="313"/>
      <c r="J159" s="345"/>
      <c r="K159" s="291"/>
    </row>
    <row r="160" spans="1:11" s="455" customFormat="1" ht="45" hidden="1" outlineLevel="1">
      <c r="A160" s="290"/>
      <c r="B160" s="354" t="s">
        <v>634</v>
      </c>
      <c r="C160" s="348" t="s">
        <v>1280</v>
      </c>
      <c r="D160" s="452"/>
      <c r="E160" s="453"/>
      <c r="F160" s="289"/>
      <c r="G160" s="314"/>
      <c r="H160" s="315"/>
      <c r="I160" s="316"/>
      <c r="J160" s="364"/>
      <c r="K160" s="454"/>
    </row>
    <row r="161" spans="1:11" s="371" customFormat="1" hidden="1" outlineLevel="1">
      <c r="A161" s="292"/>
      <c r="B161" s="349">
        <v>8</v>
      </c>
      <c r="C161" s="359" t="s">
        <v>630</v>
      </c>
      <c r="D161" s="391"/>
      <c r="E161" s="293"/>
      <c r="F161" s="293"/>
      <c r="G161" s="312" t="s">
        <v>603</v>
      </c>
      <c r="H161" s="312"/>
      <c r="I161" s="313"/>
      <c r="J161" s="345"/>
      <c r="K161" s="291"/>
    </row>
    <row r="162" spans="1:11" s="371" customFormat="1" collapsed="1">
      <c r="A162" s="333" t="s">
        <v>23</v>
      </c>
      <c r="B162" s="333" t="s">
        <v>1281</v>
      </c>
      <c r="C162" s="332" t="s">
        <v>1282</v>
      </c>
      <c r="D162" s="334" t="s">
        <v>604</v>
      </c>
      <c r="E162" s="288" t="s">
        <v>596</v>
      </c>
      <c r="F162" s="334" t="str">
        <f>IF(H162&gt;0,"F",IF(I162&gt;0,"A",IF(G162&gt;0,"P","NT")))</f>
        <v>P</v>
      </c>
      <c r="G162" s="334">
        <f>COUNTA(G163:G168)</f>
        <v>5</v>
      </c>
      <c r="H162" s="334">
        <f>COUNTA(H163:H168)</f>
        <v>0</v>
      </c>
      <c r="I162" s="334">
        <f>COUNTA(I163:I173)</f>
        <v>0</v>
      </c>
      <c r="J162" s="365">
        <f>COUNTA(J163:J168)</f>
        <v>0</v>
      </c>
    </row>
    <row r="163" spans="1:11" s="371" customFormat="1" ht="30" hidden="1" outlineLevel="1">
      <c r="A163" s="290"/>
      <c r="B163" s="354" t="s">
        <v>446</v>
      </c>
      <c r="C163" s="348" t="s">
        <v>1276</v>
      </c>
      <c r="D163" s="391"/>
      <c r="E163" s="392"/>
      <c r="F163" s="289"/>
      <c r="G163" s="314"/>
      <c r="H163" s="315"/>
      <c r="I163" s="316"/>
      <c r="J163" s="364"/>
    </row>
    <row r="164" spans="1:11" s="371" customFormat="1" hidden="1" outlineLevel="1">
      <c r="A164" s="290"/>
      <c r="B164" s="354">
        <v>1</v>
      </c>
      <c r="C164" s="353" t="s">
        <v>621</v>
      </c>
      <c r="D164" s="391"/>
      <c r="E164" s="392"/>
      <c r="F164" s="289"/>
      <c r="G164" s="314" t="s">
        <v>603</v>
      </c>
      <c r="H164" s="315"/>
      <c r="I164" s="316"/>
      <c r="J164" s="364"/>
      <c r="K164" s="287"/>
    </row>
    <row r="165" spans="1:11" s="371" customFormat="1" ht="30" hidden="1" outlineLevel="1">
      <c r="A165" s="290"/>
      <c r="B165" s="354">
        <v>2</v>
      </c>
      <c r="C165" s="353" t="s">
        <v>1081</v>
      </c>
      <c r="D165" s="391"/>
      <c r="E165" s="392"/>
      <c r="F165" s="289"/>
      <c r="G165" s="314" t="s">
        <v>603</v>
      </c>
      <c r="H165" s="315"/>
      <c r="I165" s="316"/>
      <c r="J165" s="364"/>
      <c r="K165" s="287"/>
    </row>
    <row r="166" spans="1:11" s="371" customFormat="1" hidden="1" outlineLevel="1">
      <c r="A166" s="290"/>
      <c r="B166" s="354">
        <v>3</v>
      </c>
      <c r="C166" s="357" t="s">
        <v>1080</v>
      </c>
      <c r="D166" s="391"/>
      <c r="E166" s="392"/>
      <c r="F166" s="289"/>
      <c r="G166" s="314" t="s">
        <v>603</v>
      </c>
      <c r="H166" s="315"/>
      <c r="I166" s="316"/>
      <c r="J166" s="364"/>
      <c r="K166" s="287"/>
    </row>
    <row r="167" spans="1:11" s="371" customFormat="1" hidden="1" outlineLevel="1">
      <c r="A167" s="290"/>
      <c r="B167" s="354">
        <v>4</v>
      </c>
      <c r="C167" s="348" t="s">
        <v>1079</v>
      </c>
      <c r="D167" s="391"/>
      <c r="E167" s="392"/>
      <c r="F167" s="289"/>
      <c r="G167" s="314" t="s">
        <v>603</v>
      </c>
      <c r="H167" s="315"/>
      <c r="I167" s="316"/>
      <c r="J167" s="364"/>
      <c r="K167" s="287"/>
    </row>
    <row r="168" spans="1:11" s="371" customFormat="1" hidden="1" outlineLevel="1">
      <c r="A168" s="290"/>
      <c r="B168" s="354">
        <v>5</v>
      </c>
      <c r="C168" s="348" t="s">
        <v>1078</v>
      </c>
      <c r="D168" s="391"/>
      <c r="E168" s="392"/>
      <c r="F168" s="289"/>
      <c r="G168" s="314" t="s">
        <v>603</v>
      </c>
      <c r="H168" s="315"/>
      <c r="I168" s="316"/>
      <c r="J168" s="364"/>
      <c r="K168" s="287"/>
    </row>
    <row r="169" spans="1:11" s="371" customFormat="1" hidden="1" outlineLevel="1">
      <c r="A169" s="292"/>
      <c r="B169" s="354">
        <v>6</v>
      </c>
      <c r="C169" s="353" t="s">
        <v>1074</v>
      </c>
      <c r="D169" s="391"/>
      <c r="E169" s="293"/>
      <c r="F169" s="293"/>
      <c r="G169" s="312" t="s">
        <v>603</v>
      </c>
      <c r="H169" s="312"/>
      <c r="I169" s="313"/>
      <c r="J169" s="345"/>
      <c r="K169" s="291"/>
    </row>
    <row r="170" spans="1:11" s="371" customFormat="1" hidden="1" outlineLevel="1">
      <c r="A170" s="292"/>
      <c r="B170" s="349">
        <v>7</v>
      </c>
      <c r="C170" s="353" t="s">
        <v>659</v>
      </c>
      <c r="D170" s="391"/>
      <c r="E170" s="293"/>
      <c r="F170" s="293"/>
      <c r="G170" s="312" t="s">
        <v>603</v>
      </c>
      <c r="H170" s="312"/>
      <c r="I170" s="313"/>
      <c r="J170" s="345"/>
      <c r="K170" s="291"/>
    </row>
    <row r="171" spans="1:11" s="455" customFormat="1" ht="45" hidden="1" outlineLevel="1">
      <c r="A171" s="290"/>
      <c r="B171" s="354" t="s">
        <v>634</v>
      </c>
      <c r="C171" s="348" t="s">
        <v>1247</v>
      </c>
      <c r="D171" s="452"/>
      <c r="E171" s="453"/>
      <c r="F171" s="289"/>
      <c r="G171" s="314"/>
      <c r="H171" s="315"/>
      <c r="I171" s="316"/>
      <c r="J171" s="364"/>
      <c r="K171" s="454"/>
    </row>
    <row r="172" spans="1:11" s="455" customFormat="1" ht="30" hidden="1" outlineLevel="1">
      <c r="A172" s="290"/>
      <c r="B172" s="354" t="s">
        <v>635</v>
      </c>
      <c r="C172" s="348" t="s">
        <v>1248</v>
      </c>
      <c r="D172" s="452"/>
      <c r="E172" s="453"/>
      <c r="F172" s="289"/>
      <c r="G172" s="314"/>
      <c r="H172" s="315"/>
      <c r="I172" s="316"/>
      <c r="J172" s="364"/>
      <c r="K172" s="454"/>
    </row>
    <row r="173" spans="1:11" s="455" customFormat="1" hidden="1" outlineLevel="1">
      <c r="A173" s="456"/>
      <c r="B173" s="349">
        <v>8</v>
      </c>
      <c r="C173" s="457" t="s">
        <v>630</v>
      </c>
      <c r="D173" s="452"/>
      <c r="E173" s="293"/>
      <c r="F173" s="293"/>
      <c r="G173" s="312" t="s">
        <v>603</v>
      </c>
      <c r="H173" s="312"/>
      <c r="I173" s="313"/>
      <c r="J173" s="345"/>
      <c r="K173" s="458"/>
    </row>
    <row r="174" spans="1:11" s="455" customFormat="1" hidden="1" outlineLevel="1">
      <c r="A174" s="456"/>
      <c r="B174" s="354">
        <v>9</v>
      </c>
      <c r="C174" s="459" t="s">
        <v>1074</v>
      </c>
      <c r="D174" s="452"/>
      <c r="E174" s="293"/>
      <c r="F174" s="293"/>
      <c r="G174" s="312" t="s">
        <v>603</v>
      </c>
      <c r="H174" s="312"/>
      <c r="I174" s="313"/>
      <c r="J174" s="345"/>
      <c r="K174" s="458"/>
    </row>
    <row r="175" spans="1:11" s="455" customFormat="1" hidden="1" outlineLevel="1">
      <c r="A175" s="456"/>
      <c r="B175" s="349">
        <v>10</v>
      </c>
      <c r="C175" s="459" t="s">
        <v>659</v>
      </c>
      <c r="D175" s="452"/>
      <c r="E175" s="293"/>
      <c r="F175" s="293"/>
      <c r="G175" s="312" t="s">
        <v>603</v>
      </c>
      <c r="H175" s="312"/>
      <c r="I175" s="313"/>
      <c r="J175" s="345"/>
      <c r="K175" s="458"/>
    </row>
    <row r="176" spans="1:11" s="455" customFormat="1" ht="60" hidden="1" outlineLevel="1">
      <c r="A176" s="290"/>
      <c r="B176" s="354" t="s">
        <v>636</v>
      </c>
      <c r="C176" s="348" t="s">
        <v>1283</v>
      </c>
      <c r="D176" s="452"/>
      <c r="E176" s="453"/>
      <c r="F176" s="289"/>
      <c r="G176" s="314"/>
      <c r="H176" s="315"/>
      <c r="I176" s="316"/>
      <c r="J176" s="364"/>
      <c r="K176" s="454"/>
    </row>
    <row r="177" spans="1:11" s="276" customFormat="1" collapsed="1">
      <c r="A177" s="333" t="s">
        <v>23</v>
      </c>
      <c r="B177" s="333" t="s">
        <v>1284</v>
      </c>
      <c r="C177" s="332" t="s">
        <v>1285</v>
      </c>
      <c r="D177" s="334" t="s">
        <v>604</v>
      </c>
      <c r="E177" s="286" t="s">
        <v>596</v>
      </c>
      <c r="F177" s="334" t="str">
        <f>IF(H177&gt;0,"F",IF(I177&gt;0,"A",IF(G177&gt;0,"P","NT")))</f>
        <v>P</v>
      </c>
      <c r="G177" s="334">
        <f>COUNTA(G178:G189)</f>
        <v>9</v>
      </c>
      <c r="H177" s="334">
        <f>COUNTA(H178:H189)</f>
        <v>0</v>
      </c>
      <c r="I177" s="334">
        <f>COUNTA(I178:I189)</f>
        <v>0</v>
      </c>
      <c r="J177" s="365">
        <f>COUNTA(J178:J189)</f>
        <v>0</v>
      </c>
    </row>
    <row r="178" spans="1:11" s="371" customFormat="1" ht="30" hidden="1" outlineLevel="1">
      <c r="A178" s="390"/>
      <c r="B178" s="354" t="s">
        <v>446</v>
      </c>
      <c r="C178" s="348" t="s">
        <v>1088</v>
      </c>
      <c r="D178" s="391"/>
      <c r="E178" s="380"/>
      <c r="F178" s="380"/>
      <c r="G178" s="310"/>
      <c r="H178" s="311"/>
      <c r="I178" s="310"/>
      <c r="J178" s="366"/>
    </row>
    <row r="179" spans="1:11" s="371" customFormat="1" ht="45" hidden="1" customHeight="1" outlineLevel="1">
      <c r="A179" s="390"/>
      <c r="B179" s="354">
        <v>1</v>
      </c>
      <c r="C179" s="353" t="s">
        <v>621</v>
      </c>
      <c r="D179" s="391"/>
      <c r="E179" s="380"/>
      <c r="F179" s="380"/>
      <c r="G179" s="310" t="s">
        <v>603</v>
      </c>
      <c r="H179" s="311"/>
      <c r="I179" s="310"/>
      <c r="J179" s="366"/>
    </row>
    <row r="180" spans="1:11" s="371" customFormat="1" ht="45" hidden="1" customHeight="1" outlineLevel="1">
      <c r="A180" s="390"/>
      <c r="B180" s="354">
        <v>2</v>
      </c>
      <c r="C180" s="353" t="s">
        <v>1081</v>
      </c>
      <c r="D180" s="391"/>
      <c r="E180" s="380"/>
      <c r="F180" s="380"/>
      <c r="G180" s="310" t="s">
        <v>603</v>
      </c>
      <c r="H180" s="311"/>
      <c r="I180" s="310"/>
      <c r="J180" s="366"/>
    </row>
    <row r="181" spans="1:11" s="371" customFormat="1" ht="45" hidden="1" customHeight="1" outlineLevel="1">
      <c r="A181" s="390"/>
      <c r="B181" s="354">
        <v>3</v>
      </c>
      <c r="C181" s="357" t="s">
        <v>1080</v>
      </c>
      <c r="D181" s="391"/>
      <c r="E181" s="380"/>
      <c r="F181" s="380"/>
      <c r="G181" s="310" t="s">
        <v>603</v>
      </c>
      <c r="H181" s="311"/>
      <c r="I181" s="310"/>
      <c r="J181" s="366"/>
    </row>
    <row r="182" spans="1:11" s="371" customFormat="1" hidden="1" outlineLevel="1">
      <c r="A182" s="390"/>
      <c r="B182" s="354">
        <v>4</v>
      </c>
      <c r="C182" s="359" t="s">
        <v>1087</v>
      </c>
      <c r="D182" s="391"/>
      <c r="E182" s="380"/>
      <c r="F182" s="380"/>
      <c r="G182" s="310" t="s">
        <v>603</v>
      </c>
      <c r="H182" s="311"/>
      <c r="I182" s="310"/>
      <c r="J182" s="366"/>
    </row>
    <row r="183" spans="1:11" s="371" customFormat="1" hidden="1" outlineLevel="1">
      <c r="A183" s="390"/>
      <c r="B183" s="349">
        <v>9</v>
      </c>
      <c r="C183" s="359" t="s">
        <v>1038</v>
      </c>
      <c r="D183" s="391"/>
      <c r="E183" s="380"/>
      <c r="F183" s="380"/>
      <c r="G183" s="310" t="s">
        <v>603</v>
      </c>
      <c r="H183" s="311"/>
      <c r="I183" s="310"/>
      <c r="J183" s="366"/>
    </row>
    <row r="184" spans="1:11" s="371" customFormat="1" ht="184.5" hidden="1" customHeight="1" outlineLevel="1">
      <c r="A184" s="390"/>
      <c r="B184" s="354" t="s">
        <v>1037</v>
      </c>
      <c r="C184" s="400" t="s">
        <v>1122</v>
      </c>
      <c r="D184" s="391"/>
      <c r="E184" s="380"/>
      <c r="F184" s="380"/>
      <c r="G184" s="310"/>
      <c r="H184" s="311"/>
      <c r="I184" s="310"/>
      <c r="J184" s="366"/>
    </row>
    <row r="185" spans="1:11" s="371" customFormat="1" hidden="1" outlineLevel="1">
      <c r="A185" s="390"/>
      <c r="B185" s="349">
        <v>10</v>
      </c>
      <c r="C185" s="359" t="s">
        <v>632</v>
      </c>
      <c r="D185" s="391"/>
      <c r="E185" s="380"/>
      <c r="F185" s="380"/>
      <c r="G185" s="310" t="s">
        <v>603</v>
      </c>
      <c r="H185" s="311"/>
      <c r="I185" s="310"/>
      <c r="J185" s="366"/>
    </row>
    <row r="186" spans="1:11" s="371" customFormat="1" hidden="1" outlineLevel="1">
      <c r="A186" s="390"/>
      <c r="B186" s="354">
        <v>11</v>
      </c>
      <c r="C186" s="353" t="s">
        <v>1074</v>
      </c>
      <c r="D186" s="391"/>
      <c r="E186" s="380"/>
      <c r="F186" s="380"/>
      <c r="G186" s="310" t="s">
        <v>603</v>
      </c>
      <c r="H186" s="311"/>
      <c r="I186" s="310"/>
      <c r="J186" s="366"/>
    </row>
    <row r="187" spans="1:11" s="371" customFormat="1" hidden="1" outlineLevel="1">
      <c r="A187" s="390"/>
      <c r="B187" s="354">
        <v>12</v>
      </c>
      <c r="C187" s="355" t="s">
        <v>1035</v>
      </c>
      <c r="D187" s="391"/>
      <c r="E187" s="380"/>
      <c r="F187" s="380"/>
      <c r="G187" s="310" t="s">
        <v>603</v>
      </c>
      <c r="H187" s="311"/>
      <c r="I187" s="310"/>
      <c r="J187" s="366"/>
    </row>
    <row r="188" spans="1:11" s="371" customFormat="1" hidden="1" outlineLevel="1">
      <c r="A188" s="390"/>
      <c r="B188" s="354">
        <v>13</v>
      </c>
      <c r="C188" s="359" t="s">
        <v>630</v>
      </c>
      <c r="D188" s="391"/>
      <c r="E188" s="380"/>
      <c r="F188" s="380"/>
      <c r="G188" s="310" t="s">
        <v>603</v>
      </c>
      <c r="H188" s="311"/>
      <c r="I188" s="310"/>
      <c r="J188" s="366"/>
    </row>
    <row r="189" spans="1:11" s="371" customFormat="1" ht="45" hidden="1" customHeight="1" outlineLevel="1">
      <c r="A189" s="390"/>
      <c r="B189" s="358" t="s">
        <v>637</v>
      </c>
      <c r="C189" s="356" t="s">
        <v>631</v>
      </c>
      <c r="D189" s="391"/>
      <c r="E189" s="380"/>
      <c r="F189" s="380"/>
      <c r="G189" s="310"/>
      <c r="H189" s="311"/>
      <c r="I189" s="310"/>
      <c r="J189" s="366"/>
    </row>
    <row r="190" spans="1:11" s="371" customFormat="1" collapsed="1">
      <c r="A190" s="333" t="s">
        <v>23</v>
      </c>
      <c r="B190" s="333" t="s">
        <v>1083</v>
      </c>
      <c r="C190" s="332" t="s">
        <v>1286</v>
      </c>
      <c r="D190" s="334" t="s">
        <v>604</v>
      </c>
      <c r="E190" s="288" t="s">
        <v>596</v>
      </c>
      <c r="F190" s="334" t="str">
        <f>IF(H190&gt;0,"F",IF(I190&gt;0,"A",IF(G190&gt;0,"P","NT")))</f>
        <v>P</v>
      </c>
      <c r="G190" s="334">
        <f>COUNTA(G191:G196)</f>
        <v>5</v>
      </c>
      <c r="H190" s="334">
        <f>COUNTA(H191:H196)</f>
        <v>0</v>
      </c>
      <c r="I190" s="334">
        <f>COUNTA(I191:I205)</f>
        <v>0</v>
      </c>
      <c r="J190" s="365">
        <f>COUNTA(J191:J196)</f>
        <v>0</v>
      </c>
    </row>
    <row r="191" spans="1:11" s="371" customFormat="1" ht="30" hidden="1" outlineLevel="1">
      <c r="A191" s="290"/>
      <c r="B191" s="354" t="s">
        <v>446</v>
      </c>
      <c r="C191" s="348" t="s">
        <v>1276</v>
      </c>
      <c r="D191" s="391"/>
      <c r="E191" s="392"/>
      <c r="F191" s="289"/>
      <c r="G191" s="314"/>
      <c r="H191" s="315"/>
      <c r="I191" s="316"/>
      <c r="J191" s="364"/>
    </row>
    <row r="192" spans="1:11" s="371" customFormat="1" hidden="1" outlineLevel="1">
      <c r="A192" s="290"/>
      <c r="B192" s="354">
        <v>1</v>
      </c>
      <c r="C192" s="353" t="s">
        <v>621</v>
      </c>
      <c r="D192" s="391"/>
      <c r="E192" s="392"/>
      <c r="F192" s="289"/>
      <c r="G192" s="314" t="s">
        <v>603</v>
      </c>
      <c r="H192" s="315"/>
      <c r="I192" s="316"/>
      <c r="J192" s="364"/>
      <c r="K192" s="287"/>
    </row>
    <row r="193" spans="1:11" s="371" customFormat="1" ht="30" hidden="1" outlineLevel="1">
      <c r="A193" s="290"/>
      <c r="B193" s="354">
        <v>2</v>
      </c>
      <c r="C193" s="353" t="s">
        <v>1081</v>
      </c>
      <c r="D193" s="391"/>
      <c r="E193" s="392"/>
      <c r="F193" s="289"/>
      <c r="G193" s="314" t="s">
        <v>603</v>
      </c>
      <c r="H193" s="315"/>
      <c r="I193" s="316"/>
      <c r="J193" s="364"/>
      <c r="K193" s="287"/>
    </row>
    <row r="194" spans="1:11" s="371" customFormat="1" hidden="1" outlineLevel="1">
      <c r="A194" s="290"/>
      <c r="B194" s="354">
        <v>3</v>
      </c>
      <c r="C194" s="357" t="s">
        <v>1080</v>
      </c>
      <c r="D194" s="391"/>
      <c r="E194" s="392"/>
      <c r="F194" s="289"/>
      <c r="G194" s="314" t="s">
        <v>603</v>
      </c>
      <c r="H194" s="315"/>
      <c r="I194" s="316"/>
      <c r="J194" s="364"/>
      <c r="K194" s="287"/>
    </row>
    <row r="195" spans="1:11" s="371" customFormat="1" hidden="1" outlineLevel="1">
      <c r="A195" s="290"/>
      <c r="B195" s="354">
        <v>4</v>
      </c>
      <c r="C195" s="348" t="s">
        <v>1079</v>
      </c>
      <c r="D195" s="391"/>
      <c r="E195" s="392"/>
      <c r="F195" s="289"/>
      <c r="G195" s="314" t="s">
        <v>603</v>
      </c>
      <c r="H195" s="315"/>
      <c r="I195" s="316"/>
      <c r="J195" s="364"/>
      <c r="K195" s="287"/>
    </row>
    <row r="196" spans="1:11" s="371" customFormat="1" hidden="1" outlineLevel="1">
      <c r="A196" s="290"/>
      <c r="B196" s="354">
        <v>5</v>
      </c>
      <c r="C196" s="348" t="s">
        <v>1078</v>
      </c>
      <c r="D196" s="391"/>
      <c r="E196" s="392"/>
      <c r="F196" s="289"/>
      <c r="G196" s="314" t="s">
        <v>603</v>
      </c>
      <c r="H196" s="315"/>
      <c r="I196" s="316"/>
      <c r="J196" s="364"/>
      <c r="K196" s="287"/>
    </row>
    <row r="197" spans="1:11" s="371" customFormat="1" hidden="1" outlineLevel="1">
      <c r="A197" s="292"/>
      <c r="B197" s="354">
        <v>6</v>
      </c>
      <c r="C197" s="394" t="s">
        <v>1077</v>
      </c>
      <c r="D197" s="391"/>
      <c r="E197" s="293"/>
      <c r="F197" s="293"/>
      <c r="G197" s="312" t="s">
        <v>603</v>
      </c>
      <c r="H197" s="312"/>
      <c r="I197" s="313"/>
      <c r="J197" s="345"/>
      <c r="K197" s="291"/>
    </row>
    <row r="198" spans="1:11" s="371" customFormat="1" hidden="1" outlineLevel="1">
      <c r="A198" s="292"/>
      <c r="B198" s="354">
        <v>7</v>
      </c>
      <c r="C198" s="394" t="s">
        <v>907</v>
      </c>
      <c r="D198" s="391"/>
      <c r="E198" s="293"/>
      <c r="F198" s="293"/>
      <c r="G198" s="312" t="s">
        <v>603</v>
      </c>
      <c r="H198" s="312"/>
      <c r="I198" s="313"/>
      <c r="J198" s="345"/>
      <c r="K198" s="291"/>
    </row>
    <row r="199" spans="1:11" s="371" customFormat="1" hidden="1" outlineLevel="1">
      <c r="A199" s="292"/>
      <c r="B199" s="354">
        <v>8</v>
      </c>
      <c r="C199" s="394" t="s">
        <v>908</v>
      </c>
      <c r="D199" s="391"/>
      <c r="E199" s="293"/>
      <c r="F199" s="293"/>
      <c r="G199" s="312" t="s">
        <v>603</v>
      </c>
      <c r="H199" s="312"/>
      <c r="I199" s="313"/>
      <c r="J199" s="345"/>
      <c r="K199" s="291"/>
    </row>
    <row r="200" spans="1:11" s="371" customFormat="1" hidden="1" outlineLevel="1">
      <c r="A200" s="292"/>
      <c r="B200" s="354">
        <v>9</v>
      </c>
      <c r="C200" s="394" t="s">
        <v>913</v>
      </c>
      <c r="D200" s="391"/>
      <c r="E200" s="293"/>
      <c r="F200" s="293"/>
      <c r="G200" s="312" t="s">
        <v>603</v>
      </c>
      <c r="H200" s="312"/>
      <c r="I200" s="313"/>
      <c r="J200" s="345"/>
      <c r="K200" s="396" t="s">
        <v>979</v>
      </c>
    </row>
    <row r="201" spans="1:11" s="371" customFormat="1" hidden="1" outlineLevel="1">
      <c r="A201" s="292"/>
      <c r="B201" s="354">
        <v>10</v>
      </c>
      <c r="C201" s="394" t="s">
        <v>914</v>
      </c>
      <c r="D201" s="391"/>
      <c r="E201" s="293"/>
      <c r="F201" s="293"/>
      <c r="G201" s="312" t="s">
        <v>603</v>
      </c>
      <c r="H201" s="312"/>
      <c r="I201" s="313"/>
      <c r="J201" s="345"/>
      <c r="K201" s="396"/>
    </row>
    <row r="202" spans="1:11" s="371" customFormat="1" hidden="1" outlineLevel="1">
      <c r="A202" s="292"/>
      <c r="B202" s="354">
        <v>11</v>
      </c>
      <c r="C202" s="353" t="s">
        <v>1074</v>
      </c>
      <c r="D202" s="391"/>
      <c r="E202" s="293"/>
      <c r="F202" s="293"/>
      <c r="G202" s="312" t="s">
        <v>603</v>
      </c>
      <c r="H202" s="312"/>
      <c r="I202" s="313"/>
      <c r="J202" s="345"/>
      <c r="K202" s="291"/>
    </row>
    <row r="203" spans="1:11" s="371" customFormat="1" hidden="1" outlineLevel="1">
      <c r="A203" s="292"/>
      <c r="B203" s="349">
        <v>12</v>
      </c>
      <c r="C203" s="353" t="s">
        <v>659</v>
      </c>
      <c r="D203" s="391"/>
      <c r="E203" s="293"/>
      <c r="F203" s="293"/>
      <c r="G203" s="312" t="s">
        <v>603</v>
      </c>
      <c r="H203" s="312"/>
      <c r="I203" s="313"/>
      <c r="J203" s="345"/>
      <c r="K203" s="291"/>
    </row>
    <row r="204" spans="1:11" s="455" customFormat="1" ht="90" hidden="1" outlineLevel="1">
      <c r="A204" s="290"/>
      <c r="B204" s="354" t="s">
        <v>636</v>
      </c>
      <c r="C204" s="348" t="s">
        <v>1287</v>
      </c>
      <c r="D204" s="452"/>
      <c r="E204" s="453"/>
      <c r="F204" s="289"/>
      <c r="G204" s="314"/>
      <c r="H204" s="315"/>
      <c r="I204" s="316"/>
      <c r="J204" s="364"/>
      <c r="K204" s="454"/>
    </row>
    <row r="205" spans="1:11" s="455" customFormat="1" hidden="1" outlineLevel="1">
      <c r="A205" s="456"/>
      <c r="B205" s="349">
        <v>13</v>
      </c>
      <c r="C205" s="457" t="s">
        <v>630</v>
      </c>
      <c r="D205" s="452"/>
      <c r="E205" s="293"/>
      <c r="F205" s="293"/>
      <c r="G205" s="312" t="s">
        <v>603</v>
      </c>
      <c r="H205" s="312"/>
      <c r="I205" s="313"/>
      <c r="J205" s="345"/>
      <c r="K205" s="458"/>
    </row>
    <row r="206" spans="1:11" s="455" customFormat="1" hidden="1" outlineLevel="1">
      <c r="A206" s="456"/>
      <c r="B206" s="349" t="s">
        <v>1257</v>
      </c>
      <c r="C206" s="457" t="s">
        <v>1275</v>
      </c>
      <c r="D206" s="452"/>
      <c r="E206" s="293"/>
      <c r="F206" s="293"/>
      <c r="G206" s="312" t="s">
        <v>603</v>
      </c>
      <c r="H206" s="312"/>
      <c r="I206" s="313"/>
      <c r="J206" s="345"/>
      <c r="K206" s="458"/>
    </row>
    <row r="207" spans="1:11" s="433" customFormat="1">
      <c r="A207" s="428"/>
      <c r="B207" s="429"/>
      <c r="C207" s="430"/>
      <c r="D207" s="431"/>
      <c r="E207" s="428"/>
      <c r="F207" s="428"/>
      <c r="G207" s="428"/>
      <c r="H207" s="428"/>
      <c r="I207" s="428"/>
      <c r="J207" s="432"/>
    </row>
  </sheetData>
  <mergeCells count="12">
    <mergeCell ref="A5:B5"/>
    <mergeCell ref="C5:I5"/>
    <mergeCell ref="A1:I1"/>
    <mergeCell ref="A2:I2"/>
    <mergeCell ref="A3:B3"/>
    <mergeCell ref="C3:I3"/>
    <mergeCell ref="A4:I4"/>
    <mergeCell ref="A6:I6"/>
    <mergeCell ref="A7:B7"/>
    <mergeCell ref="C7:I7"/>
    <mergeCell ref="A8:I8"/>
    <mergeCell ref="D9:I9"/>
  </mergeCells>
  <conditionalFormatting sqref="E10:E11 E87:E65596">
    <cfRule type="cellIs" dxfId="286" priority="31" operator="equal">
      <formula>"Ready to Test"</formula>
    </cfRule>
    <cfRule type="cellIs" dxfId="285" priority="32" operator="equal">
      <formula>"Do Not Test"</formula>
    </cfRule>
    <cfRule type="cellIs" dxfId="284" priority="33" operator="equal">
      <formula>"Ready for Retest"</formula>
    </cfRule>
    <cfRule type="cellIs" dxfId="283" priority="34" operator="equal">
      <formula>"Passed"</formula>
    </cfRule>
  </conditionalFormatting>
  <conditionalFormatting sqref="E197:E206 E66:E86 E139:E150 E158:E176">
    <cfRule type="cellIs" dxfId="282" priority="27" stopIfTrue="1" operator="equal">
      <formula>"Passed"</formula>
    </cfRule>
    <cfRule type="cellIs" dxfId="281" priority="28" stopIfTrue="1" operator="equal">
      <formula>"Do Not Test"</formula>
    </cfRule>
    <cfRule type="cellIs" dxfId="280" priority="29" stopIfTrue="1" operator="equal">
      <formula>"Ready for Retest"</formula>
    </cfRule>
    <cfRule type="cellIs" dxfId="279" priority="30" stopIfTrue="1" operator="equal">
      <formula>"Ready to Test"</formula>
    </cfRule>
  </conditionalFormatting>
  <conditionalFormatting sqref="E3 E7 E5">
    <cfRule type="cellIs" dxfId="278" priority="25" stopIfTrue="1" operator="equal">
      <formula>"Ready to Test"</formula>
    </cfRule>
    <cfRule type="cellIs" dxfId="277" priority="26" stopIfTrue="1" operator="equal">
      <formula>"Do Not Test"</formula>
    </cfRule>
  </conditionalFormatting>
  <conditionalFormatting sqref="E162 E177 E190 E87 E115 E132 E59 E12 E42 E151">
    <cfRule type="cellIs" dxfId="276" priority="24" stopIfTrue="1" operator="equal">
      <formula>"Do Not Test"</formula>
    </cfRule>
  </conditionalFormatting>
  <conditionalFormatting sqref="E162 E177 E190 E87 E115 E132 E59 E12 E42 E151">
    <cfRule type="cellIs" dxfId="275" priority="23" stopIfTrue="1" operator="equal">
      <formula>"Ready To Test"</formula>
    </cfRule>
  </conditionalFormatting>
  <conditionalFormatting sqref="I12:J206">
    <cfRule type="cellIs" dxfId="274" priority="22" operator="greaterThan">
      <formula>0</formula>
    </cfRule>
  </conditionalFormatting>
  <conditionalFormatting sqref="H11:H206">
    <cfRule type="cellIs" dxfId="273" priority="21" operator="greaterThan">
      <formula>0</formula>
    </cfRule>
  </conditionalFormatting>
  <conditionalFormatting sqref="G12:G206">
    <cfRule type="cellIs" dxfId="272" priority="20" operator="greaterThan">
      <formula>0</formula>
    </cfRule>
  </conditionalFormatting>
  <conditionalFormatting sqref="F162 F177 F190 F87 F115 F132 F12 F42 F59 F151">
    <cfRule type="cellIs" dxfId="271" priority="19" operator="equal">
      <formula>"A"</formula>
    </cfRule>
  </conditionalFormatting>
  <conditionalFormatting sqref="F162 F177 F190 F87 F115 F132 F12 F42 F59 F151">
    <cfRule type="cellIs" dxfId="270" priority="17" operator="equal">
      <formula>"F"</formula>
    </cfRule>
    <cfRule type="cellIs" dxfId="269" priority="18" operator="equal">
      <formula>"p"</formula>
    </cfRule>
  </conditionalFormatting>
  <hyperlinks>
    <hyperlink ref="C9" r:id="rId1"/>
  </hyperlinks>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sheetPr>
    <tabColor theme="9"/>
    <outlinePr summaryBelow="0"/>
  </sheetPr>
  <dimension ref="A1:K56"/>
  <sheetViews>
    <sheetView zoomScaleNormal="100" workbookViewId="0">
      <selection sqref="A1:I1"/>
    </sheetView>
  </sheetViews>
  <sheetFormatPr defaultRowHeight="15" outlineLevelRow="1"/>
  <cols>
    <col min="1" max="1" width="8.7109375" style="320" bestFit="1" customWidth="1"/>
    <col min="2" max="2" width="20.85546875" style="324" customWidth="1"/>
    <col min="3" max="3" width="70.140625" style="328" customWidth="1"/>
    <col min="4" max="4" width="10.28515625" style="326" bestFit="1" customWidth="1"/>
    <col min="5" max="5" width="13.28515625" style="320" bestFit="1" customWidth="1"/>
    <col min="6" max="6" width="9.85546875" style="320" bestFit="1" customWidth="1"/>
    <col min="7" max="7" width="8.28515625" style="320" bestFit="1" customWidth="1"/>
    <col min="8" max="8" width="7.5703125" style="320" customWidth="1"/>
    <col min="9" max="9" width="10.5703125" style="320" bestFit="1" customWidth="1"/>
    <col min="10" max="10" width="55.85546875" style="369" customWidth="1"/>
    <col min="11" max="16384" width="9.140625" style="372"/>
  </cols>
  <sheetData>
    <row r="1" spans="1:10" s="397" customFormat="1">
      <c r="A1" s="529" t="s">
        <v>1487</v>
      </c>
      <c r="B1" s="529"/>
      <c r="C1" s="529"/>
      <c r="D1" s="529"/>
      <c r="E1" s="529"/>
      <c r="F1" s="529"/>
      <c r="G1" s="529"/>
      <c r="H1" s="529"/>
      <c r="I1" s="529"/>
      <c r="J1" s="330"/>
    </row>
    <row r="2" spans="1:10" s="398" customFormat="1">
      <c r="A2" s="530"/>
      <c r="B2" s="530"/>
      <c r="C2" s="531"/>
      <c r="D2" s="531"/>
      <c r="E2" s="531"/>
      <c r="F2" s="531"/>
      <c r="G2" s="531"/>
      <c r="H2" s="531"/>
      <c r="I2" s="531"/>
      <c r="J2" s="368"/>
    </row>
    <row r="3" spans="1:10" s="398" customFormat="1" ht="33.75" customHeight="1">
      <c r="A3" s="532" t="s">
        <v>1227</v>
      </c>
      <c r="B3" s="533"/>
      <c r="C3" s="521" t="s">
        <v>1288</v>
      </c>
      <c r="D3" s="522"/>
      <c r="E3" s="522"/>
      <c r="F3" s="522"/>
      <c r="G3" s="522"/>
      <c r="H3" s="522"/>
      <c r="I3" s="523"/>
      <c r="J3" s="409"/>
    </row>
    <row r="4" spans="1:10" s="398" customFormat="1">
      <c r="A4" s="534"/>
      <c r="B4" s="535"/>
      <c r="C4" s="536"/>
      <c r="D4" s="536"/>
      <c r="E4" s="536"/>
      <c r="F4" s="536"/>
      <c r="G4" s="536"/>
      <c r="H4" s="536"/>
      <c r="I4" s="536"/>
      <c r="J4" s="368"/>
    </row>
    <row r="5" spans="1:10" s="397" customFormat="1" ht="30" customHeight="1">
      <c r="A5" s="519" t="s">
        <v>594</v>
      </c>
      <c r="B5" s="520"/>
      <c r="C5" s="526" t="s">
        <v>1289</v>
      </c>
      <c r="D5" s="527"/>
      <c r="E5" s="527"/>
      <c r="F5" s="527"/>
      <c r="G5" s="527"/>
      <c r="H5" s="527"/>
      <c r="I5" s="528"/>
      <c r="J5" s="330"/>
    </row>
    <row r="6" spans="1:10" s="397" customFormat="1">
      <c r="A6" s="516"/>
      <c r="B6" s="517"/>
      <c r="C6" s="518"/>
      <c r="D6" s="518"/>
      <c r="E6" s="518"/>
      <c r="F6" s="518"/>
      <c r="G6" s="518"/>
      <c r="H6" s="518"/>
      <c r="I6" s="518"/>
      <c r="J6" s="367"/>
    </row>
    <row r="7" spans="1:10" s="397" customFormat="1" ht="17.25" customHeight="1">
      <c r="A7" s="519" t="s">
        <v>1229</v>
      </c>
      <c r="B7" s="520"/>
      <c r="C7" s="521" t="s">
        <v>1290</v>
      </c>
      <c r="D7" s="522"/>
      <c r="E7" s="522"/>
      <c r="F7" s="522"/>
      <c r="G7" s="522"/>
      <c r="H7" s="522"/>
      <c r="I7" s="523"/>
      <c r="J7" s="330"/>
    </row>
    <row r="8" spans="1:10" s="399" customFormat="1">
      <c r="A8" s="524"/>
      <c r="B8" s="524"/>
      <c r="C8" s="524"/>
      <c r="D8" s="524"/>
      <c r="E8" s="524"/>
      <c r="F8" s="524"/>
      <c r="G8" s="524"/>
      <c r="H8" s="524"/>
      <c r="I8" s="524"/>
      <c r="J8" s="363"/>
    </row>
    <row r="9" spans="1:10" ht="27.75" customHeight="1">
      <c r="A9" s="410" t="s">
        <v>1231</v>
      </c>
      <c r="B9" s="411"/>
      <c r="C9" s="412" t="s">
        <v>1232</v>
      </c>
      <c r="D9" s="525"/>
      <c r="E9" s="525"/>
      <c r="F9" s="525"/>
      <c r="G9" s="525"/>
      <c r="H9" s="525"/>
      <c r="I9" s="525"/>
      <c r="J9" s="413"/>
    </row>
    <row r="10" spans="1:10">
      <c r="A10" s="321"/>
      <c r="B10" s="323"/>
      <c r="C10" s="327"/>
      <c r="D10" s="325"/>
      <c r="E10" s="322"/>
      <c r="F10" s="322"/>
      <c r="G10" s="322"/>
      <c r="H10" s="322"/>
      <c r="I10" s="322"/>
      <c r="J10" s="370"/>
    </row>
    <row r="11" spans="1:10" s="216" customFormat="1" ht="29.25" customHeight="1">
      <c r="A11" s="385" t="s">
        <v>0</v>
      </c>
      <c r="B11" s="379" t="s">
        <v>226</v>
      </c>
      <c r="C11" s="386" t="s">
        <v>540</v>
      </c>
      <c r="D11" s="386" t="s">
        <v>595</v>
      </c>
      <c r="E11" s="387" t="s">
        <v>214</v>
      </c>
      <c r="F11" s="387" t="s">
        <v>584</v>
      </c>
      <c r="G11" s="388" t="s">
        <v>2</v>
      </c>
      <c r="H11" s="389" t="s">
        <v>579</v>
      </c>
      <c r="I11" s="331" t="s">
        <v>583</v>
      </c>
      <c r="J11" s="331" t="s">
        <v>1</v>
      </c>
    </row>
    <row r="12" spans="1:10" s="276" customFormat="1" collapsed="1">
      <c r="A12" s="333" t="s">
        <v>23</v>
      </c>
      <c r="B12" s="333" t="s">
        <v>1291</v>
      </c>
      <c r="C12" s="332" t="s">
        <v>1292</v>
      </c>
      <c r="D12" s="334" t="s">
        <v>604</v>
      </c>
      <c r="E12" s="286" t="s">
        <v>596</v>
      </c>
      <c r="F12" s="334" t="str">
        <f>IF(H12&gt;0,"F",IF(I12&gt;0,"A",IF(G12&gt;0,"P","NT")))</f>
        <v>P</v>
      </c>
      <c r="G12" s="334">
        <f>COUNTA(G13:G31)</f>
        <v>15</v>
      </c>
      <c r="H12" s="334">
        <f>COUNTA(H13:H31)</f>
        <v>0</v>
      </c>
      <c r="I12" s="334">
        <f>COUNTA(I13:I31)</f>
        <v>0</v>
      </c>
      <c r="J12" s="365">
        <f>COUNTA(J13:J31)</f>
        <v>0</v>
      </c>
    </row>
    <row r="13" spans="1:10" s="371" customFormat="1" ht="30" hidden="1" outlineLevel="1">
      <c r="A13" s="390"/>
      <c r="B13" s="351" t="s">
        <v>598</v>
      </c>
      <c r="C13" s="348" t="s">
        <v>1293</v>
      </c>
      <c r="D13" s="391"/>
      <c r="E13" s="380"/>
      <c r="F13" s="380"/>
      <c r="G13" s="310" t="s">
        <v>603</v>
      </c>
      <c r="H13" s="311"/>
      <c r="I13" s="310"/>
      <c r="J13" s="366"/>
    </row>
    <row r="14" spans="1:10" s="371" customFormat="1" hidden="1" outlineLevel="1">
      <c r="A14" s="390"/>
      <c r="B14" s="351" t="s">
        <v>599</v>
      </c>
      <c r="C14" s="348" t="s">
        <v>1169</v>
      </c>
      <c r="D14" s="391"/>
      <c r="E14" s="380"/>
      <c r="F14" s="380"/>
      <c r="G14" s="310" t="s">
        <v>603</v>
      </c>
      <c r="H14" s="311"/>
      <c r="I14" s="310"/>
      <c r="J14" s="366"/>
    </row>
    <row r="15" spans="1:10" s="371" customFormat="1" hidden="1" outlineLevel="1">
      <c r="A15" s="390"/>
      <c r="B15" s="382" t="s">
        <v>634</v>
      </c>
      <c r="C15" s="348" t="s">
        <v>648</v>
      </c>
      <c r="D15" s="391"/>
      <c r="E15" s="380"/>
      <c r="F15" s="380"/>
      <c r="G15" s="310" t="s">
        <v>603</v>
      </c>
      <c r="H15" s="311"/>
      <c r="I15" s="310"/>
      <c r="J15" s="366"/>
    </row>
    <row r="16" spans="1:10" s="371" customFormat="1" hidden="1" outlineLevel="1">
      <c r="A16" s="390"/>
      <c r="B16" s="352">
        <v>1</v>
      </c>
      <c r="C16" s="353" t="s">
        <v>621</v>
      </c>
      <c r="D16" s="391"/>
      <c r="E16" s="380"/>
      <c r="F16" s="380"/>
      <c r="G16" s="310" t="s">
        <v>603</v>
      </c>
      <c r="H16" s="311"/>
      <c r="I16" s="310"/>
      <c r="J16" s="366"/>
    </row>
    <row r="17" spans="1:10" s="371" customFormat="1" ht="45" hidden="1" outlineLevel="1">
      <c r="A17" s="390"/>
      <c r="B17" s="352">
        <v>2</v>
      </c>
      <c r="C17" s="353" t="s">
        <v>1294</v>
      </c>
      <c r="D17" s="391"/>
      <c r="E17" s="380"/>
      <c r="F17" s="380"/>
      <c r="G17" s="310" t="s">
        <v>603</v>
      </c>
      <c r="H17" s="311"/>
      <c r="I17" s="310"/>
      <c r="J17" s="366"/>
    </row>
    <row r="18" spans="1:10" s="371" customFormat="1" hidden="1" outlineLevel="1">
      <c r="A18" s="390"/>
      <c r="B18" s="352">
        <v>3</v>
      </c>
      <c r="C18" s="353" t="s">
        <v>623</v>
      </c>
      <c r="D18" s="391"/>
      <c r="E18" s="380"/>
      <c r="F18" s="380"/>
      <c r="G18" s="310" t="s">
        <v>603</v>
      </c>
      <c r="H18" s="311"/>
      <c r="I18" s="310"/>
      <c r="J18" s="366"/>
    </row>
    <row r="19" spans="1:10" s="371" customFormat="1" hidden="1" outlineLevel="1">
      <c r="A19" s="390"/>
      <c r="B19" s="352">
        <v>6</v>
      </c>
      <c r="C19" s="353" t="s">
        <v>622</v>
      </c>
      <c r="D19" s="391"/>
      <c r="E19" s="380"/>
      <c r="F19" s="380"/>
      <c r="G19" s="310"/>
      <c r="H19" s="311"/>
      <c r="I19" s="310"/>
      <c r="J19" s="366"/>
    </row>
    <row r="20" spans="1:10" s="371" customFormat="1" hidden="1" outlineLevel="1">
      <c r="A20" s="390"/>
      <c r="B20" s="352">
        <v>7</v>
      </c>
      <c r="C20" s="353" t="s">
        <v>1295</v>
      </c>
      <c r="D20" s="391"/>
      <c r="E20" s="380"/>
      <c r="F20" s="380"/>
      <c r="G20" s="310" t="s">
        <v>603</v>
      </c>
      <c r="H20" s="311"/>
      <c r="I20" s="310"/>
      <c r="J20" s="366"/>
    </row>
    <row r="21" spans="1:10" s="371" customFormat="1" hidden="1" outlineLevel="1">
      <c r="A21" s="390"/>
      <c r="B21" s="352">
        <v>8</v>
      </c>
      <c r="C21" s="353" t="s">
        <v>1296</v>
      </c>
      <c r="D21" s="391"/>
      <c r="E21" s="380"/>
      <c r="F21" s="380"/>
      <c r="G21" s="310"/>
      <c r="H21" s="311"/>
      <c r="I21" s="310"/>
      <c r="J21" s="366"/>
    </row>
    <row r="22" spans="1:10" s="371" customFormat="1" hidden="1" outlineLevel="1">
      <c r="A22" s="390"/>
      <c r="B22" s="352">
        <v>12</v>
      </c>
      <c r="C22" s="353" t="s">
        <v>1297</v>
      </c>
      <c r="D22" s="391"/>
      <c r="E22" s="380"/>
      <c r="F22" s="380"/>
      <c r="G22" s="310" t="s">
        <v>603</v>
      </c>
      <c r="H22" s="311"/>
      <c r="I22" s="310"/>
      <c r="J22" s="366"/>
    </row>
    <row r="23" spans="1:10" s="371" customFormat="1" hidden="1" outlineLevel="1">
      <c r="A23" s="390"/>
      <c r="B23" s="352">
        <v>13</v>
      </c>
      <c r="C23" s="353" t="s">
        <v>624</v>
      </c>
      <c r="D23" s="391"/>
      <c r="E23" s="380"/>
      <c r="F23" s="380"/>
      <c r="G23" s="310" t="s">
        <v>603</v>
      </c>
      <c r="H23" s="311"/>
      <c r="I23" s="310"/>
      <c r="J23" s="366"/>
    </row>
    <row r="24" spans="1:10" s="455" customFormat="1" ht="75" hidden="1" outlineLevel="1">
      <c r="A24" s="460"/>
      <c r="B24" s="461" t="s">
        <v>639</v>
      </c>
      <c r="C24" s="348" t="s">
        <v>1462</v>
      </c>
      <c r="D24" s="452"/>
      <c r="E24" s="380"/>
      <c r="F24" s="380"/>
      <c r="G24" s="310" t="s">
        <v>603</v>
      </c>
      <c r="H24" s="311"/>
      <c r="I24" s="310"/>
      <c r="J24" s="366"/>
    </row>
    <row r="25" spans="1:10" s="371" customFormat="1" hidden="1" outlineLevel="1">
      <c r="A25" s="390"/>
      <c r="B25" s="352">
        <v>14</v>
      </c>
      <c r="C25" s="353" t="s">
        <v>658</v>
      </c>
      <c r="D25" s="391"/>
      <c r="E25" s="380"/>
      <c r="F25" s="380"/>
      <c r="G25" s="310"/>
      <c r="H25" s="311"/>
      <c r="I25" s="310"/>
      <c r="J25" s="366"/>
    </row>
    <row r="26" spans="1:10" s="371" customFormat="1" hidden="1" outlineLevel="1">
      <c r="A26" s="390"/>
      <c r="B26" s="349">
        <v>15</v>
      </c>
      <c r="C26" s="359" t="s">
        <v>632</v>
      </c>
      <c r="D26" s="391"/>
      <c r="E26" s="380"/>
      <c r="F26" s="380"/>
      <c r="G26" s="310" t="s">
        <v>603</v>
      </c>
      <c r="H26" s="311"/>
      <c r="I26" s="310"/>
      <c r="J26" s="366"/>
    </row>
    <row r="27" spans="1:10" s="371" customFormat="1" hidden="1" outlineLevel="1">
      <c r="A27" s="390"/>
      <c r="B27" s="352">
        <v>16</v>
      </c>
      <c r="C27" s="353" t="s">
        <v>1298</v>
      </c>
      <c r="D27" s="391"/>
      <c r="E27" s="380"/>
      <c r="F27" s="380"/>
      <c r="G27" s="310" t="s">
        <v>603</v>
      </c>
      <c r="H27" s="311"/>
      <c r="I27" s="310"/>
      <c r="J27" s="366"/>
    </row>
    <row r="28" spans="1:10" s="371" customFormat="1" hidden="1" outlineLevel="1">
      <c r="A28" s="390"/>
      <c r="B28" s="352">
        <v>17</v>
      </c>
      <c r="C28" s="353" t="s">
        <v>659</v>
      </c>
      <c r="D28" s="391"/>
      <c r="E28" s="380"/>
      <c r="F28" s="380"/>
      <c r="G28" s="310" t="s">
        <v>603</v>
      </c>
      <c r="H28" s="311"/>
      <c r="I28" s="310"/>
      <c r="J28" s="366"/>
    </row>
    <row r="29" spans="1:10" s="371" customFormat="1" ht="45" hidden="1" outlineLevel="1">
      <c r="A29" s="390"/>
      <c r="B29" s="382" t="s">
        <v>640</v>
      </c>
      <c r="C29" s="348" t="s">
        <v>1299</v>
      </c>
      <c r="D29" s="391"/>
      <c r="E29" s="380"/>
      <c r="F29" s="380"/>
      <c r="G29" s="310"/>
      <c r="H29" s="311"/>
      <c r="I29" s="310"/>
      <c r="J29" s="366"/>
    </row>
    <row r="30" spans="1:10" s="371" customFormat="1" hidden="1" outlineLevel="1">
      <c r="A30" s="390"/>
      <c r="B30" s="354">
        <v>18</v>
      </c>
      <c r="C30" s="359" t="s">
        <v>630</v>
      </c>
      <c r="D30" s="391"/>
      <c r="E30" s="380"/>
      <c r="F30" s="380"/>
      <c r="G30" s="310" t="s">
        <v>603</v>
      </c>
      <c r="H30" s="311"/>
      <c r="I30" s="310"/>
      <c r="J30" s="366"/>
    </row>
    <row r="31" spans="1:10" s="371" customFormat="1" hidden="1" outlineLevel="1">
      <c r="A31" s="390"/>
      <c r="B31" s="352" t="s">
        <v>641</v>
      </c>
      <c r="C31" s="353" t="s">
        <v>631</v>
      </c>
      <c r="D31" s="391"/>
      <c r="E31" s="380"/>
      <c r="F31" s="380"/>
      <c r="G31" s="310" t="s">
        <v>603</v>
      </c>
      <c r="H31" s="311"/>
      <c r="I31" s="310"/>
      <c r="J31" s="366"/>
    </row>
    <row r="32" spans="1:10" s="371" customFormat="1" collapsed="1">
      <c r="A32" s="333" t="s">
        <v>23</v>
      </c>
      <c r="B32" s="333" t="s">
        <v>1300</v>
      </c>
      <c r="C32" s="332" t="s">
        <v>1301</v>
      </c>
      <c r="D32" s="334" t="s">
        <v>604</v>
      </c>
      <c r="E32" s="288" t="s">
        <v>596</v>
      </c>
      <c r="F32" s="334" t="str">
        <f>IF(H32&gt;0,"F",IF(I32&gt;0,"A",IF(G32&gt;0,"P","NT")))</f>
        <v>P</v>
      </c>
      <c r="G32" s="334">
        <f>COUNTA(G33:G46)</f>
        <v>14</v>
      </c>
      <c r="H32" s="334">
        <f>COUNTA(H33:H46)</f>
        <v>0</v>
      </c>
      <c r="I32" s="334">
        <f>COUNTA(I33:I46)</f>
        <v>0</v>
      </c>
      <c r="J32" s="365">
        <f>COUNTA(J33:J46)</f>
        <v>0</v>
      </c>
    </row>
    <row r="33" spans="1:11" s="371" customFormat="1" ht="30" hidden="1" outlineLevel="1">
      <c r="A33" s="290"/>
      <c r="B33" s="354" t="s">
        <v>446</v>
      </c>
      <c r="C33" s="348" t="s">
        <v>1302</v>
      </c>
      <c r="D33" s="391"/>
      <c r="E33" s="392"/>
      <c r="F33" s="289"/>
      <c r="G33" s="314" t="s">
        <v>603</v>
      </c>
      <c r="H33" s="315"/>
      <c r="I33" s="316"/>
      <c r="J33" s="364"/>
    </row>
    <row r="34" spans="1:11" s="371" customFormat="1" hidden="1" outlineLevel="1">
      <c r="A34" s="290"/>
      <c r="B34" s="354">
        <v>1</v>
      </c>
      <c r="C34" s="353" t="s">
        <v>621</v>
      </c>
      <c r="D34" s="391"/>
      <c r="E34" s="392"/>
      <c r="F34" s="289"/>
      <c r="G34" s="314" t="s">
        <v>603</v>
      </c>
      <c r="H34" s="315"/>
      <c r="I34" s="316"/>
      <c r="J34" s="364"/>
      <c r="K34" s="287"/>
    </row>
    <row r="35" spans="1:11" s="371" customFormat="1" ht="45" hidden="1" outlineLevel="1">
      <c r="A35" s="290"/>
      <c r="B35" s="354">
        <v>2</v>
      </c>
      <c r="C35" s="353" t="s">
        <v>1303</v>
      </c>
      <c r="D35" s="391"/>
      <c r="E35" s="392"/>
      <c r="F35" s="289"/>
      <c r="G35" s="314" t="s">
        <v>603</v>
      </c>
      <c r="H35" s="315"/>
      <c r="I35" s="316"/>
      <c r="J35" s="364"/>
      <c r="K35" s="287"/>
    </row>
    <row r="36" spans="1:11" s="371" customFormat="1" hidden="1" outlineLevel="1">
      <c r="A36" s="290"/>
      <c r="B36" s="354">
        <v>3</v>
      </c>
      <c r="C36" s="357" t="s">
        <v>1304</v>
      </c>
      <c r="D36" s="391"/>
      <c r="E36" s="392"/>
      <c r="F36" s="289"/>
      <c r="G36" s="314" t="s">
        <v>603</v>
      </c>
      <c r="H36" s="315"/>
      <c r="I36" s="316"/>
      <c r="J36" s="364"/>
      <c r="K36" s="287"/>
    </row>
    <row r="37" spans="1:11" s="371" customFormat="1" hidden="1" outlineLevel="1">
      <c r="A37" s="390"/>
      <c r="B37" s="352">
        <v>4</v>
      </c>
      <c r="C37" s="353" t="s">
        <v>1305</v>
      </c>
      <c r="D37" s="391"/>
      <c r="E37" s="380"/>
      <c r="F37" s="380"/>
      <c r="G37" s="310" t="s">
        <v>603</v>
      </c>
      <c r="H37" s="311"/>
      <c r="I37" s="310"/>
      <c r="J37" s="366"/>
    </row>
    <row r="38" spans="1:11" s="371" customFormat="1" hidden="1" outlineLevel="1">
      <c r="A38" s="290"/>
      <c r="B38" s="354">
        <v>5</v>
      </c>
      <c r="C38" s="348" t="s">
        <v>1306</v>
      </c>
      <c r="D38" s="391"/>
      <c r="E38" s="392"/>
      <c r="F38" s="289"/>
      <c r="G38" s="314" t="s">
        <v>603</v>
      </c>
      <c r="H38" s="315"/>
      <c r="I38" s="316"/>
      <c r="J38" s="364"/>
      <c r="K38" s="287"/>
    </row>
    <row r="39" spans="1:11" s="371" customFormat="1" ht="45" hidden="1" outlineLevel="1">
      <c r="A39" s="290"/>
      <c r="B39" s="349" t="s">
        <v>644</v>
      </c>
      <c r="C39" s="348" t="s">
        <v>1307</v>
      </c>
      <c r="D39" s="391"/>
      <c r="E39" s="393"/>
      <c r="F39" s="375"/>
      <c r="G39" s="376" t="s">
        <v>603</v>
      </c>
      <c r="H39" s="377"/>
      <c r="I39" s="378"/>
      <c r="J39" s="364"/>
      <c r="K39" s="287"/>
    </row>
    <row r="40" spans="1:11" s="371" customFormat="1" hidden="1" outlineLevel="1">
      <c r="A40" s="290"/>
      <c r="B40" s="354">
        <v>6</v>
      </c>
      <c r="C40" s="348" t="s">
        <v>1308</v>
      </c>
      <c r="D40" s="391"/>
      <c r="E40" s="392"/>
      <c r="F40" s="289"/>
      <c r="G40" s="314" t="s">
        <v>603</v>
      </c>
      <c r="H40" s="315"/>
      <c r="I40" s="316"/>
      <c r="J40" s="364"/>
      <c r="K40" s="287"/>
    </row>
    <row r="41" spans="1:11" s="371" customFormat="1" hidden="1" outlineLevel="1">
      <c r="A41" s="390"/>
      <c r="B41" s="349">
        <v>7</v>
      </c>
      <c r="C41" s="359" t="s">
        <v>632</v>
      </c>
      <c r="D41" s="391"/>
      <c r="E41" s="380"/>
      <c r="F41" s="380"/>
      <c r="G41" s="310" t="s">
        <v>603</v>
      </c>
      <c r="H41" s="311"/>
      <c r="I41" s="310"/>
      <c r="J41" s="366"/>
    </row>
    <row r="42" spans="1:11" s="371" customFormat="1" hidden="1" outlineLevel="1">
      <c r="A42" s="390"/>
      <c r="B42" s="352">
        <v>8</v>
      </c>
      <c r="C42" s="353" t="s">
        <v>1298</v>
      </c>
      <c r="D42" s="391"/>
      <c r="E42" s="380"/>
      <c r="F42" s="380"/>
      <c r="G42" s="310" t="s">
        <v>603</v>
      </c>
      <c r="H42" s="311"/>
      <c r="I42" s="310"/>
      <c r="J42" s="366"/>
    </row>
    <row r="43" spans="1:11" s="371" customFormat="1" hidden="1" outlineLevel="1">
      <c r="A43" s="390"/>
      <c r="B43" s="352">
        <v>9</v>
      </c>
      <c r="C43" s="353" t="s">
        <v>659</v>
      </c>
      <c r="D43" s="391"/>
      <c r="E43" s="380"/>
      <c r="F43" s="380"/>
      <c r="G43" s="310" t="s">
        <v>603</v>
      </c>
      <c r="H43" s="311"/>
      <c r="I43" s="310"/>
      <c r="J43" s="366"/>
    </row>
    <row r="44" spans="1:11" s="371" customFormat="1" ht="30" hidden="1" outlineLevel="1">
      <c r="A44" s="390"/>
      <c r="B44" s="382" t="s">
        <v>646</v>
      </c>
      <c r="C44" s="348" t="s">
        <v>1309</v>
      </c>
      <c r="D44" s="391"/>
      <c r="E44" s="380"/>
      <c r="F44" s="380"/>
      <c r="G44" s="310" t="s">
        <v>603</v>
      </c>
      <c r="H44" s="311"/>
      <c r="I44" s="310"/>
      <c r="J44" s="366"/>
    </row>
    <row r="45" spans="1:11" s="371" customFormat="1" hidden="1" outlineLevel="1">
      <c r="A45" s="390"/>
      <c r="B45" s="354">
        <v>10</v>
      </c>
      <c r="C45" s="359" t="s">
        <v>630</v>
      </c>
      <c r="D45" s="391"/>
      <c r="E45" s="380"/>
      <c r="F45" s="380"/>
      <c r="G45" s="310" t="s">
        <v>603</v>
      </c>
      <c r="H45" s="311"/>
      <c r="I45" s="310"/>
      <c r="J45" s="366"/>
    </row>
    <row r="46" spans="1:11" s="371" customFormat="1" hidden="1" outlineLevel="1">
      <c r="A46" s="390"/>
      <c r="B46" s="358" t="s">
        <v>647</v>
      </c>
      <c r="C46" s="374" t="s">
        <v>631</v>
      </c>
      <c r="D46" s="391"/>
      <c r="E46" s="380"/>
      <c r="F46" s="380"/>
      <c r="G46" s="310" t="s">
        <v>603</v>
      </c>
      <c r="H46" s="311"/>
      <c r="I46" s="310"/>
      <c r="J46" s="366"/>
    </row>
    <row r="47" spans="1:11" s="371" customFormat="1" collapsed="1">
      <c r="A47" s="333" t="s">
        <v>23</v>
      </c>
      <c r="B47" s="333" t="s">
        <v>1310</v>
      </c>
      <c r="C47" s="332" t="s">
        <v>1311</v>
      </c>
      <c r="D47" s="334" t="s">
        <v>604</v>
      </c>
      <c r="E47" s="294" t="s">
        <v>596</v>
      </c>
      <c r="F47" s="334" t="str">
        <f>IF(H47&gt;0,"F",IF(I47&gt;0,"A",IF(G47&gt;0,"P","NT")))</f>
        <v>P</v>
      </c>
      <c r="G47" s="334">
        <f>COUNTA(G48:G55)</f>
        <v>8</v>
      </c>
      <c r="H47" s="334">
        <f>COUNTA(H48:H55)</f>
        <v>0</v>
      </c>
      <c r="I47" s="334">
        <f>COUNTA(I48:I55)</f>
        <v>0</v>
      </c>
      <c r="J47" s="365">
        <f>COUNTA(J48:J55)</f>
        <v>0</v>
      </c>
      <c r="K47" s="291"/>
    </row>
    <row r="48" spans="1:11" s="371" customFormat="1" ht="30" hidden="1" outlineLevel="1">
      <c r="A48" s="292"/>
      <c r="B48" s="354" t="s">
        <v>446</v>
      </c>
      <c r="C48" s="348" t="s">
        <v>1312</v>
      </c>
      <c r="D48" s="391"/>
      <c r="E48" s="293"/>
      <c r="F48" s="293"/>
      <c r="G48" s="312" t="s">
        <v>603</v>
      </c>
      <c r="H48" s="312"/>
      <c r="I48" s="313"/>
      <c r="J48" s="345"/>
      <c r="K48" s="291"/>
    </row>
    <row r="49" spans="1:11" s="371" customFormat="1" hidden="1" outlineLevel="1">
      <c r="A49" s="292"/>
      <c r="B49" s="354">
        <v>1</v>
      </c>
      <c r="C49" s="353" t="s">
        <v>621</v>
      </c>
      <c r="D49" s="391"/>
      <c r="E49" s="293"/>
      <c r="F49" s="293"/>
      <c r="G49" s="312" t="s">
        <v>603</v>
      </c>
      <c r="H49" s="312"/>
      <c r="I49" s="313"/>
      <c r="J49" s="345"/>
      <c r="K49" s="291"/>
    </row>
    <row r="50" spans="1:11" s="371" customFormat="1" hidden="1" outlineLevel="1">
      <c r="A50" s="292"/>
      <c r="B50" s="354">
        <v>2</v>
      </c>
      <c r="C50" s="359" t="s">
        <v>1313</v>
      </c>
      <c r="D50" s="391"/>
      <c r="E50" s="293"/>
      <c r="F50" s="293"/>
      <c r="G50" s="312" t="s">
        <v>603</v>
      </c>
      <c r="H50" s="312"/>
      <c r="I50" s="313"/>
      <c r="J50" s="345"/>
      <c r="K50" s="291"/>
    </row>
    <row r="51" spans="1:11" s="371" customFormat="1" hidden="1" outlineLevel="1">
      <c r="A51" s="390"/>
      <c r="B51" s="349">
        <v>3</v>
      </c>
      <c r="C51" s="359" t="s">
        <v>632</v>
      </c>
      <c r="D51" s="391"/>
      <c r="E51" s="380"/>
      <c r="F51" s="380"/>
      <c r="G51" s="310" t="s">
        <v>603</v>
      </c>
      <c r="H51" s="311"/>
      <c r="I51" s="310"/>
      <c r="J51" s="366"/>
    </row>
    <row r="52" spans="1:11" s="371" customFormat="1" hidden="1" outlineLevel="1">
      <c r="A52" s="292"/>
      <c r="B52" s="354">
        <v>4</v>
      </c>
      <c r="C52" s="353" t="s">
        <v>1298</v>
      </c>
      <c r="D52" s="391"/>
      <c r="E52" s="293"/>
      <c r="F52" s="293"/>
      <c r="G52" s="312" t="s">
        <v>603</v>
      </c>
      <c r="H52" s="312"/>
      <c r="I52" s="313"/>
      <c r="J52" s="345"/>
      <c r="K52" s="291"/>
    </row>
    <row r="53" spans="1:11" s="371" customFormat="1" hidden="1" outlineLevel="1">
      <c r="A53" s="390"/>
      <c r="B53" s="352">
        <v>5</v>
      </c>
      <c r="C53" s="353" t="s">
        <v>659</v>
      </c>
      <c r="D53" s="391"/>
      <c r="E53" s="380"/>
      <c r="F53" s="380"/>
      <c r="G53" s="310" t="s">
        <v>603</v>
      </c>
      <c r="H53" s="311"/>
      <c r="I53" s="310"/>
      <c r="J53" s="366"/>
    </row>
    <row r="54" spans="1:11" s="455" customFormat="1" ht="60" hidden="1" outlineLevel="1">
      <c r="A54" s="290"/>
      <c r="B54" s="354" t="s">
        <v>640</v>
      </c>
      <c r="C54" s="348" t="s">
        <v>1314</v>
      </c>
      <c r="D54" s="452"/>
      <c r="E54" s="453"/>
      <c r="F54" s="289"/>
      <c r="G54" s="314" t="s">
        <v>603</v>
      </c>
      <c r="H54" s="315"/>
      <c r="I54" s="316"/>
      <c r="J54" s="364"/>
      <c r="K54" s="454"/>
    </row>
    <row r="55" spans="1:11" s="371" customFormat="1" hidden="1" outlineLevel="1">
      <c r="A55" s="292"/>
      <c r="B55" s="349">
        <v>8</v>
      </c>
      <c r="C55" s="359" t="s">
        <v>630</v>
      </c>
      <c r="D55" s="391"/>
      <c r="E55" s="293"/>
      <c r="F55" s="293"/>
      <c r="G55" s="312" t="s">
        <v>603</v>
      </c>
      <c r="H55" s="312"/>
      <c r="I55" s="313"/>
      <c r="J55" s="345"/>
      <c r="K55" s="291"/>
    </row>
    <row r="56" spans="1:11" s="433" customFormat="1">
      <c r="A56" s="428"/>
      <c r="B56" s="429"/>
      <c r="C56" s="430"/>
      <c r="D56" s="431"/>
      <c r="E56" s="428"/>
      <c r="F56" s="428"/>
      <c r="G56" s="428"/>
      <c r="H56" s="428"/>
      <c r="I56" s="428"/>
      <c r="J56" s="432"/>
    </row>
  </sheetData>
  <mergeCells count="12">
    <mergeCell ref="A5:B5"/>
    <mergeCell ref="C5:I5"/>
    <mergeCell ref="A1:I1"/>
    <mergeCell ref="A2:I2"/>
    <mergeCell ref="A3:B3"/>
    <mergeCell ref="C3:I3"/>
    <mergeCell ref="A4:I4"/>
    <mergeCell ref="A6:I6"/>
    <mergeCell ref="A7:B7"/>
    <mergeCell ref="C7:I7"/>
    <mergeCell ref="A8:I8"/>
    <mergeCell ref="D9:I9"/>
  </mergeCells>
  <conditionalFormatting sqref="E10:E11 E54 E56:E65501">
    <cfRule type="cellIs" dxfId="268" priority="31" operator="equal">
      <formula>"Ready to Test"</formula>
    </cfRule>
    <cfRule type="cellIs" dxfId="267" priority="32" operator="equal">
      <formula>"Do Not Test"</formula>
    </cfRule>
    <cfRule type="cellIs" dxfId="266" priority="33" operator="equal">
      <formula>"Ready for Retest"</formula>
    </cfRule>
    <cfRule type="cellIs" dxfId="265" priority="34" operator="equal">
      <formula>"Passed"</formula>
    </cfRule>
  </conditionalFormatting>
  <conditionalFormatting sqref="E52 E48:E50 E54:E55">
    <cfRule type="cellIs" dxfId="264" priority="27" stopIfTrue="1" operator="equal">
      <formula>"Passed"</formula>
    </cfRule>
    <cfRule type="cellIs" dxfId="263" priority="28" stopIfTrue="1" operator="equal">
      <formula>"Do Not Test"</formula>
    </cfRule>
    <cfRule type="cellIs" dxfId="262" priority="29" stopIfTrue="1" operator="equal">
      <formula>"Ready for Retest"</formula>
    </cfRule>
    <cfRule type="cellIs" dxfId="261" priority="30" stopIfTrue="1" operator="equal">
      <formula>"Ready to Test"</formula>
    </cfRule>
  </conditionalFormatting>
  <conditionalFormatting sqref="E3 E7 E5">
    <cfRule type="cellIs" dxfId="260" priority="25" stopIfTrue="1" operator="equal">
      <formula>"Ready to Test"</formula>
    </cfRule>
    <cfRule type="cellIs" dxfId="259" priority="26" stopIfTrue="1" operator="equal">
      <formula>"Do Not Test"</formula>
    </cfRule>
  </conditionalFormatting>
  <conditionalFormatting sqref="E47 E32 E12">
    <cfRule type="cellIs" dxfId="258" priority="24" stopIfTrue="1" operator="equal">
      <formula>"Do Not Test"</formula>
    </cfRule>
  </conditionalFormatting>
  <conditionalFormatting sqref="E47 E32 E12">
    <cfRule type="cellIs" dxfId="257" priority="23" stopIfTrue="1" operator="equal">
      <formula>"Ready To Test"</formula>
    </cfRule>
  </conditionalFormatting>
  <conditionalFormatting sqref="I12:J55">
    <cfRule type="cellIs" dxfId="256" priority="22" operator="greaterThan">
      <formula>0</formula>
    </cfRule>
  </conditionalFormatting>
  <conditionalFormatting sqref="H11:H55">
    <cfRule type="cellIs" dxfId="255" priority="21" operator="greaterThan">
      <formula>0</formula>
    </cfRule>
  </conditionalFormatting>
  <conditionalFormatting sqref="G12:G55">
    <cfRule type="cellIs" dxfId="254" priority="20" operator="greaterThan">
      <formula>0</formula>
    </cfRule>
  </conditionalFormatting>
  <conditionalFormatting sqref="F47 F32 F12">
    <cfRule type="cellIs" dxfId="253" priority="19" operator="equal">
      <formula>"A"</formula>
    </cfRule>
  </conditionalFormatting>
  <conditionalFormatting sqref="F47 F32 F12">
    <cfRule type="cellIs" dxfId="252" priority="17" operator="equal">
      <formula>"F"</formula>
    </cfRule>
    <cfRule type="cellIs" dxfId="251" priority="18" operator="equal">
      <formula>"p"</formula>
    </cfRule>
  </conditionalFormatting>
  <hyperlinks>
    <hyperlink ref="C9" r:id="rId1"/>
  </hyperlink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sheetPr>
    <tabColor theme="9"/>
    <outlinePr summaryBelow="0"/>
  </sheetPr>
  <dimension ref="A1:J138"/>
  <sheetViews>
    <sheetView zoomScaleNormal="100" workbookViewId="0">
      <selection sqref="A1:I1"/>
    </sheetView>
  </sheetViews>
  <sheetFormatPr defaultRowHeight="15" outlineLevelRow="1"/>
  <cols>
    <col min="1" max="1" width="8.7109375" style="320" bestFit="1" customWidth="1"/>
    <col min="2" max="2" width="20.85546875" style="324" customWidth="1"/>
    <col min="3" max="3" width="70.140625" style="328" customWidth="1"/>
    <col min="4" max="4" width="10.28515625" style="326" bestFit="1" customWidth="1"/>
    <col min="5" max="5" width="13.28515625" style="320" bestFit="1" customWidth="1"/>
    <col min="6" max="6" width="9.85546875" style="320" bestFit="1" customWidth="1"/>
    <col min="7" max="7" width="8.28515625" style="320" bestFit="1" customWidth="1"/>
    <col min="8" max="8" width="7.5703125" style="320" customWidth="1"/>
    <col min="9" max="9" width="10.5703125" style="320" bestFit="1" customWidth="1"/>
    <col min="10" max="10" width="55.85546875" style="369" customWidth="1"/>
    <col min="11" max="16384" width="9.140625" style="372"/>
  </cols>
  <sheetData>
    <row r="1" spans="1:10" s="397" customFormat="1">
      <c r="A1" s="529" t="s">
        <v>1488</v>
      </c>
      <c r="B1" s="529"/>
      <c r="C1" s="529"/>
      <c r="D1" s="529"/>
      <c r="E1" s="529"/>
      <c r="F1" s="529"/>
      <c r="G1" s="529"/>
      <c r="H1" s="529"/>
      <c r="I1" s="529"/>
      <c r="J1" s="330"/>
    </row>
    <row r="2" spans="1:10" s="398" customFormat="1">
      <c r="A2" s="530"/>
      <c r="B2" s="530"/>
      <c r="C2" s="531"/>
      <c r="D2" s="531"/>
      <c r="E2" s="531"/>
      <c r="F2" s="531"/>
      <c r="G2" s="531"/>
      <c r="H2" s="531"/>
      <c r="I2" s="531"/>
      <c r="J2" s="368"/>
    </row>
    <row r="3" spans="1:10" s="398" customFormat="1" ht="33.75" customHeight="1">
      <c r="A3" s="532" t="s">
        <v>1227</v>
      </c>
      <c r="B3" s="533"/>
      <c r="C3" s="521" t="s">
        <v>1319</v>
      </c>
      <c r="D3" s="522"/>
      <c r="E3" s="522"/>
      <c r="F3" s="522"/>
      <c r="G3" s="522"/>
      <c r="H3" s="522"/>
      <c r="I3" s="523"/>
      <c r="J3" s="409"/>
    </row>
    <row r="4" spans="1:10" s="398" customFormat="1">
      <c r="A4" s="534"/>
      <c r="B4" s="535"/>
      <c r="C4" s="536"/>
      <c r="D4" s="536"/>
      <c r="E4" s="536"/>
      <c r="F4" s="536"/>
      <c r="G4" s="536"/>
      <c r="H4" s="536"/>
      <c r="I4" s="536"/>
      <c r="J4" s="368"/>
    </row>
    <row r="5" spans="1:10" s="397" customFormat="1" ht="30" customHeight="1">
      <c r="A5" s="519" t="s">
        <v>594</v>
      </c>
      <c r="B5" s="520"/>
      <c r="C5" s="526" t="s">
        <v>1320</v>
      </c>
      <c r="D5" s="527"/>
      <c r="E5" s="527"/>
      <c r="F5" s="527"/>
      <c r="G5" s="527"/>
      <c r="H5" s="527"/>
      <c r="I5" s="528"/>
      <c r="J5" s="330"/>
    </row>
    <row r="6" spans="1:10" s="397" customFormat="1">
      <c r="A6" s="516"/>
      <c r="B6" s="517"/>
      <c r="C6" s="518"/>
      <c r="D6" s="518"/>
      <c r="E6" s="518"/>
      <c r="F6" s="518"/>
      <c r="G6" s="518"/>
      <c r="H6" s="518"/>
      <c r="I6" s="518"/>
      <c r="J6" s="367"/>
    </row>
    <row r="7" spans="1:10" s="397" customFormat="1" ht="17.25" customHeight="1">
      <c r="A7" s="519" t="s">
        <v>1229</v>
      </c>
      <c r="B7" s="520"/>
      <c r="C7" s="521" t="s">
        <v>1321</v>
      </c>
      <c r="D7" s="522"/>
      <c r="E7" s="522"/>
      <c r="F7" s="522"/>
      <c r="G7" s="522"/>
      <c r="H7" s="522"/>
      <c r="I7" s="523"/>
      <c r="J7" s="330"/>
    </row>
    <row r="8" spans="1:10" s="399" customFormat="1">
      <c r="A8" s="524"/>
      <c r="B8" s="524"/>
      <c r="C8" s="524"/>
      <c r="D8" s="524"/>
      <c r="E8" s="524"/>
      <c r="F8" s="524"/>
      <c r="G8" s="524"/>
      <c r="H8" s="524"/>
      <c r="I8" s="524"/>
      <c r="J8" s="363"/>
    </row>
    <row r="9" spans="1:10" ht="27.75" customHeight="1">
      <c r="A9" s="410" t="s">
        <v>1231</v>
      </c>
      <c r="B9" s="411"/>
      <c r="C9" s="412" t="s">
        <v>1232</v>
      </c>
      <c r="D9" s="525"/>
      <c r="E9" s="525"/>
      <c r="F9" s="525"/>
      <c r="G9" s="525"/>
      <c r="H9" s="525"/>
      <c r="I9" s="525"/>
      <c r="J9" s="413"/>
    </row>
    <row r="10" spans="1:10">
      <c r="A10" s="321"/>
      <c r="B10" s="323"/>
      <c r="C10" s="327"/>
      <c r="D10" s="325"/>
      <c r="E10" s="322"/>
      <c r="F10" s="322"/>
      <c r="G10" s="322"/>
      <c r="H10" s="322"/>
      <c r="I10" s="322"/>
      <c r="J10" s="370"/>
    </row>
    <row r="11" spans="1:10" s="216" customFormat="1" ht="29.25" customHeight="1">
      <c r="A11" s="385" t="s">
        <v>0</v>
      </c>
      <c r="B11" s="379" t="s">
        <v>226</v>
      </c>
      <c r="C11" s="386" t="s">
        <v>540</v>
      </c>
      <c r="D11" s="386" t="s">
        <v>595</v>
      </c>
      <c r="E11" s="387" t="s">
        <v>214</v>
      </c>
      <c r="F11" s="387" t="s">
        <v>584</v>
      </c>
      <c r="G11" s="388" t="s">
        <v>2</v>
      </c>
      <c r="H11" s="389" t="s">
        <v>579</v>
      </c>
      <c r="I11" s="331" t="s">
        <v>583</v>
      </c>
      <c r="J11" s="331" t="s">
        <v>1</v>
      </c>
    </row>
    <row r="12" spans="1:10" s="276" customFormat="1" collapsed="1">
      <c r="A12" s="333" t="s">
        <v>23</v>
      </c>
      <c r="B12" s="333" t="s">
        <v>1322</v>
      </c>
      <c r="C12" s="332" t="s">
        <v>1323</v>
      </c>
      <c r="D12" s="334" t="s">
        <v>604</v>
      </c>
      <c r="E12" s="286" t="s">
        <v>596</v>
      </c>
      <c r="F12" s="334" t="str">
        <f>IF(H12&gt;0,"F",IF(I12&gt;0,"A",IF(G12&gt;0,"P","NT")))</f>
        <v>P</v>
      </c>
      <c r="G12" s="334">
        <f>COUNTA(G13:G38)</f>
        <v>6</v>
      </c>
      <c r="H12" s="334">
        <f>COUNTA(H13:H38)</f>
        <v>0</v>
      </c>
      <c r="I12" s="334">
        <f>COUNTA(I13:I38)</f>
        <v>0</v>
      </c>
      <c r="J12" s="365">
        <f>COUNTA(J13:J38)</f>
        <v>0</v>
      </c>
    </row>
    <row r="13" spans="1:10" s="371" customFormat="1" hidden="1" outlineLevel="1">
      <c r="A13" s="390"/>
      <c r="B13" s="351" t="s">
        <v>598</v>
      </c>
      <c r="C13" s="348" t="s">
        <v>1324</v>
      </c>
      <c r="D13" s="391"/>
      <c r="E13" s="380"/>
      <c r="F13" s="380"/>
      <c r="G13" s="310"/>
      <c r="H13" s="311"/>
      <c r="I13" s="310"/>
      <c r="J13" s="366"/>
    </row>
    <row r="14" spans="1:10" s="371" customFormat="1" hidden="1" outlineLevel="1">
      <c r="A14" s="390"/>
      <c r="B14" s="351" t="s">
        <v>599</v>
      </c>
      <c r="C14" s="348" t="s">
        <v>1325</v>
      </c>
      <c r="D14" s="391"/>
      <c r="E14" s="380"/>
      <c r="F14" s="380"/>
      <c r="G14" s="310" t="s">
        <v>603</v>
      </c>
      <c r="H14" s="311"/>
      <c r="I14" s="310"/>
      <c r="J14" s="366"/>
    </row>
    <row r="15" spans="1:10" s="371" customFormat="1" hidden="1" outlineLevel="1">
      <c r="A15" s="390"/>
      <c r="B15" s="382" t="s">
        <v>634</v>
      </c>
      <c r="C15" s="348" t="s">
        <v>648</v>
      </c>
      <c r="D15" s="391"/>
      <c r="E15" s="380"/>
      <c r="F15" s="380"/>
      <c r="G15" s="310"/>
      <c r="H15" s="311"/>
      <c r="I15" s="310"/>
      <c r="J15" s="366"/>
    </row>
    <row r="16" spans="1:10" s="371" customFormat="1" hidden="1" outlineLevel="1">
      <c r="A16" s="390"/>
      <c r="B16" s="352">
        <v>1</v>
      </c>
      <c r="C16" s="353" t="s">
        <v>621</v>
      </c>
      <c r="D16" s="391"/>
      <c r="E16" s="380"/>
      <c r="F16" s="380"/>
      <c r="G16" s="310"/>
      <c r="H16" s="311"/>
      <c r="I16" s="310"/>
      <c r="J16" s="366"/>
    </row>
    <row r="17" spans="1:10" s="371" customFormat="1" hidden="1" outlineLevel="1">
      <c r="A17" s="390"/>
      <c r="B17" s="352">
        <v>2</v>
      </c>
      <c r="C17" s="353" t="s">
        <v>1326</v>
      </c>
      <c r="D17" s="391"/>
      <c r="E17" s="380"/>
      <c r="F17" s="380"/>
      <c r="G17" s="310"/>
      <c r="H17" s="311"/>
      <c r="I17" s="310"/>
      <c r="J17" s="366"/>
    </row>
    <row r="18" spans="1:10" s="371" customFormat="1" hidden="1" outlineLevel="1">
      <c r="A18" s="390"/>
      <c r="B18" s="352">
        <v>3</v>
      </c>
      <c r="C18" s="353" t="s">
        <v>623</v>
      </c>
      <c r="D18" s="391"/>
      <c r="E18" s="380"/>
      <c r="F18" s="380"/>
      <c r="G18" s="310" t="s">
        <v>603</v>
      </c>
      <c r="H18" s="311"/>
      <c r="I18" s="310"/>
      <c r="J18" s="366"/>
    </row>
    <row r="19" spans="1:10" s="371" customFormat="1" hidden="1" outlineLevel="1">
      <c r="A19" s="390"/>
      <c r="B19" s="352">
        <v>4</v>
      </c>
      <c r="C19" s="353" t="s">
        <v>622</v>
      </c>
      <c r="D19" s="391"/>
      <c r="E19" s="380"/>
      <c r="F19" s="380"/>
      <c r="G19" s="310"/>
      <c r="H19" s="311"/>
      <c r="I19" s="310"/>
      <c r="J19" s="366"/>
    </row>
    <row r="20" spans="1:10" s="371" customFormat="1" hidden="1" outlineLevel="1">
      <c r="A20" s="390"/>
      <c r="B20" s="352">
        <v>5</v>
      </c>
      <c r="C20" s="353" t="s">
        <v>1327</v>
      </c>
      <c r="D20" s="391"/>
      <c r="E20" s="380"/>
      <c r="F20" s="380"/>
      <c r="G20" s="310"/>
      <c r="H20" s="311"/>
      <c r="I20" s="310"/>
      <c r="J20" s="366"/>
    </row>
    <row r="21" spans="1:10" s="371" customFormat="1" hidden="1" outlineLevel="1">
      <c r="A21" s="390"/>
      <c r="B21" s="352">
        <v>6</v>
      </c>
      <c r="C21" s="353" t="s">
        <v>1328</v>
      </c>
      <c r="D21" s="391"/>
      <c r="E21" s="380"/>
      <c r="F21" s="380"/>
      <c r="G21" s="310"/>
      <c r="H21" s="311"/>
      <c r="I21" s="310"/>
      <c r="J21" s="366"/>
    </row>
    <row r="22" spans="1:10" s="371" customFormat="1" hidden="1" outlineLevel="1">
      <c r="A22" s="390"/>
      <c r="B22" s="352">
        <v>7</v>
      </c>
      <c r="C22" s="353" t="s">
        <v>1329</v>
      </c>
      <c r="D22" s="391"/>
      <c r="E22" s="380"/>
      <c r="F22" s="380"/>
      <c r="G22" s="310" t="s">
        <v>603</v>
      </c>
      <c r="H22" s="311"/>
      <c r="I22" s="310"/>
      <c r="J22" s="366"/>
    </row>
    <row r="23" spans="1:10" s="371" customFormat="1" hidden="1" outlineLevel="1">
      <c r="A23" s="390"/>
      <c r="B23" s="352">
        <v>8</v>
      </c>
      <c r="C23" s="353" t="s">
        <v>1330</v>
      </c>
      <c r="D23" s="391"/>
      <c r="E23" s="380"/>
      <c r="F23" s="380"/>
      <c r="G23" s="310"/>
      <c r="H23" s="311"/>
      <c r="I23" s="310"/>
      <c r="J23" s="366"/>
    </row>
    <row r="24" spans="1:10" s="371" customFormat="1" hidden="1" outlineLevel="1">
      <c r="A24" s="390"/>
      <c r="B24" s="352">
        <v>9</v>
      </c>
      <c r="C24" s="353" t="s">
        <v>1331</v>
      </c>
      <c r="D24" s="391"/>
      <c r="E24" s="380"/>
      <c r="F24" s="380"/>
      <c r="G24" s="310"/>
      <c r="H24" s="311"/>
      <c r="I24" s="310"/>
      <c r="J24" s="366"/>
    </row>
    <row r="25" spans="1:10" s="371" customFormat="1" hidden="1" outlineLevel="1">
      <c r="A25" s="390"/>
      <c r="B25" s="352">
        <v>10</v>
      </c>
      <c r="C25" s="353" t="s">
        <v>1332</v>
      </c>
      <c r="D25" s="391"/>
      <c r="E25" s="380"/>
      <c r="F25" s="380"/>
      <c r="G25" s="310" t="s">
        <v>603</v>
      </c>
      <c r="H25" s="311"/>
      <c r="I25" s="310"/>
      <c r="J25" s="366"/>
    </row>
    <row r="26" spans="1:10" s="371" customFormat="1" hidden="1" outlineLevel="1">
      <c r="A26" s="390"/>
      <c r="B26" s="352">
        <v>11</v>
      </c>
      <c r="C26" s="353" t="s">
        <v>1333</v>
      </c>
      <c r="D26" s="391"/>
      <c r="E26" s="380"/>
      <c r="F26" s="380"/>
      <c r="G26" s="310"/>
      <c r="H26" s="311"/>
      <c r="I26" s="310"/>
      <c r="J26" s="366"/>
    </row>
    <row r="27" spans="1:10" s="371" customFormat="1" hidden="1" outlineLevel="1">
      <c r="A27" s="390"/>
      <c r="B27" s="352">
        <v>12</v>
      </c>
      <c r="C27" s="353" t="s">
        <v>1334</v>
      </c>
      <c r="D27" s="391"/>
      <c r="E27" s="380"/>
      <c r="F27" s="380"/>
      <c r="G27" s="310"/>
      <c r="H27" s="311"/>
      <c r="I27" s="310"/>
      <c r="J27" s="366"/>
    </row>
    <row r="28" spans="1:10" s="371" customFormat="1" hidden="1" outlineLevel="1">
      <c r="A28" s="390"/>
      <c r="B28" s="352">
        <v>13</v>
      </c>
      <c r="C28" s="353" t="s">
        <v>1335</v>
      </c>
      <c r="D28" s="391"/>
      <c r="E28" s="380"/>
      <c r="F28" s="380"/>
      <c r="G28" s="310" t="s">
        <v>603</v>
      </c>
      <c r="H28" s="311"/>
      <c r="I28" s="310"/>
      <c r="J28" s="366"/>
    </row>
    <row r="29" spans="1:10" s="371" customFormat="1" hidden="1" outlineLevel="1">
      <c r="A29" s="390"/>
      <c r="B29" s="352">
        <v>14</v>
      </c>
      <c r="C29" s="353" t="s">
        <v>1336</v>
      </c>
      <c r="D29" s="391"/>
      <c r="E29" s="380"/>
      <c r="F29" s="380"/>
      <c r="G29" s="310"/>
      <c r="H29" s="311"/>
      <c r="I29" s="310"/>
      <c r="J29" s="366"/>
    </row>
    <row r="30" spans="1:10" s="371" customFormat="1" ht="30" hidden="1" outlineLevel="1">
      <c r="A30" s="390"/>
      <c r="B30" s="352">
        <v>15</v>
      </c>
      <c r="C30" s="353" t="s">
        <v>1337</v>
      </c>
      <c r="D30" s="391"/>
      <c r="E30" s="380"/>
      <c r="F30" s="380"/>
      <c r="G30" s="310"/>
      <c r="H30" s="311"/>
      <c r="I30" s="310"/>
      <c r="J30" s="366"/>
    </row>
    <row r="31" spans="1:10" s="371" customFormat="1" hidden="1" outlineLevel="1">
      <c r="A31" s="390"/>
      <c r="B31" s="352">
        <v>16</v>
      </c>
      <c r="C31" s="353" t="s">
        <v>1338</v>
      </c>
      <c r="D31" s="391"/>
      <c r="E31" s="380"/>
      <c r="F31" s="380"/>
      <c r="G31" s="310" t="s">
        <v>603</v>
      </c>
      <c r="H31" s="311"/>
      <c r="I31" s="310"/>
      <c r="J31" s="366"/>
    </row>
    <row r="32" spans="1:10" s="371" customFormat="1" hidden="1" outlineLevel="1">
      <c r="A32" s="390"/>
      <c r="B32" s="352">
        <v>17</v>
      </c>
      <c r="C32" s="353" t="s">
        <v>1339</v>
      </c>
      <c r="D32" s="391"/>
      <c r="E32" s="380"/>
      <c r="F32" s="380"/>
      <c r="G32" s="310"/>
      <c r="H32" s="311"/>
      <c r="I32" s="310"/>
      <c r="J32" s="366"/>
    </row>
    <row r="33" spans="1:10" s="371" customFormat="1" hidden="1" outlineLevel="1">
      <c r="A33" s="390"/>
      <c r="B33" s="349">
        <v>18</v>
      </c>
      <c r="C33" s="359" t="s">
        <v>632</v>
      </c>
      <c r="D33" s="391"/>
      <c r="E33" s="380"/>
      <c r="F33" s="380"/>
      <c r="G33" s="310"/>
      <c r="H33" s="311"/>
      <c r="I33" s="310"/>
      <c r="J33" s="366"/>
    </row>
    <row r="34" spans="1:10" s="371" customFormat="1" hidden="1" outlineLevel="1">
      <c r="A34" s="390"/>
      <c r="B34" s="352">
        <v>19</v>
      </c>
      <c r="C34" s="353" t="s">
        <v>1340</v>
      </c>
      <c r="D34" s="391"/>
      <c r="E34" s="380"/>
      <c r="F34" s="380"/>
      <c r="G34" s="310"/>
      <c r="H34" s="311"/>
      <c r="I34" s="310"/>
      <c r="J34" s="366"/>
    </row>
    <row r="35" spans="1:10" s="371" customFormat="1" hidden="1" outlineLevel="1">
      <c r="A35" s="390"/>
      <c r="B35" s="352">
        <v>20</v>
      </c>
      <c r="C35" s="353" t="s">
        <v>659</v>
      </c>
      <c r="D35" s="391"/>
      <c r="E35" s="380"/>
      <c r="F35" s="380"/>
      <c r="G35" s="310"/>
      <c r="H35" s="311"/>
      <c r="I35" s="310"/>
      <c r="J35" s="366"/>
    </row>
    <row r="36" spans="1:10" s="371" customFormat="1" ht="30" hidden="1" outlineLevel="1">
      <c r="A36" s="390"/>
      <c r="B36" s="382" t="s">
        <v>635</v>
      </c>
      <c r="C36" s="348" t="s">
        <v>1341</v>
      </c>
      <c r="D36" s="391"/>
      <c r="E36" s="380"/>
      <c r="F36" s="380"/>
      <c r="G36" s="310"/>
      <c r="H36" s="311"/>
      <c r="I36" s="310"/>
      <c r="J36" s="366"/>
    </row>
    <row r="37" spans="1:10" s="371" customFormat="1" hidden="1" outlineLevel="1">
      <c r="A37" s="390"/>
      <c r="B37" s="354">
        <v>21</v>
      </c>
      <c r="C37" s="359" t="s">
        <v>630</v>
      </c>
      <c r="D37" s="391"/>
      <c r="E37" s="380"/>
      <c r="F37" s="380"/>
      <c r="G37" s="310"/>
      <c r="H37" s="311"/>
      <c r="I37" s="310"/>
      <c r="J37" s="366"/>
    </row>
    <row r="38" spans="1:10" s="371" customFormat="1" hidden="1" outlineLevel="1">
      <c r="A38" s="390"/>
      <c r="B38" s="352" t="s">
        <v>636</v>
      </c>
      <c r="C38" s="353" t="s">
        <v>631</v>
      </c>
      <c r="D38" s="391"/>
      <c r="E38" s="380"/>
      <c r="F38" s="380"/>
      <c r="G38" s="310"/>
      <c r="H38" s="311"/>
      <c r="I38" s="310"/>
      <c r="J38" s="366"/>
    </row>
    <row r="39" spans="1:10" s="276" customFormat="1" collapsed="1">
      <c r="A39" s="333" t="s">
        <v>23</v>
      </c>
      <c r="B39" s="333" t="s">
        <v>1342</v>
      </c>
      <c r="C39" s="332" t="s">
        <v>1343</v>
      </c>
      <c r="D39" s="334" t="s">
        <v>604</v>
      </c>
      <c r="E39" s="286" t="s">
        <v>596</v>
      </c>
      <c r="F39" s="334" t="str">
        <f>IF(H39&gt;0,"F",IF(I39&gt;0,"A",IF(G39&gt;0,"P","NT")))</f>
        <v>P</v>
      </c>
      <c r="G39" s="334">
        <f>COUNTA(G40:G56)</f>
        <v>10</v>
      </c>
      <c r="H39" s="334">
        <f>COUNTA(H40:H56)</f>
        <v>0</v>
      </c>
      <c r="I39" s="334">
        <f>COUNTA(I40:I56)</f>
        <v>0</v>
      </c>
      <c r="J39" s="365">
        <f>COUNTA(J40:J56)</f>
        <v>0</v>
      </c>
    </row>
    <row r="40" spans="1:10" s="371" customFormat="1" hidden="1" outlineLevel="1">
      <c r="A40" s="390"/>
      <c r="B40" s="351" t="s">
        <v>598</v>
      </c>
      <c r="C40" s="348" t="s">
        <v>1324</v>
      </c>
      <c r="D40" s="391"/>
      <c r="E40" s="380"/>
      <c r="F40" s="380"/>
      <c r="G40" s="310"/>
      <c r="H40" s="311"/>
      <c r="I40" s="310"/>
      <c r="J40" s="366"/>
    </row>
    <row r="41" spans="1:10" s="371" customFormat="1" hidden="1" outlineLevel="1">
      <c r="A41" s="390"/>
      <c r="B41" s="351" t="s">
        <v>599</v>
      </c>
      <c r="C41" s="348" t="s">
        <v>1344</v>
      </c>
      <c r="D41" s="391"/>
      <c r="E41" s="380"/>
      <c r="F41" s="380"/>
      <c r="G41" s="310"/>
      <c r="H41" s="311"/>
      <c r="I41" s="310"/>
      <c r="J41" s="366"/>
    </row>
    <row r="42" spans="1:10" s="371" customFormat="1" hidden="1" outlineLevel="1">
      <c r="A42" s="390"/>
      <c r="B42" s="382" t="s">
        <v>634</v>
      </c>
      <c r="C42" s="348" t="s">
        <v>648</v>
      </c>
      <c r="D42" s="391"/>
      <c r="E42" s="380"/>
      <c r="F42" s="380"/>
      <c r="G42" s="310"/>
      <c r="H42" s="311"/>
      <c r="I42" s="310"/>
      <c r="J42" s="366"/>
    </row>
    <row r="43" spans="1:10" s="371" customFormat="1" hidden="1" outlineLevel="1">
      <c r="A43" s="390"/>
      <c r="B43" s="352">
        <v>1</v>
      </c>
      <c r="C43" s="353" t="s">
        <v>621</v>
      </c>
      <c r="D43" s="391"/>
      <c r="E43" s="380"/>
      <c r="F43" s="380"/>
      <c r="G43" s="310" t="s">
        <v>603</v>
      </c>
      <c r="H43" s="311"/>
      <c r="I43" s="310"/>
      <c r="J43" s="366"/>
    </row>
    <row r="44" spans="1:10" s="371" customFormat="1" hidden="1" outlineLevel="1">
      <c r="A44" s="390"/>
      <c r="B44" s="352">
        <v>2</v>
      </c>
      <c r="C44" s="353" t="s">
        <v>1345</v>
      </c>
      <c r="D44" s="391"/>
      <c r="E44" s="380"/>
      <c r="F44" s="380"/>
      <c r="G44" s="310" t="s">
        <v>603</v>
      </c>
      <c r="H44" s="311"/>
      <c r="I44" s="310"/>
      <c r="J44" s="366"/>
    </row>
    <row r="45" spans="1:10" s="371" customFormat="1" hidden="1" outlineLevel="1">
      <c r="A45" s="390"/>
      <c r="B45" s="352">
        <v>3</v>
      </c>
      <c r="C45" s="353" t="s">
        <v>1346</v>
      </c>
      <c r="D45" s="391"/>
      <c r="E45" s="380"/>
      <c r="F45" s="380"/>
      <c r="G45" s="310" t="s">
        <v>603</v>
      </c>
      <c r="H45" s="311"/>
      <c r="I45" s="310"/>
      <c r="J45" s="366"/>
    </row>
    <row r="46" spans="1:10" s="371" customFormat="1" hidden="1" outlineLevel="1">
      <c r="A46" s="390"/>
      <c r="B46" s="352">
        <v>5</v>
      </c>
      <c r="C46" s="353" t="s">
        <v>1327</v>
      </c>
      <c r="D46" s="391"/>
      <c r="E46" s="380"/>
      <c r="F46" s="380"/>
      <c r="G46" s="310" t="s">
        <v>603</v>
      </c>
      <c r="H46" s="311"/>
      <c r="I46" s="310"/>
      <c r="J46" s="366"/>
    </row>
    <row r="47" spans="1:10" s="371" customFormat="1" hidden="1" outlineLevel="1">
      <c r="A47" s="390"/>
      <c r="B47" s="352">
        <v>6</v>
      </c>
      <c r="C47" s="353" t="s">
        <v>1347</v>
      </c>
      <c r="D47" s="391"/>
      <c r="E47" s="380"/>
      <c r="F47" s="380"/>
      <c r="G47" s="310" t="s">
        <v>603</v>
      </c>
      <c r="H47" s="311"/>
      <c r="I47" s="310"/>
      <c r="J47" s="366"/>
    </row>
    <row r="48" spans="1:10" s="371" customFormat="1" hidden="1" outlineLevel="1">
      <c r="A48" s="390"/>
      <c r="B48" s="352">
        <v>7</v>
      </c>
      <c r="C48" s="353" t="s">
        <v>1348</v>
      </c>
      <c r="D48" s="391"/>
      <c r="E48" s="380"/>
      <c r="F48" s="380"/>
      <c r="G48" s="310" t="s">
        <v>603</v>
      </c>
      <c r="H48" s="311"/>
      <c r="I48" s="310"/>
      <c r="J48" s="366"/>
    </row>
    <row r="49" spans="1:10" s="371" customFormat="1" hidden="1" outlineLevel="1">
      <c r="A49" s="390"/>
      <c r="B49" s="352">
        <v>8</v>
      </c>
      <c r="C49" s="353" t="s">
        <v>1338</v>
      </c>
      <c r="D49" s="391"/>
      <c r="E49" s="380"/>
      <c r="F49" s="380"/>
      <c r="G49" s="310" t="s">
        <v>603</v>
      </c>
      <c r="H49" s="311"/>
      <c r="I49" s="310"/>
      <c r="J49" s="366"/>
    </row>
    <row r="50" spans="1:10" s="371" customFormat="1" hidden="1" outlineLevel="1">
      <c r="A50" s="390"/>
      <c r="B50" s="352">
        <v>9</v>
      </c>
      <c r="C50" s="353" t="s">
        <v>1339</v>
      </c>
      <c r="D50" s="391"/>
      <c r="E50" s="380"/>
      <c r="F50" s="380"/>
      <c r="G50" s="310" t="s">
        <v>603</v>
      </c>
      <c r="H50" s="311"/>
      <c r="I50" s="310"/>
      <c r="J50" s="366"/>
    </row>
    <row r="51" spans="1:10" s="371" customFormat="1" hidden="1" outlineLevel="1">
      <c r="A51" s="390"/>
      <c r="B51" s="349">
        <v>10</v>
      </c>
      <c r="C51" s="359" t="s">
        <v>632</v>
      </c>
      <c r="D51" s="391"/>
      <c r="E51" s="380"/>
      <c r="F51" s="380"/>
      <c r="G51" s="310" t="s">
        <v>603</v>
      </c>
      <c r="H51" s="311"/>
      <c r="I51" s="310"/>
      <c r="J51" s="366"/>
    </row>
    <row r="52" spans="1:10" s="371" customFormat="1" hidden="1" outlineLevel="1">
      <c r="A52" s="390"/>
      <c r="B52" s="352">
        <v>11</v>
      </c>
      <c r="C52" s="353" t="s">
        <v>1340</v>
      </c>
      <c r="D52" s="391"/>
      <c r="E52" s="380"/>
      <c r="F52" s="380"/>
      <c r="G52" s="310" t="s">
        <v>603</v>
      </c>
      <c r="H52" s="311"/>
      <c r="I52" s="310"/>
      <c r="J52" s="366"/>
    </row>
    <row r="53" spans="1:10" s="371" customFormat="1" hidden="1" outlineLevel="1">
      <c r="A53" s="390"/>
      <c r="B53" s="352">
        <v>12</v>
      </c>
      <c r="C53" s="353" t="s">
        <v>659</v>
      </c>
      <c r="D53" s="391"/>
      <c r="E53" s="380"/>
      <c r="F53" s="380"/>
      <c r="G53" s="310"/>
      <c r="H53" s="311"/>
      <c r="I53" s="310"/>
      <c r="J53" s="366"/>
    </row>
    <row r="54" spans="1:10" s="371" customFormat="1" ht="60" hidden="1" outlineLevel="1">
      <c r="A54" s="390"/>
      <c r="B54" s="382" t="s">
        <v>635</v>
      </c>
      <c r="C54" s="348" t="s">
        <v>1349</v>
      </c>
      <c r="D54" s="391"/>
      <c r="E54" s="380"/>
      <c r="F54" s="380"/>
      <c r="G54" s="310"/>
      <c r="H54" s="311"/>
      <c r="I54" s="310"/>
      <c r="J54" s="366"/>
    </row>
    <row r="55" spans="1:10" s="371" customFormat="1" hidden="1" outlineLevel="1">
      <c r="A55" s="390"/>
      <c r="B55" s="354">
        <v>13</v>
      </c>
      <c r="C55" s="359" t="s">
        <v>630</v>
      </c>
      <c r="D55" s="391"/>
      <c r="E55" s="380"/>
      <c r="F55" s="380"/>
      <c r="G55" s="310"/>
      <c r="H55" s="311"/>
      <c r="I55" s="310"/>
      <c r="J55" s="366"/>
    </row>
    <row r="56" spans="1:10" s="371" customFormat="1" hidden="1" outlineLevel="1">
      <c r="A56" s="390"/>
      <c r="B56" s="352" t="s">
        <v>636</v>
      </c>
      <c r="C56" s="353" t="s">
        <v>631</v>
      </c>
      <c r="D56" s="391"/>
      <c r="E56" s="380"/>
      <c r="F56" s="380"/>
      <c r="G56" s="310"/>
      <c r="H56" s="311"/>
      <c r="I56" s="310"/>
      <c r="J56" s="366"/>
    </row>
    <row r="57" spans="1:10" s="276" customFormat="1" collapsed="1">
      <c r="A57" s="333" t="s">
        <v>23</v>
      </c>
      <c r="B57" s="333" t="s">
        <v>1350</v>
      </c>
      <c r="C57" s="332" t="s">
        <v>1351</v>
      </c>
      <c r="D57" s="334" t="s">
        <v>604</v>
      </c>
      <c r="E57" s="286" t="s">
        <v>596</v>
      </c>
      <c r="F57" s="334" t="str">
        <f>IF(H57&gt;0,"F",IF(I57&gt;0,"A",IF(G57&gt;0,"P","NT")))</f>
        <v>P</v>
      </c>
      <c r="G57" s="334">
        <f>COUNTA(G58:G80)</f>
        <v>13</v>
      </c>
      <c r="H57" s="334">
        <f>COUNTA(H58:H80)</f>
        <v>0</v>
      </c>
      <c r="I57" s="334">
        <f>COUNTA(I58:I80)</f>
        <v>0</v>
      </c>
      <c r="J57" s="365">
        <f>COUNTA(J58:J80)</f>
        <v>0</v>
      </c>
    </row>
    <row r="58" spans="1:10" s="371" customFormat="1" hidden="1" outlineLevel="1">
      <c r="A58" s="390"/>
      <c r="B58" s="351" t="s">
        <v>598</v>
      </c>
      <c r="C58" s="348" t="s">
        <v>1324</v>
      </c>
      <c r="D58" s="391"/>
      <c r="E58" s="380"/>
      <c r="F58" s="380"/>
      <c r="G58" s="310"/>
      <c r="H58" s="311"/>
      <c r="I58" s="310"/>
      <c r="J58" s="366"/>
    </row>
    <row r="59" spans="1:10" s="371" customFormat="1" hidden="1" outlineLevel="1">
      <c r="A59" s="390"/>
      <c r="B59" s="351" t="s">
        <v>599</v>
      </c>
      <c r="C59" s="348" t="s">
        <v>1352</v>
      </c>
      <c r="D59" s="391"/>
      <c r="E59" s="380"/>
      <c r="F59" s="380"/>
      <c r="G59" s="310" t="s">
        <v>603</v>
      </c>
      <c r="H59" s="311"/>
      <c r="I59" s="310"/>
      <c r="J59" s="366"/>
    </row>
    <row r="60" spans="1:10" s="371" customFormat="1" hidden="1" outlineLevel="1">
      <c r="A60" s="390"/>
      <c r="B60" s="382" t="s">
        <v>634</v>
      </c>
      <c r="C60" s="348" t="s">
        <v>648</v>
      </c>
      <c r="D60" s="391"/>
      <c r="E60" s="380"/>
      <c r="F60" s="380"/>
      <c r="G60" s="310" t="s">
        <v>603</v>
      </c>
      <c r="H60" s="311"/>
      <c r="I60" s="310"/>
      <c r="J60" s="366"/>
    </row>
    <row r="61" spans="1:10" s="371" customFormat="1" hidden="1" outlineLevel="1">
      <c r="A61" s="390"/>
      <c r="B61" s="352">
        <v>1</v>
      </c>
      <c r="C61" s="353" t="s">
        <v>621</v>
      </c>
      <c r="D61" s="391"/>
      <c r="E61" s="380"/>
      <c r="F61" s="380"/>
      <c r="G61" s="310" t="s">
        <v>603</v>
      </c>
      <c r="H61" s="311"/>
      <c r="I61" s="310"/>
      <c r="J61" s="366"/>
    </row>
    <row r="62" spans="1:10" s="371" customFormat="1" hidden="1" outlineLevel="1">
      <c r="A62" s="390"/>
      <c r="B62" s="352">
        <v>2</v>
      </c>
      <c r="C62" s="353" t="s">
        <v>1345</v>
      </c>
      <c r="D62" s="391"/>
      <c r="E62" s="380"/>
      <c r="F62" s="380"/>
      <c r="G62" s="310" t="s">
        <v>603</v>
      </c>
      <c r="H62" s="311"/>
      <c r="I62" s="310"/>
      <c r="J62" s="366"/>
    </row>
    <row r="63" spans="1:10" s="371" customFormat="1" hidden="1" outlineLevel="1">
      <c r="A63" s="390"/>
      <c r="B63" s="352">
        <v>3</v>
      </c>
      <c r="C63" s="353" t="s">
        <v>1346</v>
      </c>
      <c r="D63" s="391"/>
      <c r="E63" s="380"/>
      <c r="F63" s="380"/>
      <c r="G63" s="310" t="s">
        <v>603</v>
      </c>
      <c r="H63" s="311"/>
      <c r="I63" s="310"/>
      <c r="J63" s="366"/>
    </row>
    <row r="64" spans="1:10" s="371" customFormat="1" hidden="1" outlineLevel="1">
      <c r="A64" s="390"/>
      <c r="B64" s="352">
        <v>5</v>
      </c>
      <c r="C64" s="353" t="s">
        <v>1353</v>
      </c>
      <c r="D64" s="391"/>
      <c r="E64" s="380"/>
      <c r="F64" s="380"/>
      <c r="G64" s="310" t="s">
        <v>603</v>
      </c>
      <c r="H64" s="311"/>
      <c r="I64" s="310"/>
      <c r="J64" s="366"/>
    </row>
    <row r="65" spans="1:10" s="371" customFormat="1" hidden="1" outlineLevel="1">
      <c r="A65" s="390"/>
      <c r="B65" s="352">
        <v>6</v>
      </c>
      <c r="C65" s="353" t="s">
        <v>1354</v>
      </c>
      <c r="D65" s="391"/>
      <c r="E65" s="380"/>
      <c r="F65" s="380"/>
      <c r="G65" s="310" t="s">
        <v>603</v>
      </c>
      <c r="H65" s="311"/>
      <c r="I65" s="310"/>
      <c r="J65" s="366"/>
    </row>
    <row r="66" spans="1:10" s="371" customFormat="1" hidden="1" outlineLevel="1">
      <c r="A66" s="390"/>
      <c r="B66" s="352">
        <v>7</v>
      </c>
      <c r="C66" s="353" t="s">
        <v>1355</v>
      </c>
      <c r="D66" s="391"/>
      <c r="E66" s="380"/>
      <c r="F66" s="380"/>
      <c r="G66" s="310"/>
      <c r="H66" s="311"/>
      <c r="I66" s="310"/>
      <c r="J66" s="366"/>
    </row>
    <row r="67" spans="1:10" s="371" customFormat="1" hidden="1" outlineLevel="1">
      <c r="A67" s="390"/>
      <c r="B67" s="352">
        <v>8</v>
      </c>
      <c r="C67" s="353" t="s">
        <v>1356</v>
      </c>
      <c r="D67" s="391"/>
      <c r="E67" s="380"/>
      <c r="F67" s="380"/>
      <c r="G67" s="310" t="s">
        <v>603</v>
      </c>
      <c r="H67" s="311"/>
      <c r="I67" s="310"/>
      <c r="J67" s="366"/>
    </row>
    <row r="68" spans="1:10" s="371" customFormat="1" hidden="1" outlineLevel="1">
      <c r="A68" s="390"/>
      <c r="B68" s="352">
        <v>9</v>
      </c>
      <c r="C68" s="353" t="s">
        <v>1357</v>
      </c>
      <c r="D68" s="391"/>
      <c r="E68" s="380"/>
      <c r="F68" s="380"/>
      <c r="G68" s="310" t="s">
        <v>603</v>
      </c>
      <c r="H68" s="311"/>
      <c r="I68" s="310"/>
      <c r="J68" s="366"/>
    </row>
    <row r="69" spans="1:10" s="371" customFormat="1" hidden="1" outlineLevel="1">
      <c r="A69" s="390"/>
      <c r="B69" s="352">
        <v>10</v>
      </c>
      <c r="C69" s="353" t="s">
        <v>1358</v>
      </c>
      <c r="D69" s="391"/>
      <c r="E69" s="380"/>
      <c r="F69" s="380"/>
      <c r="G69" s="310" t="s">
        <v>603</v>
      </c>
      <c r="H69" s="311"/>
      <c r="I69" s="310"/>
      <c r="J69" s="366"/>
    </row>
    <row r="70" spans="1:10" s="371" customFormat="1" hidden="1" outlineLevel="1">
      <c r="A70" s="390"/>
      <c r="B70" s="352">
        <v>11</v>
      </c>
      <c r="C70" s="353" t="s">
        <v>1359</v>
      </c>
      <c r="D70" s="391"/>
      <c r="E70" s="380"/>
      <c r="F70" s="380"/>
      <c r="G70" s="310"/>
      <c r="H70" s="311"/>
      <c r="I70" s="310"/>
      <c r="J70" s="366"/>
    </row>
    <row r="71" spans="1:10" s="371" customFormat="1" hidden="1" outlineLevel="1">
      <c r="A71" s="390"/>
      <c r="B71" s="352">
        <v>12</v>
      </c>
      <c r="C71" s="353" t="s">
        <v>1360</v>
      </c>
      <c r="D71" s="391"/>
      <c r="E71" s="380"/>
      <c r="F71" s="380"/>
      <c r="G71" s="310" t="s">
        <v>603</v>
      </c>
      <c r="H71" s="311"/>
      <c r="I71" s="310"/>
      <c r="J71" s="366"/>
    </row>
    <row r="72" spans="1:10" s="371" customFormat="1" hidden="1" outlineLevel="1">
      <c r="A72" s="390"/>
      <c r="B72" s="352">
        <v>13</v>
      </c>
      <c r="C72" s="353" t="s">
        <v>1338</v>
      </c>
      <c r="D72" s="391"/>
      <c r="E72" s="380"/>
      <c r="F72" s="380"/>
      <c r="G72" s="310"/>
      <c r="H72" s="311"/>
      <c r="I72" s="310"/>
      <c r="J72" s="366"/>
    </row>
    <row r="73" spans="1:10" s="371" customFormat="1" hidden="1" outlineLevel="1">
      <c r="A73" s="390"/>
      <c r="B73" s="352">
        <v>14</v>
      </c>
      <c r="C73" s="353" t="s">
        <v>1361</v>
      </c>
      <c r="D73" s="391"/>
      <c r="E73" s="380"/>
      <c r="F73" s="380"/>
      <c r="G73" s="310" t="s">
        <v>603</v>
      </c>
      <c r="H73" s="311"/>
      <c r="I73" s="310"/>
      <c r="J73" s="366"/>
    </row>
    <row r="74" spans="1:10" s="371" customFormat="1" hidden="1" outlineLevel="1">
      <c r="A74" s="390"/>
      <c r="B74" s="352">
        <v>15</v>
      </c>
      <c r="C74" s="373" t="s">
        <v>1362</v>
      </c>
      <c r="D74" s="391"/>
      <c r="E74" s="380"/>
      <c r="F74" s="380"/>
      <c r="G74" s="310" t="s">
        <v>603</v>
      </c>
      <c r="H74" s="311"/>
      <c r="I74" s="310"/>
      <c r="J74" s="366"/>
    </row>
    <row r="75" spans="1:10" s="371" customFormat="1" hidden="1" outlineLevel="1">
      <c r="A75" s="390"/>
      <c r="B75" s="349">
        <v>16</v>
      </c>
      <c r="C75" s="359" t="s">
        <v>632</v>
      </c>
      <c r="D75" s="391"/>
      <c r="E75" s="380"/>
      <c r="F75" s="380"/>
      <c r="G75" s="310"/>
      <c r="H75" s="311"/>
      <c r="I75" s="310"/>
      <c r="J75" s="366"/>
    </row>
    <row r="76" spans="1:10" s="371" customFormat="1" hidden="1" outlineLevel="1">
      <c r="A76" s="390"/>
      <c r="B76" s="352">
        <v>17</v>
      </c>
      <c r="C76" s="353" t="s">
        <v>1340</v>
      </c>
      <c r="D76" s="391"/>
      <c r="E76" s="380"/>
      <c r="F76" s="380"/>
      <c r="G76" s="310"/>
      <c r="H76" s="311"/>
      <c r="I76" s="310"/>
      <c r="J76" s="366"/>
    </row>
    <row r="77" spans="1:10" s="371" customFormat="1" hidden="1" outlineLevel="1">
      <c r="A77" s="390"/>
      <c r="B77" s="352">
        <v>18</v>
      </c>
      <c r="C77" s="353" t="s">
        <v>659</v>
      </c>
      <c r="D77" s="391"/>
      <c r="E77" s="380"/>
      <c r="F77" s="380"/>
      <c r="G77" s="310"/>
      <c r="H77" s="311"/>
      <c r="I77" s="310"/>
      <c r="J77" s="366"/>
    </row>
    <row r="78" spans="1:10" s="371" customFormat="1" ht="45" hidden="1" outlineLevel="1">
      <c r="A78" s="390"/>
      <c r="B78" s="382" t="s">
        <v>635</v>
      </c>
      <c r="C78" s="348" t="s">
        <v>1363</v>
      </c>
      <c r="D78" s="391"/>
      <c r="E78" s="380"/>
      <c r="F78" s="380"/>
      <c r="G78" s="310"/>
      <c r="H78" s="311"/>
      <c r="I78" s="310"/>
      <c r="J78" s="366"/>
    </row>
    <row r="79" spans="1:10" s="371" customFormat="1" hidden="1" outlineLevel="1">
      <c r="A79" s="390"/>
      <c r="B79" s="354">
        <v>19</v>
      </c>
      <c r="C79" s="359" t="s">
        <v>630</v>
      </c>
      <c r="D79" s="391"/>
      <c r="E79" s="380"/>
      <c r="F79" s="380"/>
      <c r="G79" s="310"/>
      <c r="H79" s="311"/>
      <c r="I79" s="310"/>
      <c r="J79" s="366"/>
    </row>
    <row r="80" spans="1:10" s="371" customFormat="1" hidden="1" outlineLevel="1">
      <c r="A80" s="390"/>
      <c r="B80" s="352" t="s">
        <v>636</v>
      </c>
      <c r="C80" s="353" t="s">
        <v>631</v>
      </c>
      <c r="D80" s="391"/>
      <c r="E80" s="380"/>
      <c r="F80" s="380"/>
      <c r="G80" s="310"/>
      <c r="H80" s="311"/>
      <c r="I80" s="310"/>
      <c r="J80" s="366"/>
    </row>
    <row r="81" spans="1:10" s="276" customFormat="1" collapsed="1">
      <c r="A81" s="333" t="s">
        <v>23</v>
      </c>
      <c r="B81" s="333" t="s">
        <v>1364</v>
      </c>
      <c r="C81" s="332" t="s">
        <v>1365</v>
      </c>
      <c r="D81" s="334" t="s">
        <v>604</v>
      </c>
      <c r="E81" s="286" t="s">
        <v>596</v>
      </c>
      <c r="F81" s="334" t="str">
        <f>IF(H81&gt;0,"F",IF(I81&gt;0,"A",IF(G81&gt;0,"P","NT")))</f>
        <v>P</v>
      </c>
      <c r="G81" s="334">
        <f>COUNTA(G82:G99)</f>
        <v>13</v>
      </c>
      <c r="H81" s="334">
        <f>COUNTA(H82:H99)</f>
        <v>0</v>
      </c>
      <c r="I81" s="334">
        <f>COUNTA(I82:I99)</f>
        <v>0</v>
      </c>
      <c r="J81" s="365">
        <f>COUNTA(J82:J99)</f>
        <v>0</v>
      </c>
    </row>
    <row r="82" spans="1:10" s="371" customFormat="1" hidden="1" outlineLevel="1">
      <c r="A82" s="390"/>
      <c r="B82" s="351" t="s">
        <v>598</v>
      </c>
      <c r="C82" s="348" t="s">
        <v>1324</v>
      </c>
      <c r="D82" s="391"/>
      <c r="E82" s="380"/>
      <c r="F82" s="380"/>
      <c r="G82" s="310"/>
      <c r="H82" s="311"/>
      <c r="I82" s="310"/>
      <c r="J82" s="366"/>
    </row>
    <row r="83" spans="1:10" s="371" customFormat="1" hidden="1" outlineLevel="1">
      <c r="A83" s="390"/>
      <c r="B83" s="351" t="s">
        <v>599</v>
      </c>
      <c r="C83" s="348" t="s">
        <v>1366</v>
      </c>
      <c r="D83" s="391"/>
      <c r="E83" s="380"/>
      <c r="F83" s="380"/>
      <c r="G83" s="310"/>
      <c r="H83" s="311"/>
      <c r="I83" s="310"/>
      <c r="J83" s="366"/>
    </row>
    <row r="84" spans="1:10" s="371" customFormat="1" hidden="1" outlineLevel="1">
      <c r="A84" s="390"/>
      <c r="B84" s="382" t="s">
        <v>634</v>
      </c>
      <c r="C84" s="348" t="s">
        <v>648</v>
      </c>
      <c r="D84" s="391"/>
      <c r="E84" s="380"/>
      <c r="F84" s="380"/>
      <c r="G84" s="310" t="s">
        <v>603</v>
      </c>
      <c r="H84" s="311"/>
      <c r="I84" s="310"/>
      <c r="J84" s="366"/>
    </row>
    <row r="85" spans="1:10" s="371" customFormat="1" hidden="1" outlineLevel="1">
      <c r="A85" s="390"/>
      <c r="B85" s="352">
        <v>1</v>
      </c>
      <c r="C85" s="353" t="s">
        <v>621</v>
      </c>
      <c r="D85" s="391"/>
      <c r="E85" s="380"/>
      <c r="F85" s="380"/>
      <c r="G85" s="310" t="s">
        <v>603</v>
      </c>
      <c r="H85" s="311"/>
      <c r="I85" s="310"/>
      <c r="J85" s="366"/>
    </row>
    <row r="86" spans="1:10" s="371" customFormat="1" hidden="1" outlineLevel="1">
      <c r="A86" s="390"/>
      <c r="B86" s="352">
        <v>2</v>
      </c>
      <c r="C86" s="353" t="s">
        <v>1345</v>
      </c>
      <c r="D86" s="391"/>
      <c r="E86" s="380"/>
      <c r="F86" s="380"/>
      <c r="G86" s="310" t="s">
        <v>603</v>
      </c>
      <c r="H86" s="311"/>
      <c r="I86" s="310"/>
      <c r="J86" s="366"/>
    </row>
    <row r="87" spans="1:10" s="371" customFormat="1" hidden="1" outlineLevel="1">
      <c r="A87" s="390"/>
      <c r="B87" s="352">
        <v>3</v>
      </c>
      <c r="C87" s="353" t="s">
        <v>1346</v>
      </c>
      <c r="D87" s="391"/>
      <c r="E87" s="380"/>
      <c r="F87" s="380"/>
      <c r="G87" s="310" t="s">
        <v>603</v>
      </c>
      <c r="H87" s="311"/>
      <c r="I87" s="310"/>
      <c r="J87" s="366"/>
    </row>
    <row r="88" spans="1:10" s="371" customFormat="1" hidden="1" outlineLevel="1">
      <c r="A88" s="390"/>
      <c r="B88" s="352">
        <v>4</v>
      </c>
      <c r="C88" s="353" t="s">
        <v>1367</v>
      </c>
      <c r="D88" s="391"/>
      <c r="E88" s="380"/>
      <c r="F88" s="380"/>
      <c r="G88" s="310" t="s">
        <v>603</v>
      </c>
      <c r="H88" s="311"/>
      <c r="I88" s="310"/>
      <c r="J88" s="366"/>
    </row>
    <row r="89" spans="1:10" s="371" customFormat="1" hidden="1" outlineLevel="1">
      <c r="A89" s="390"/>
      <c r="B89" s="352">
        <v>5</v>
      </c>
      <c r="C89" s="353" t="s">
        <v>1368</v>
      </c>
      <c r="D89" s="391"/>
      <c r="E89" s="380"/>
      <c r="F89" s="380"/>
      <c r="G89" s="310" t="s">
        <v>603</v>
      </c>
      <c r="H89" s="311"/>
      <c r="I89" s="310"/>
      <c r="J89" s="366"/>
    </row>
    <row r="90" spans="1:10" s="371" customFormat="1" hidden="1" outlineLevel="1">
      <c r="A90" s="390"/>
      <c r="B90" s="352">
        <v>6</v>
      </c>
      <c r="C90" s="353" t="s">
        <v>1369</v>
      </c>
      <c r="D90" s="391"/>
      <c r="E90" s="380"/>
      <c r="F90" s="380"/>
      <c r="G90" s="310" t="s">
        <v>603</v>
      </c>
      <c r="H90" s="311"/>
      <c r="I90" s="310"/>
      <c r="J90" s="366"/>
    </row>
    <row r="91" spans="1:10" s="371" customFormat="1" hidden="1" outlineLevel="1">
      <c r="A91" s="390"/>
      <c r="B91" s="352">
        <v>7</v>
      </c>
      <c r="C91" s="353" t="s">
        <v>1370</v>
      </c>
      <c r="D91" s="391"/>
      <c r="E91" s="380"/>
      <c r="F91" s="380"/>
      <c r="G91" s="310" t="s">
        <v>603</v>
      </c>
      <c r="H91" s="311"/>
      <c r="I91" s="310"/>
      <c r="J91" s="366"/>
    </row>
    <row r="92" spans="1:10" s="371" customFormat="1" hidden="1" outlineLevel="1">
      <c r="A92" s="390"/>
      <c r="B92" s="352">
        <v>8</v>
      </c>
      <c r="C92" s="353" t="s">
        <v>1338</v>
      </c>
      <c r="D92" s="391"/>
      <c r="E92" s="380"/>
      <c r="F92" s="380"/>
      <c r="G92" s="310" t="s">
        <v>603</v>
      </c>
      <c r="H92" s="311"/>
      <c r="I92" s="310"/>
      <c r="J92" s="366"/>
    </row>
    <row r="93" spans="1:10" s="371" customFormat="1" hidden="1" outlineLevel="1">
      <c r="A93" s="390"/>
      <c r="B93" s="352">
        <v>9</v>
      </c>
      <c r="C93" s="353" t="s">
        <v>1371</v>
      </c>
      <c r="D93" s="391"/>
      <c r="E93" s="380"/>
      <c r="F93" s="380"/>
      <c r="G93" s="310" t="s">
        <v>603</v>
      </c>
      <c r="H93" s="311"/>
      <c r="I93" s="310"/>
      <c r="J93" s="366"/>
    </row>
    <row r="94" spans="1:10" s="371" customFormat="1" hidden="1" outlineLevel="1">
      <c r="A94" s="390"/>
      <c r="B94" s="349">
        <v>10</v>
      </c>
      <c r="C94" s="359" t="s">
        <v>632</v>
      </c>
      <c r="D94" s="391"/>
      <c r="E94" s="380"/>
      <c r="F94" s="380"/>
      <c r="G94" s="310" t="s">
        <v>603</v>
      </c>
      <c r="H94" s="311"/>
      <c r="I94" s="310"/>
      <c r="J94" s="366"/>
    </row>
    <row r="95" spans="1:10" s="371" customFormat="1" hidden="1" outlineLevel="1">
      <c r="A95" s="390"/>
      <c r="B95" s="352">
        <v>11</v>
      </c>
      <c r="C95" s="353" t="s">
        <v>1340</v>
      </c>
      <c r="D95" s="391"/>
      <c r="E95" s="380"/>
      <c r="F95" s="380"/>
      <c r="G95" s="310" t="s">
        <v>603</v>
      </c>
      <c r="H95" s="311"/>
      <c r="I95" s="310"/>
      <c r="J95" s="366"/>
    </row>
    <row r="96" spans="1:10" s="371" customFormat="1" hidden="1" outlineLevel="1">
      <c r="A96" s="390"/>
      <c r="B96" s="352">
        <v>12</v>
      </c>
      <c r="C96" s="353" t="s">
        <v>659</v>
      </c>
      <c r="D96" s="391"/>
      <c r="E96" s="380"/>
      <c r="F96" s="380"/>
      <c r="G96" s="310" t="s">
        <v>603</v>
      </c>
      <c r="H96" s="311"/>
      <c r="I96" s="310"/>
      <c r="J96" s="366"/>
    </row>
    <row r="97" spans="1:10" s="371" customFormat="1" ht="75" hidden="1" outlineLevel="1">
      <c r="A97" s="390"/>
      <c r="B97" s="382" t="s">
        <v>635</v>
      </c>
      <c r="C97" s="348" t="s">
        <v>1372</v>
      </c>
      <c r="D97" s="391"/>
      <c r="E97" s="380"/>
      <c r="F97" s="380"/>
      <c r="G97" s="310"/>
      <c r="H97" s="311"/>
      <c r="I97" s="310"/>
      <c r="J97" s="366"/>
    </row>
    <row r="98" spans="1:10" s="371" customFormat="1" hidden="1" outlineLevel="1">
      <c r="A98" s="390"/>
      <c r="B98" s="354">
        <v>13</v>
      </c>
      <c r="C98" s="359" t="s">
        <v>630</v>
      </c>
      <c r="D98" s="391"/>
      <c r="E98" s="380"/>
      <c r="F98" s="380"/>
      <c r="G98" s="310"/>
      <c r="H98" s="311"/>
      <c r="I98" s="310"/>
      <c r="J98" s="366"/>
    </row>
    <row r="99" spans="1:10" s="371" customFormat="1" hidden="1" outlineLevel="1">
      <c r="A99" s="390"/>
      <c r="B99" s="352" t="s">
        <v>636</v>
      </c>
      <c r="C99" s="353" t="s">
        <v>631</v>
      </c>
      <c r="D99" s="391"/>
      <c r="E99" s="380"/>
      <c r="F99" s="380"/>
      <c r="G99" s="310"/>
      <c r="H99" s="311"/>
      <c r="I99" s="310"/>
      <c r="J99" s="366"/>
    </row>
    <row r="100" spans="1:10" s="276" customFormat="1" collapsed="1">
      <c r="A100" s="333" t="s">
        <v>23</v>
      </c>
      <c r="B100" s="333" t="s">
        <v>1373</v>
      </c>
      <c r="C100" s="332" t="s">
        <v>1374</v>
      </c>
      <c r="D100" s="334" t="s">
        <v>604</v>
      </c>
      <c r="E100" s="286" t="s">
        <v>596</v>
      </c>
      <c r="F100" s="334" t="str">
        <f>IF(H100&gt;0,"F",IF(I100&gt;0,"A",IF(G100&gt;0,"P","NT")))</f>
        <v>P</v>
      </c>
      <c r="G100" s="334">
        <f>COUNTA(G101:G117)</f>
        <v>10</v>
      </c>
      <c r="H100" s="334">
        <f>COUNTA(H101:H117)</f>
        <v>0</v>
      </c>
      <c r="I100" s="334">
        <f>COUNTA(I101:I117)</f>
        <v>0</v>
      </c>
      <c r="J100" s="365">
        <f>COUNTA(J101:J117)</f>
        <v>0</v>
      </c>
    </row>
    <row r="101" spans="1:10" s="371" customFormat="1" hidden="1" outlineLevel="1">
      <c r="A101" s="390"/>
      <c r="B101" s="351" t="s">
        <v>598</v>
      </c>
      <c r="C101" s="348" t="s">
        <v>1324</v>
      </c>
      <c r="D101" s="391"/>
      <c r="E101" s="380"/>
      <c r="F101" s="380"/>
      <c r="G101" s="310"/>
      <c r="H101" s="311"/>
      <c r="I101" s="310"/>
      <c r="J101" s="366"/>
    </row>
    <row r="102" spans="1:10" s="371" customFormat="1" hidden="1" outlineLevel="1">
      <c r="A102" s="390"/>
      <c r="B102" s="351" t="s">
        <v>599</v>
      </c>
      <c r="C102" s="348" t="s">
        <v>1375</v>
      </c>
      <c r="D102" s="391"/>
      <c r="E102" s="380"/>
      <c r="F102" s="380"/>
      <c r="G102" s="310"/>
      <c r="H102" s="311"/>
      <c r="I102" s="310"/>
      <c r="J102" s="366"/>
    </row>
    <row r="103" spans="1:10" s="371" customFormat="1" hidden="1" outlineLevel="1">
      <c r="A103" s="390"/>
      <c r="B103" s="382" t="s">
        <v>634</v>
      </c>
      <c r="C103" s="348" t="s">
        <v>648</v>
      </c>
      <c r="D103" s="391"/>
      <c r="E103" s="380"/>
      <c r="F103" s="380"/>
      <c r="G103" s="310" t="s">
        <v>603</v>
      </c>
      <c r="H103" s="311"/>
      <c r="I103" s="310"/>
      <c r="J103" s="366"/>
    </row>
    <row r="104" spans="1:10" s="371" customFormat="1" hidden="1" outlineLevel="1">
      <c r="A104" s="390"/>
      <c r="B104" s="352">
        <v>1</v>
      </c>
      <c r="C104" s="353" t="s">
        <v>621</v>
      </c>
      <c r="D104" s="391"/>
      <c r="E104" s="380"/>
      <c r="F104" s="380"/>
      <c r="G104" s="310" t="s">
        <v>603</v>
      </c>
      <c r="H104" s="311"/>
      <c r="I104" s="310"/>
      <c r="J104" s="366"/>
    </row>
    <row r="105" spans="1:10" s="371" customFormat="1" hidden="1" outlineLevel="1">
      <c r="A105" s="390"/>
      <c r="B105" s="352">
        <v>2</v>
      </c>
      <c r="C105" s="353" t="s">
        <v>1345</v>
      </c>
      <c r="D105" s="391"/>
      <c r="E105" s="380"/>
      <c r="F105" s="380"/>
      <c r="G105" s="310" t="s">
        <v>603</v>
      </c>
      <c r="H105" s="311"/>
      <c r="I105" s="310"/>
      <c r="J105" s="366"/>
    </row>
    <row r="106" spans="1:10" s="371" customFormat="1" hidden="1" outlineLevel="1">
      <c r="A106" s="390"/>
      <c r="B106" s="352">
        <v>3</v>
      </c>
      <c r="C106" s="353" t="s">
        <v>1346</v>
      </c>
      <c r="D106" s="391"/>
      <c r="E106" s="380"/>
      <c r="F106" s="380"/>
      <c r="G106" s="310" t="s">
        <v>603</v>
      </c>
      <c r="H106" s="311"/>
      <c r="I106" s="310"/>
      <c r="J106" s="366"/>
    </row>
    <row r="107" spans="1:10" s="371" customFormat="1" hidden="1" outlineLevel="1">
      <c r="A107" s="390"/>
      <c r="B107" s="352">
        <v>4</v>
      </c>
      <c r="C107" s="353" t="s">
        <v>1376</v>
      </c>
      <c r="D107" s="391"/>
      <c r="E107" s="380"/>
      <c r="F107" s="380"/>
      <c r="G107" s="310" t="s">
        <v>603</v>
      </c>
      <c r="H107" s="311"/>
      <c r="I107" s="310"/>
      <c r="J107" s="366"/>
    </row>
    <row r="108" spans="1:10" s="371" customFormat="1" hidden="1" outlineLevel="1">
      <c r="A108" s="390"/>
      <c r="B108" s="352">
        <v>5</v>
      </c>
      <c r="C108" s="353" t="s">
        <v>1377</v>
      </c>
      <c r="D108" s="391"/>
      <c r="E108" s="380"/>
      <c r="F108" s="380"/>
      <c r="G108" s="310" t="s">
        <v>603</v>
      </c>
      <c r="H108" s="311"/>
      <c r="I108" s="310"/>
      <c r="J108" s="366"/>
    </row>
    <row r="109" spans="1:10" s="371" customFormat="1" hidden="1" outlineLevel="1">
      <c r="A109" s="390"/>
      <c r="B109" s="352">
        <v>6</v>
      </c>
      <c r="C109" s="353" t="s">
        <v>1378</v>
      </c>
      <c r="D109" s="391"/>
      <c r="E109" s="380"/>
      <c r="F109" s="380"/>
      <c r="G109" s="310" t="s">
        <v>603</v>
      </c>
      <c r="H109" s="311"/>
      <c r="I109" s="310"/>
      <c r="J109" s="366"/>
    </row>
    <row r="110" spans="1:10" s="371" customFormat="1" hidden="1" outlineLevel="1">
      <c r="A110" s="390"/>
      <c r="B110" s="352">
        <v>7</v>
      </c>
      <c r="C110" s="353" t="s">
        <v>1338</v>
      </c>
      <c r="D110" s="391"/>
      <c r="E110" s="380"/>
      <c r="F110" s="380"/>
      <c r="G110" s="310" t="s">
        <v>603</v>
      </c>
      <c r="H110" s="311"/>
      <c r="I110" s="310"/>
      <c r="J110" s="366"/>
    </row>
    <row r="111" spans="1:10" s="371" customFormat="1" hidden="1" outlineLevel="1">
      <c r="A111" s="390"/>
      <c r="B111" s="352">
        <v>8</v>
      </c>
      <c r="C111" s="353" t="s">
        <v>1371</v>
      </c>
      <c r="D111" s="391"/>
      <c r="E111" s="380"/>
      <c r="F111" s="380"/>
      <c r="G111" s="310" t="s">
        <v>603</v>
      </c>
      <c r="H111" s="311"/>
      <c r="I111" s="310"/>
      <c r="J111" s="366"/>
    </row>
    <row r="112" spans="1:10" s="371" customFormat="1" hidden="1" outlineLevel="1">
      <c r="A112" s="390"/>
      <c r="B112" s="349">
        <v>9</v>
      </c>
      <c r="C112" s="359" t="s">
        <v>632</v>
      </c>
      <c r="D112" s="391"/>
      <c r="E112" s="380"/>
      <c r="F112" s="380"/>
      <c r="G112" s="310" t="s">
        <v>603</v>
      </c>
      <c r="H112" s="311"/>
      <c r="I112" s="310"/>
      <c r="J112" s="366"/>
    </row>
    <row r="113" spans="1:10" s="371" customFormat="1" hidden="1" outlineLevel="1">
      <c r="A113" s="390"/>
      <c r="B113" s="352">
        <v>10</v>
      </c>
      <c r="C113" s="353" t="s">
        <v>1340</v>
      </c>
      <c r="D113" s="391"/>
      <c r="E113" s="380"/>
      <c r="F113" s="380"/>
      <c r="G113" s="310"/>
      <c r="H113" s="311"/>
      <c r="I113" s="310"/>
      <c r="J113" s="366"/>
    </row>
    <row r="114" spans="1:10" s="371" customFormat="1" hidden="1" outlineLevel="1">
      <c r="A114" s="390"/>
      <c r="B114" s="352">
        <v>11</v>
      </c>
      <c r="C114" s="353" t="s">
        <v>659</v>
      </c>
      <c r="D114" s="391"/>
      <c r="E114" s="380"/>
      <c r="F114" s="380"/>
      <c r="G114" s="310"/>
      <c r="H114" s="311"/>
      <c r="I114" s="310"/>
      <c r="J114" s="366"/>
    </row>
    <row r="115" spans="1:10" s="371" customFormat="1" ht="90" hidden="1" outlineLevel="1">
      <c r="A115" s="390"/>
      <c r="B115" s="382" t="s">
        <v>635</v>
      </c>
      <c r="C115" s="348" t="s">
        <v>1379</v>
      </c>
      <c r="D115" s="391"/>
      <c r="E115" s="380"/>
      <c r="F115" s="380"/>
      <c r="G115" s="310"/>
      <c r="H115" s="311"/>
      <c r="I115" s="310"/>
      <c r="J115" s="366"/>
    </row>
    <row r="116" spans="1:10" s="371" customFormat="1" hidden="1" outlineLevel="1">
      <c r="A116" s="390"/>
      <c r="B116" s="354">
        <v>12</v>
      </c>
      <c r="C116" s="359" t="s">
        <v>630</v>
      </c>
      <c r="D116" s="391"/>
      <c r="E116" s="380"/>
      <c r="F116" s="380"/>
      <c r="G116" s="310"/>
      <c r="H116" s="311"/>
      <c r="I116" s="310"/>
      <c r="J116" s="366"/>
    </row>
    <row r="117" spans="1:10" s="371" customFormat="1" hidden="1" outlineLevel="1">
      <c r="A117" s="390"/>
      <c r="B117" s="352" t="s">
        <v>636</v>
      </c>
      <c r="C117" s="353" t="s">
        <v>631</v>
      </c>
      <c r="D117" s="391"/>
      <c r="E117" s="380"/>
      <c r="F117" s="380"/>
      <c r="G117" s="310"/>
      <c r="H117" s="311"/>
      <c r="I117" s="310"/>
      <c r="J117" s="366"/>
    </row>
    <row r="118" spans="1:10" s="276" customFormat="1" collapsed="1">
      <c r="A118" s="333" t="s">
        <v>23</v>
      </c>
      <c r="B118" s="333" t="s">
        <v>1380</v>
      </c>
      <c r="C118" s="332" t="s">
        <v>1381</v>
      </c>
      <c r="D118" s="334" t="s">
        <v>604</v>
      </c>
      <c r="E118" s="286" t="s">
        <v>596</v>
      </c>
      <c r="F118" s="334" t="str">
        <f>IF(H118&gt;0,"F",IF(I118&gt;0,"A",IF(G118&gt;0,"P","NT")))</f>
        <v>P</v>
      </c>
      <c r="G118" s="334">
        <f>COUNTA(G119:G137)</f>
        <v>12</v>
      </c>
      <c r="H118" s="334">
        <f>COUNTA(H119:H137)</f>
        <v>0</v>
      </c>
      <c r="I118" s="334">
        <f>COUNTA(I119:I137)</f>
        <v>0</v>
      </c>
      <c r="J118" s="365">
        <f>COUNTA(J119:J137)</f>
        <v>0</v>
      </c>
    </row>
    <row r="119" spans="1:10" s="371" customFormat="1" hidden="1" outlineLevel="1">
      <c r="A119" s="390"/>
      <c r="B119" s="351" t="s">
        <v>598</v>
      </c>
      <c r="C119" s="348" t="s">
        <v>1324</v>
      </c>
      <c r="D119" s="391"/>
      <c r="E119" s="380"/>
      <c r="F119" s="380"/>
      <c r="G119" s="310"/>
      <c r="H119" s="311"/>
      <c r="I119" s="310"/>
      <c r="J119" s="366"/>
    </row>
    <row r="120" spans="1:10" s="371" customFormat="1" hidden="1" outlineLevel="1">
      <c r="A120" s="390"/>
      <c r="B120" s="351" t="s">
        <v>599</v>
      </c>
      <c r="C120" s="348" t="s">
        <v>1382</v>
      </c>
      <c r="D120" s="391"/>
      <c r="E120" s="380"/>
      <c r="F120" s="380"/>
      <c r="G120" s="310"/>
      <c r="H120" s="311"/>
      <c r="I120" s="310"/>
      <c r="J120" s="366"/>
    </row>
    <row r="121" spans="1:10" s="371" customFormat="1" hidden="1" outlineLevel="1">
      <c r="A121" s="390"/>
      <c r="B121" s="382" t="s">
        <v>634</v>
      </c>
      <c r="C121" s="348" t="s">
        <v>648</v>
      </c>
      <c r="D121" s="391"/>
      <c r="E121" s="380"/>
      <c r="F121" s="380"/>
      <c r="G121" s="310" t="s">
        <v>603</v>
      </c>
      <c r="H121" s="311"/>
      <c r="I121" s="310"/>
      <c r="J121" s="366"/>
    </row>
    <row r="122" spans="1:10" s="371" customFormat="1" hidden="1" outlineLevel="1">
      <c r="A122" s="390"/>
      <c r="B122" s="352">
        <v>1</v>
      </c>
      <c r="C122" s="353" t="s">
        <v>621</v>
      </c>
      <c r="D122" s="391"/>
      <c r="E122" s="380"/>
      <c r="F122" s="380"/>
      <c r="G122" s="310" t="s">
        <v>603</v>
      </c>
      <c r="H122" s="311"/>
      <c r="I122" s="310"/>
      <c r="J122" s="366"/>
    </row>
    <row r="123" spans="1:10" s="371" customFormat="1" hidden="1" outlineLevel="1">
      <c r="A123" s="390"/>
      <c r="B123" s="352">
        <v>2</v>
      </c>
      <c r="C123" s="353" t="s">
        <v>1345</v>
      </c>
      <c r="D123" s="391"/>
      <c r="E123" s="380"/>
      <c r="F123" s="380"/>
      <c r="G123" s="310" t="s">
        <v>603</v>
      </c>
      <c r="H123" s="311"/>
      <c r="I123" s="310"/>
      <c r="J123" s="366"/>
    </row>
    <row r="124" spans="1:10" s="371" customFormat="1" hidden="1" outlineLevel="1">
      <c r="A124" s="390"/>
      <c r="B124" s="352">
        <v>3</v>
      </c>
      <c r="C124" s="353" t="s">
        <v>1346</v>
      </c>
      <c r="D124" s="391"/>
      <c r="E124" s="380"/>
      <c r="F124" s="380"/>
      <c r="G124" s="310" t="s">
        <v>603</v>
      </c>
      <c r="H124" s="311"/>
      <c r="I124" s="310"/>
      <c r="J124" s="366"/>
    </row>
    <row r="125" spans="1:10" s="371" customFormat="1" hidden="1" outlineLevel="1">
      <c r="A125" s="390"/>
      <c r="B125" s="352">
        <v>4</v>
      </c>
      <c r="C125" s="353" t="s">
        <v>1383</v>
      </c>
      <c r="D125" s="391"/>
      <c r="E125" s="380"/>
      <c r="F125" s="380"/>
      <c r="G125" s="310" t="s">
        <v>603</v>
      </c>
      <c r="H125" s="311"/>
      <c r="I125" s="310"/>
      <c r="J125" s="366"/>
    </row>
    <row r="126" spans="1:10" s="371" customFormat="1" hidden="1" outlineLevel="1">
      <c r="A126" s="390"/>
      <c r="B126" s="352">
        <v>5</v>
      </c>
      <c r="C126" s="353" t="s">
        <v>1384</v>
      </c>
      <c r="D126" s="391"/>
      <c r="E126" s="380"/>
      <c r="F126" s="380"/>
      <c r="G126" s="310" t="s">
        <v>603</v>
      </c>
      <c r="H126" s="311"/>
      <c r="I126" s="310"/>
      <c r="J126" s="366"/>
    </row>
    <row r="127" spans="1:10" s="371" customFormat="1" hidden="1" outlineLevel="1">
      <c r="A127" s="390"/>
      <c r="B127" s="352">
        <v>6</v>
      </c>
      <c r="C127" s="353" t="s">
        <v>1378</v>
      </c>
      <c r="D127" s="391"/>
      <c r="E127" s="380"/>
      <c r="F127" s="380"/>
      <c r="G127" s="310" t="s">
        <v>603</v>
      </c>
      <c r="H127" s="311"/>
      <c r="I127" s="310"/>
      <c r="J127" s="366"/>
    </row>
    <row r="128" spans="1:10" s="371" customFormat="1" hidden="1" outlineLevel="1">
      <c r="A128" s="390"/>
      <c r="B128" s="352">
        <v>7</v>
      </c>
      <c r="C128" s="353" t="s">
        <v>1385</v>
      </c>
      <c r="D128" s="391"/>
      <c r="E128" s="380"/>
      <c r="F128" s="380"/>
      <c r="G128" s="310" t="s">
        <v>603</v>
      </c>
      <c r="H128" s="311"/>
      <c r="I128" s="310"/>
      <c r="J128" s="366"/>
    </row>
    <row r="129" spans="1:10" s="371" customFormat="1" hidden="1" outlineLevel="1">
      <c r="A129" s="390"/>
      <c r="B129" s="352">
        <v>8</v>
      </c>
      <c r="C129" s="353" t="s">
        <v>1386</v>
      </c>
      <c r="D129" s="391"/>
      <c r="E129" s="380"/>
      <c r="F129" s="380"/>
      <c r="G129" s="310" t="s">
        <v>603</v>
      </c>
      <c r="H129" s="311"/>
      <c r="I129" s="310"/>
      <c r="J129" s="366"/>
    </row>
    <row r="130" spans="1:10" s="371" customFormat="1" hidden="1" outlineLevel="1">
      <c r="A130" s="390"/>
      <c r="B130" s="352">
        <v>9</v>
      </c>
      <c r="C130" s="353" t="s">
        <v>1338</v>
      </c>
      <c r="D130" s="391"/>
      <c r="E130" s="380"/>
      <c r="F130" s="380"/>
      <c r="G130" s="310" t="s">
        <v>603</v>
      </c>
      <c r="H130" s="311"/>
      <c r="I130" s="310"/>
      <c r="J130" s="366"/>
    </row>
    <row r="131" spans="1:10" s="371" customFormat="1" hidden="1" outlineLevel="1">
      <c r="A131" s="390"/>
      <c r="B131" s="352">
        <v>10</v>
      </c>
      <c r="C131" s="353" t="s">
        <v>1371</v>
      </c>
      <c r="D131" s="391"/>
      <c r="E131" s="380"/>
      <c r="F131" s="380"/>
      <c r="G131" s="310" t="s">
        <v>603</v>
      </c>
      <c r="H131" s="311"/>
      <c r="I131" s="310"/>
      <c r="J131" s="366"/>
    </row>
    <row r="132" spans="1:10" s="371" customFormat="1" hidden="1" outlineLevel="1">
      <c r="A132" s="390"/>
      <c r="B132" s="349">
        <v>11</v>
      </c>
      <c r="C132" s="359" t="s">
        <v>632</v>
      </c>
      <c r="D132" s="391"/>
      <c r="E132" s="380"/>
      <c r="F132" s="380"/>
      <c r="G132" s="310" t="s">
        <v>603</v>
      </c>
      <c r="H132" s="311"/>
      <c r="I132" s="310"/>
      <c r="J132" s="366"/>
    </row>
    <row r="133" spans="1:10" s="371" customFormat="1" hidden="1" outlineLevel="1">
      <c r="A133" s="390"/>
      <c r="B133" s="352">
        <v>12</v>
      </c>
      <c r="C133" s="353" t="s">
        <v>1340</v>
      </c>
      <c r="D133" s="391"/>
      <c r="E133" s="380"/>
      <c r="F133" s="380"/>
      <c r="G133" s="310"/>
      <c r="H133" s="311"/>
      <c r="I133" s="310"/>
      <c r="J133" s="366"/>
    </row>
    <row r="134" spans="1:10" s="371" customFormat="1" hidden="1" outlineLevel="1">
      <c r="A134" s="390"/>
      <c r="B134" s="352">
        <v>13</v>
      </c>
      <c r="C134" s="353" t="s">
        <v>659</v>
      </c>
      <c r="D134" s="391"/>
      <c r="E134" s="380"/>
      <c r="F134" s="380"/>
      <c r="G134" s="310"/>
      <c r="H134" s="311"/>
      <c r="I134" s="310"/>
      <c r="J134" s="366"/>
    </row>
    <row r="135" spans="1:10" s="455" customFormat="1" ht="180" hidden="1" outlineLevel="1">
      <c r="A135" s="460"/>
      <c r="B135" s="461" t="s">
        <v>635</v>
      </c>
      <c r="C135" s="348" t="s">
        <v>1463</v>
      </c>
      <c r="D135" s="452"/>
      <c r="E135" s="380"/>
      <c r="F135" s="380"/>
      <c r="G135" s="310"/>
      <c r="H135" s="311"/>
      <c r="I135" s="310"/>
      <c r="J135" s="366"/>
    </row>
    <row r="136" spans="1:10" s="371" customFormat="1" hidden="1" outlineLevel="1">
      <c r="A136" s="390"/>
      <c r="B136" s="354">
        <v>14</v>
      </c>
      <c r="C136" s="359" t="s">
        <v>630</v>
      </c>
      <c r="D136" s="391"/>
      <c r="E136" s="380"/>
      <c r="F136" s="380"/>
      <c r="G136" s="310"/>
      <c r="H136" s="311"/>
      <c r="I136" s="310"/>
      <c r="J136" s="366"/>
    </row>
    <row r="137" spans="1:10" s="371" customFormat="1" hidden="1" outlineLevel="1">
      <c r="A137" s="390"/>
      <c r="B137" s="352" t="s">
        <v>636</v>
      </c>
      <c r="C137" s="353" t="s">
        <v>631</v>
      </c>
      <c r="D137" s="391"/>
      <c r="E137" s="380"/>
      <c r="F137" s="380"/>
      <c r="G137" s="310"/>
      <c r="H137" s="311"/>
      <c r="I137" s="310"/>
      <c r="J137" s="366"/>
    </row>
    <row r="138" spans="1:10" s="433" customFormat="1">
      <c r="A138" s="428"/>
      <c r="B138" s="429"/>
      <c r="C138" s="430"/>
      <c r="D138" s="431"/>
      <c r="E138" s="428"/>
      <c r="F138" s="428"/>
      <c r="G138" s="428"/>
      <c r="H138" s="428"/>
      <c r="I138" s="428"/>
      <c r="J138" s="432"/>
    </row>
  </sheetData>
  <mergeCells count="12">
    <mergeCell ref="A6:I6"/>
    <mergeCell ref="A7:B7"/>
    <mergeCell ref="C7:I7"/>
    <mergeCell ref="A8:I8"/>
    <mergeCell ref="D9:I9"/>
    <mergeCell ref="A5:B5"/>
    <mergeCell ref="C5:I5"/>
    <mergeCell ref="A1:I1"/>
    <mergeCell ref="A2:I2"/>
    <mergeCell ref="A3:B3"/>
    <mergeCell ref="C3:I3"/>
    <mergeCell ref="A4:I4"/>
  </mergeCells>
  <conditionalFormatting sqref="E10:E11 E138:E65583">
    <cfRule type="cellIs" dxfId="250" priority="31" operator="equal">
      <formula>"Ready to Test"</formula>
    </cfRule>
    <cfRule type="cellIs" dxfId="249" priority="32" operator="equal">
      <formula>"Do Not Test"</formula>
    </cfRule>
    <cfRule type="cellIs" dxfId="248" priority="33" operator="equal">
      <formula>"Ready for Retest"</formula>
    </cfRule>
    <cfRule type="cellIs" dxfId="247" priority="34" operator="equal">
      <formula>"Passed"</formula>
    </cfRule>
  </conditionalFormatting>
  <conditionalFormatting sqref="E3 E7 E5">
    <cfRule type="cellIs" dxfId="246" priority="29" stopIfTrue="1" operator="equal">
      <formula>"Ready to Test"</formula>
    </cfRule>
    <cfRule type="cellIs" dxfId="245" priority="30" stopIfTrue="1" operator="equal">
      <formula>"Do Not Test"</formula>
    </cfRule>
  </conditionalFormatting>
  <conditionalFormatting sqref="E12 E39 E57 E81 E100 E118">
    <cfRule type="cellIs" dxfId="244" priority="28" stopIfTrue="1" operator="equal">
      <formula>"Do Not Test"</formula>
    </cfRule>
  </conditionalFormatting>
  <conditionalFormatting sqref="E12 E39 E57 E81 E100 E118">
    <cfRule type="cellIs" dxfId="243" priority="27" stopIfTrue="1" operator="equal">
      <formula>"Ready To Test"</formula>
    </cfRule>
  </conditionalFormatting>
  <conditionalFormatting sqref="I12:J137">
    <cfRule type="cellIs" dxfId="242" priority="26" operator="greaterThan">
      <formula>0</formula>
    </cfRule>
  </conditionalFormatting>
  <conditionalFormatting sqref="H11:H137">
    <cfRule type="cellIs" dxfId="241" priority="25" operator="greaterThan">
      <formula>0</formula>
    </cfRule>
  </conditionalFormatting>
  <conditionalFormatting sqref="G12:G137">
    <cfRule type="cellIs" dxfId="240" priority="24" operator="greaterThan">
      <formula>0</formula>
    </cfRule>
  </conditionalFormatting>
  <conditionalFormatting sqref="F12 F39 F57 F81 F100 F118">
    <cfRule type="cellIs" dxfId="239" priority="23" operator="equal">
      <formula>"A"</formula>
    </cfRule>
  </conditionalFormatting>
  <conditionalFormatting sqref="F12 F39 F57 F81 F100 F118">
    <cfRule type="cellIs" dxfId="238" priority="21" operator="equal">
      <formula>"F"</formula>
    </cfRule>
    <cfRule type="cellIs" dxfId="237" priority="22" operator="equal">
      <formula>"p"</formula>
    </cfRule>
  </conditionalFormatting>
  <hyperlinks>
    <hyperlink ref="C9" r:id="rId1"/>
  </hyperlinks>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sheetPr>
    <tabColor theme="9"/>
    <outlinePr summaryBelow="0"/>
  </sheetPr>
  <dimension ref="A1:K77"/>
  <sheetViews>
    <sheetView zoomScaleNormal="100" workbookViewId="0">
      <selection sqref="A1:I1"/>
    </sheetView>
  </sheetViews>
  <sheetFormatPr defaultRowHeight="15" outlineLevelRow="1"/>
  <cols>
    <col min="1" max="1" width="8.7109375" style="320" bestFit="1" customWidth="1"/>
    <col min="2" max="2" width="20.85546875" style="324" customWidth="1"/>
    <col min="3" max="3" width="70.140625" style="328" customWidth="1"/>
    <col min="4" max="4" width="10.28515625" style="326" bestFit="1" customWidth="1"/>
    <col min="5" max="5" width="13.28515625" style="320" bestFit="1" customWidth="1"/>
    <col min="6" max="6" width="9.85546875" style="320" bestFit="1" customWidth="1"/>
    <col min="7" max="7" width="8.28515625" style="320" bestFit="1" customWidth="1"/>
    <col min="8" max="8" width="7.5703125" style="320" customWidth="1"/>
    <col min="9" max="9" width="10.5703125" style="320" bestFit="1" customWidth="1"/>
    <col min="10" max="10" width="55.85546875" style="369" customWidth="1"/>
    <col min="11" max="16384" width="9.140625" style="372"/>
  </cols>
  <sheetData>
    <row r="1" spans="1:10" s="397" customFormat="1">
      <c r="A1" s="529" t="s">
        <v>1489</v>
      </c>
      <c r="B1" s="529"/>
      <c r="C1" s="529"/>
      <c r="D1" s="529"/>
      <c r="E1" s="529"/>
      <c r="F1" s="529"/>
      <c r="G1" s="529"/>
      <c r="H1" s="529"/>
      <c r="I1" s="529"/>
      <c r="J1" s="330"/>
    </row>
    <row r="2" spans="1:10" s="398" customFormat="1">
      <c r="A2" s="530"/>
      <c r="B2" s="530"/>
      <c r="C2" s="531"/>
      <c r="D2" s="531"/>
      <c r="E2" s="531"/>
      <c r="F2" s="531"/>
      <c r="G2" s="531"/>
      <c r="H2" s="531"/>
      <c r="I2" s="531"/>
      <c r="J2" s="368"/>
    </row>
    <row r="3" spans="1:10" s="398" customFormat="1" ht="33.75" customHeight="1">
      <c r="A3" s="532" t="s">
        <v>1227</v>
      </c>
      <c r="B3" s="533"/>
      <c r="C3" s="521" t="s">
        <v>1228</v>
      </c>
      <c r="D3" s="522"/>
      <c r="E3" s="522"/>
      <c r="F3" s="522"/>
      <c r="G3" s="522"/>
      <c r="H3" s="522"/>
      <c r="I3" s="523"/>
      <c r="J3" s="409"/>
    </row>
    <row r="4" spans="1:10" s="398" customFormat="1">
      <c r="A4" s="534"/>
      <c r="B4" s="535"/>
      <c r="C4" s="536"/>
      <c r="D4" s="536"/>
      <c r="E4" s="536"/>
      <c r="F4" s="536"/>
      <c r="G4" s="536"/>
      <c r="H4" s="536"/>
      <c r="I4" s="536"/>
      <c r="J4" s="368"/>
    </row>
    <row r="5" spans="1:10" s="397" customFormat="1" ht="30" customHeight="1">
      <c r="A5" s="519" t="s">
        <v>594</v>
      </c>
      <c r="B5" s="520"/>
      <c r="C5" s="526" t="s">
        <v>1387</v>
      </c>
      <c r="D5" s="527"/>
      <c r="E5" s="527"/>
      <c r="F5" s="527"/>
      <c r="G5" s="527"/>
      <c r="H5" s="527"/>
      <c r="I5" s="528"/>
      <c r="J5" s="330"/>
    </row>
    <row r="6" spans="1:10" s="397" customFormat="1">
      <c r="A6" s="516"/>
      <c r="B6" s="517"/>
      <c r="C6" s="518"/>
      <c r="D6" s="518"/>
      <c r="E6" s="518"/>
      <c r="F6" s="518"/>
      <c r="G6" s="518"/>
      <c r="H6" s="518"/>
      <c r="I6" s="518"/>
      <c r="J6" s="367"/>
    </row>
    <row r="7" spans="1:10" s="397" customFormat="1" ht="17.25" customHeight="1">
      <c r="A7" s="519" t="s">
        <v>1229</v>
      </c>
      <c r="B7" s="520"/>
      <c r="C7" s="521" t="s">
        <v>1388</v>
      </c>
      <c r="D7" s="522"/>
      <c r="E7" s="522"/>
      <c r="F7" s="522"/>
      <c r="G7" s="522"/>
      <c r="H7" s="522"/>
      <c r="I7" s="523"/>
      <c r="J7" s="330"/>
    </row>
    <row r="8" spans="1:10" s="399" customFormat="1">
      <c r="A8" s="524"/>
      <c r="B8" s="524"/>
      <c r="C8" s="524"/>
      <c r="D8" s="524"/>
      <c r="E8" s="524"/>
      <c r="F8" s="524"/>
      <c r="G8" s="524"/>
      <c r="H8" s="524"/>
      <c r="I8" s="524"/>
      <c r="J8" s="363"/>
    </row>
    <row r="9" spans="1:10" ht="27.75" customHeight="1">
      <c r="A9" s="410" t="s">
        <v>1231</v>
      </c>
      <c r="B9" s="411"/>
      <c r="C9" s="412" t="s">
        <v>1232</v>
      </c>
      <c r="D9" s="525"/>
      <c r="E9" s="525"/>
      <c r="F9" s="525"/>
      <c r="G9" s="525"/>
      <c r="H9" s="525"/>
      <c r="I9" s="525"/>
      <c r="J9" s="413"/>
    </row>
    <row r="10" spans="1:10">
      <c r="A10" s="321"/>
      <c r="B10" s="323"/>
      <c r="C10" s="327"/>
      <c r="D10" s="325"/>
      <c r="E10" s="322"/>
      <c r="F10" s="322"/>
      <c r="G10" s="322"/>
      <c r="H10" s="322"/>
      <c r="I10" s="322"/>
      <c r="J10" s="370"/>
    </row>
    <row r="11" spans="1:10" s="216" customFormat="1" ht="29.25" customHeight="1">
      <c r="A11" s="385" t="s">
        <v>0</v>
      </c>
      <c r="B11" s="379" t="s">
        <v>226</v>
      </c>
      <c r="C11" s="386" t="s">
        <v>540</v>
      </c>
      <c r="D11" s="386" t="s">
        <v>595</v>
      </c>
      <c r="E11" s="387" t="s">
        <v>214</v>
      </c>
      <c r="F11" s="387" t="s">
        <v>584</v>
      </c>
      <c r="G11" s="388" t="s">
        <v>2</v>
      </c>
      <c r="H11" s="389" t="s">
        <v>579</v>
      </c>
      <c r="I11" s="331" t="s">
        <v>583</v>
      </c>
      <c r="J11" s="331" t="s">
        <v>1</v>
      </c>
    </row>
    <row r="12" spans="1:10" s="276" customFormat="1" collapsed="1">
      <c r="A12" s="333" t="s">
        <v>23</v>
      </c>
      <c r="B12" s="333" t="s">
        <v>1389</v>
      </c>
      <c r="C12" s="332" t="s">
        <v>1390</v>
      </c>
      <c r="D12" s="334" t="s">
        <v>604</v>
      </c>
      <c r="E12" s="286" t="s">
        <v>596</v>
      </c>
      <c r="F12" s="334" t="str">
        <f>IF(H12&gt;0,"F",IF(I12&gt;0,"A",IF(G12&gt;0,"P","NT")))</f>
        <v>P</v>
      </c>
      <c r="G12" s="334">
        <f>COUNTA(G13:G33)</f>
        <v>1</v>
      </c>
      <c r="H12" s="334">
        <f>COUNTA(H13:H33)</f>
        <v>0</v>
      </c>
      <c r="I12" s="334">
        <f>COUNTA(I13:I33)</f>
        <v>0</v>
      </c>
      <c r="J12" s="365">
        <f>COUNTA(J13:J33)</f>
        <v>0</v>
      </c>
    </row>
    <row r="13" spans="1:10" s="371" customFormat="1" hidden="1" outlineLevel="1">
      <c r="A13" s="390"/>
      <c r="B13" s="351" t="s">
        <v>598</v>
      </c>
      <c r="C13" s="348" t="s">
        <v>1391</v>
      </c>
      <c r="D13" s="391"/>
      <c r="E13" s="380"/>
      <c r="F13" s="380"/>
      <c r="G13" s="310"/>
      <c r="H13" s="311"/>
      <c r="I13" s="310"/>
      <c r="J13" s="366"/>
    </row>
    <row r="14" spans="1:10" s="371" customFormat="1" hidden="1" outlineLevel="1">
      <c r="A14" s="390"/>
      <c r="B14" s="351" t="s">
        <v>599</v>
      </c>
      <c r="C14" s="348" t="s">
        <v>620</v>
      </c>
      <c r="D14" s="391"/>
      <c r="E14" s="380"/>
      <c r="F14" s="380"/>
      <c r="G14" s="310"/>
      <c r="H14" s="311"/>
      <c r="I14" s="310"/>
      <c r="J14" s="366"/>
    </row>
    <row r="15" spans="1:10" s="371" customFormat="1" hidden="1" outlineLevel="1">
      <c r="A15" s="390"/>
      <c r="B15" s="382" t="s">
        <v>634</v>
      </c>
      <c r="C15" s="348" t="s">
        <v>648</v>
      </c>
      <c r="D15" s="391"/>
      <c r="E15" s="380"/>
      <c r="F15" s="380"/>
      <c r="G15" s="310"/>
      <c r="H15" s="311"/>
      <c r="I15" s="310"/>
      <c r="J15" s="366"/>
    </row>
    <row r="16" spans="1:10" s="371" customFormat="1" hidden="1" outlineLevel="1">
      <c r="A16" s="390"/>
      <c r="B16" s="352">
        <v>1</v>
      </c>
      <c r="C16" s="353" t="s">
        <v>621</v>
      </c>
      <c r="D16" s="391"/>
      <c r="E16" s="380"/>
      <c r="F16" s="380"/>
      <c r="G16" s="310"/>
      <c r="H16" s="311"/>
      <c r="I16" s="310"/>
      <c r="J16" s="366"/>
    </row>
    <row r="17" spans="1:10" s="371" customFormat="1" ht="30" hidden="1" outlineLevel="1">
      <c r="A17" s="390"/>
      <c r="B17" s="352">
        <v>2</v>
      </c>
      <c r="C17" s="353" t="s">
        <v>1392</v>
      </c>
      <c r="D17" s="391"/>
      <c r="E17" s="380"/>
      <c r="F17" s="380"/>
      <c r="G17" s="310"/>
      <c r="H17" s="311"/>
      <c r="I17" s="310"/>
      <c r="J17" s="366"/>
    </row>
    <row r="18" spans="1:10" s="371" customFormat="1" hidden="1" outlineLevel="1">
      <c r="A18" s="390"/>
      <c r="B18" s="352">
        <v>3</v>
      </c>
      <c r="C18" s="353" t="s">
        <v>623</v>
      </c>
      <c r="D18" s="391"/>
      <c r="E18" s="380"/>
      <c r="F18" s="380"/>
      <c r="G18" s="310"/>
      <c r="H18" s="311"/>
      <c r="I18" s="310"/>
      <c r="J18" s="366"/>
    </row>
    <row r="19" spans="1:10" s="371" customFormat="1" hidden="1" outlineLevel="1">
      <c r="A19" s="390"/>
      <c r="B19" s="352">
        <v>4</v>
      </c>
      <c r="C19" s="353" t="s">
        <v>622</v>
      </c>
      <c r="D19" s="391"/>
      <c r="E19" s="380"/>
      <c r="F19" s="380"/>
      <c r="G19" s="310"/>
      <c r="H19" s="311"/>
      <c r="I19" s="310"/>
      <c r="J19" s="366"/>
    </row>
    <row r="20" spans="1:10" s="371" customFormat="1" hidden="1" outlineLevel="1">
      <c r="A20" s="390"/>
      <c r="B20" s="352">
        <v>5</v>
      </c>
      <c r="C20" s="353" t="s">
        <v>1393</v>
      </c>
      <c r="D20" s="391"/>
      <c r="E20" s="380"/>
      <c r="F20" s="380"/>
      <c r="G20" s="310"/>
      <c r="H20" s="311"/>
      <c r="I20" s="310"/>
      <c r="J20" s="366"/>
    </row>
    <row r="21" spans="1:10" s="371" customFormat="1" hidden="1" outlineLevel="1">
      <c r="A21" s="390"/>
      <c r="B21" s="352">
        <v>6</v>
      </c>
      <c r="C21" s="353" t="s">
        <v>1394</v>
      </c>
      <c r="D21" s="391"/>
      <c r="E21" s="380"/>
      <c r="F21" s="380"/>
      <c r="G21" s="310" t="s">
        <v>603</v>
      </c>
      <c r="H21" s="311"/>
      <c r="I21" s="310"/>
      <c r="J21" s="366"/>
    </row>
    <row r="22" spans="1:10" s="371" customFormat="1" hidden="1" outlineLevel="1">
      <c r="A22" s="390"/>
      <c r="B22" s="352">
        <v>7</v>
      </c>
      <c r="C22" s="353" t="s">
        <v>1395</v>
      </c>
      <c r="D22" s="391"/>
      <c r="E22" s="380"/>
      <c r="F22" s="380"/>
      <c r="G22" s="310"/>
      <c r="H22" s="311"/>
      <c r="I22" s="310"/>
      <c r="J22" s="366"/>
    </row>
    <row r="23" spans="1:10" s="371" customFormat="1" hidden="1" outlineLevel="1">
      <c r="A23" s="390"/>
      <c r="B23" s="352">
        <v>8</v>
      </c>
      <c r="C23" s="353" t="s">
        <v>1396</v>
      </c>
      <c r="D23" s="391"/>
      <c r="E23" s="380"/>
      <c r="F23" s="380"/>
      <c r="G23" s="310"/>
      <c r="H23" s="311"/>
      <c r="I23" s="310"/>
      <c r="J23" s="366"/>
    </row>
    <row r="24" spans="1:10" s="371" customFormat="1" hidden="1" outlineLevel="1">
      <c r="A24" s="390"/>
      <c r="B24" s="352">
        <v>9</v>
      </c>
      <c r="C24" s="353" t="s">
        <v>694</v>
      </c>
      <c r="D24" s="391"/>
      <c r="E24" s="380"/>
      <c r="F24" s="380"/>
      <c r="G24" s="310"/>
      <c r="H24" s="311"/>
      <c r="I24" s="310"/>
      <c r="J24" s="366"/>
    </row>
    <row r="25" spans="1:10" s="371" customFormat="1" hidden="1" outlineLevel="1">
      <c r="A25" s="390"/>
      <c r="B25" s="352">
        <v>10</v>
      </c>
      <c r="C25" s="353" t="s">
        <v>624</v>
      </c>
      <c r="D25" s="391"/>
      <c r="E25" s="380"/>
      <c r="F25" s="380"/>
      <c r="G25" s="310"/>
      <c r="H25" s="311"/>
      <c r="I25" s="310"/>
      <c r="J25" s="366"/>
    </row>
    <row r="26" spans="1:10" s="371" customFormat="1" ht="60" hidden="1" outlineLevel="1">
      <c r="A26" s="390"/>
      <c r="B26" s="382" t="s">
        <v>635</v>
      </c>
      <c r="C26" s="348" t="s">
        <v>1397</v>
      </c>
      <c r="D26" s="391"/>
      <c r="E26" s="380"/>
      <c r="F26" s="380"/>
      <c r="G26" s="310"/>
      <c r="H26" s="311"/>
      <c r="I26" s="310"/>
      <c r="J26" s="366"/>
    </row>
    <row r="27" spans="1:10" s="371" customFormat="1" hidden="1" outlineLevel="1">
      <c r="A27" s="390"/>
      <c r="B27" s="352">
        <v>11</v>
      </c>
      <c r="C27" s="353" t="s">
        <v>658</v>
      </c>
      <c r="D27" s="391"/>
      <c r="E27" s="380"/>
      <c r="F27" s="380"/>
      <c r="G27" s="310"/>
      <c r="H27" s="311"/>
      <c r="I27" s="310"/>
      <c r="J27" s="366"/>
    </row>
    <row r="28" spans="1:10" s="371" customFormat="1" hidden="1" outlineLevel="1">
      <c r="A28" s="390"/>
      <c r="B28" s="349">
        <v>12</v>
      </c>
      <c r="C28" s="359" t="s">
        <v>632</v>
      </c>
      <c r="D28" s="391"/>
      <c r="E28" s="380"/>
      <c r="F28" s="380"/>
      <c r="G28" s="310"/>
      <c r="H28" s="311"/>
      <c r="I28" s="310"/>
      <c r="J28" s="366"/>
    </row>
    <row r="29" spans="1:10" s="371" customFormat="1" hidden="1" outlineLevel="1">
      <c r="A29" s="390"/>
      <c r="B29" s="352">
        <v>13</v>
      </c>
      <c r="C29" s="353" t="s">
        <v>1398</v>
      </c>
      <c r="D29" s="391"/>
      <c r="E29" s="380"/>
      <c r="F29" s="380"/>
      <c r="G29" s="310"/>
      <c r="H29" s="311"/>
      <c r="I29" s="310"/>
      <c r="J29" s="366"/>
    </row>
    <row r="30" spans="1:10" s="371" customFormat="1" hidden="1" outlineLevel="1">
      <c r="A30" s="390"/>
      <c r="B30" s="352">
        <v>14</v>
      </c>
      <c r="C30" s="353" t="s">
        <v>659</v>
      </c>
      <c r="D30" s="391"/>
      <c r="E30" s="380"/>
      <c r="F30" s="380"/>
      <c r="G30" s="310"/>
      <c r="H30" s="311"/>
      <c r="I30" s="310"/>
      <c r="J30" s="366"/>
    </row>
    <row r="31" spans="1:10" s="371" customFormat="1" ht="45" hidden="1" outlineLevel="1">
      <c r="A31" s="390"/>
      <c r="B31" s="382" t="s">
        <v>636</v>
      </c>
      <c r="C31" s="348" t="s">
        <v>1399</v>
      </c>
      <c r="D31" s="391"/>
      <c r="E31" s="380"/>
      <c r="F31" s="380"/>
      <c r="G31" s="310"/>
      <c r="H31" s="311"/>
      <c r="I31" s="310"/>
      <c r="J31" s="366"/>
    </row>
    <row r="32" spans="1:10" s="371" customFormat="1" hidden="1" outlineLevel="1">
      <c r="A32" s="390"/>
      <c r="B32" s="354">
        <v>15</v>
      </c>
      <c r="C32" s="359" t="s">
        <v>630</v>
      </c>
      <c r="D32" s="391"/>
      <c r="E32" s="380"/>
      <c r="F32" s="380"/>
      <c r="G32" s="310"/>
      <c r="H32" s="311"/>
      <c r="I32" s="310"/>
      <c r="J32" s="366"/>
    </row>
    <row r="33" spans="1:10" s="371" customFormat="1" hidden="1" outlineLevel="1">
      <c r="A33" s="390"/>
      <c r="B33" s="352" t="s">
        <v>637</v>
      </c>
      <c r="C33" s="353" t="s">
        <v>631</v>
      </c>
      <c r="D33" s="391"/>
      <c r="E33" s="380"/>
      <c r="F33" s="380"/>
      <c r="G33" s="310"/>
      <c r="H33" s="311"/>
      <c r="I33" s="310"/>
      <c r="J33" s="366"/>
    </row>
    <row r="34" spans="1:10" s="276" customFormat="1" collapsed="1">
      <c r="A34" s="333" t="s">
        <v>23</v>
      </c>
      <c r="B34" s="333" t="s">
        <v>1400</v>
      </c>
      <c r="C34" s="332" t="s">
        <v>1401</v>
      </c>
      <c r="D34" s="334" t="s">
        <v>604</v>
      </c>
      <c r="E34" s="286" t="s">
        <v>596</v>
      </c>
      <c r="F34" s="334" t="str">
        <f>IF(H34&gt;0,"F",IF(I34&gt;0,"A",IF(G34&gt;0,"P","NT")))</f>
        <v>P</v>
      </c>
      <c r="G34" s="334">
        <f>COUNTA(G35:G46)</f>
        <v>1</v>
      </c>
      <c r="H34" s="334">
        <f>COUNTA(H35:H46)</f>
        <v>0</v>
      </c>
      <c r="I34" s="334">
        <f>COUNTA(I35:I46)</f>
        <v>0</v>
      </c>
      <c r="J34" s="365">
        <f>COUNTA(J35:J46)</f>
        <v>0</v>
      </c>
    </row>
    <row r="35" spans="1:10" s="371" customFormat="1" ht="30" hidden="1" outlineLevel="1">
      <c r="A35" s="390"/>
      <c r="B35" s="354" t="s">
        <v>446</v>
      </c>
      <c r="C35" s="348" t="s">
        <v>1402</v>
      </c>
      <c r="D35" s="391"/>
      <c r="E35" s="380"/>
      <c r="F35" s="380"/>
      <c r="G35" s="310"/>
      <c r="H35" s="311"/>
      <c r="I35" s="310"/>
      <c r="J35" s="366"/>
    </row>
    <row r="36" spans="1:10" s="371" customFormat="1" hidden="1" outlineLevel="1">
      <c r="A36" s="390"/>
      <c r="B36" s="354">
        <v>1</v>
      </c>
      <c r="C36" s="353" t="s">
        <v>621</v>
      </c>
      <c r="D36" s="391"/>
      <c r="E36" s="380"/>
      <c r="F36" s="380"/>
      <c r="G36" s="310"/>
      <c r="H36" s="311"/>
      <c r="I36" s="310"/>
      <c r="J36" s="366"/>
    </row>
    <row r="37" spans="1:10" s="371" customFormat="1" ht="30" hidden="1" outlineLevel="1">
      <c r="A37" s="390"/>
      <c r="B37" s="354">
        <v>2</v>
      </c>
      <c r="C37" s="353" t="s">
        <v>1403</v>
      </c>
      <c r="D37" s="391"/>
      <c r="E37" s="380"/>
      <c r="F37" s="380"/>
      <c r="G37" s="310"/>
      <c r="H37" s="311"/>
      <c r="I37" s="310"/>
      <c r="J37" s="366"/>
    </row>
    <row r="38" spans="1:10" s="371" customFormat="1" hidden="1" outlineLevel="1">
      <c r="A38" s="390"/>
      <c r="B38" s="354">
        <v>3</v>
      </c>
      <c r="C38" s="357" t="s">
        <v>1404</v>
      </c>
      <c r="D38" s="391"/>
      <c r="E38" s="380"/>
      <c r="F38" s="380"/>
      <c r="G38" s="310"/>
      <c r="H38" s="311"/>
      <c r="I38" s="310"/>
      <c r="J38" s="366"/>
    </row>
    <row r="39" spans="1:10" s="371" customFormat="1" hidden="1" outlineLevel="1">
      <c r="A39" s="390"/>
      <c r="B39" s="354">
        <v>4</v>
      </c>
      <c r="C39" s="359" t="s">
        <v>1405</v>
      </c>
      <c r="D39" s="391"/>
      <c r="E39" s="380"/>
      <c r="F39" s="380"/>
      <c r="G39" s="310"/>
      <c r="H39" s="311"/>
      <c r="I39" s="310"/>
      <c r="J39" s="366"/>
    </row>
    <row r="40" spans="1:10" s="371" customFormat="1" hidden="1" outlineLevel="1">
      <c r="A40" s="390"/>
      <c r="B40" s="349">
        <v>5</v>
      </c>
      <c r="C40" s="359" t="s">
        <v>1406</v>
      </c>
      <c r="D40" s="391"/>
      <c r="E40" s="380"/>
      <c r="F40" s="380"/>
      <c r="G40" s="310" t="s">
        <v>603</v>
      </c>
      <c r="H40" s="311"/>
      <c r="I40" s="310"/>
      <c r="J40" s="366"/>
    </row>
    <row r="41" spans="1:10" s="371" customFormat="1" hidden="1" outlineLevel="1">
      <c r="A41" s="390"/>
      <c r="B41" s="349">
        <v>6</v>
      </c>
      <c r="C41" s="359" t="s">
        <v>632</v>
      </c>
      <c r="D41" s="391"/>
      <c r="E41" s="380"/>
      <c r="F41" s="380"/>
      <c r="G41" s="310"/>
      <c r="H41" s="311"/>
      <c r="I41" s="310"/>
      <c r="J41" s="366"/>
    </row>
    <row r="42" spans="1:10" s="371" customFormat="1" hidden="1" outlineLevel="1">
      <c r="A42" s="390"/>
      <c r="B42" s="354">
        <v>7</v>
      </c>
      <c r="C42" s="353" t="s">
        <v>1398</v>
      </c>
      <c r="D42" s="391"/>
      <c r="E42" s="380"/>
      <c r="F42" s="380"/>
      <c r="G42" s="310"/>
      <c r="H42" s="311"/>
      <c r="I42" s="310"/>
      <c r="J42" s="366"/>
    </row>
    <row r="43" spans="1:10" s="371" customFormat="1" hidden="1" outlineLevel="1">
      <c r="A43" s="390"/>
      <c r="B43" s="354">
        <v>8</v>
      </c>
      <c r="C43" s="355" t="s">
        <v>659</v>
      </c>
      <c r="D43" s="391"/>
      <c r="E43" s="380"/>
      <c r="F43" s="380"/>
      <c r="G43" s="310"/>
      <c r="H43" s="311"/>
      <c r="I43" s="310"/>
      <c r="J43" s="366"/>
    </row>
    <row r="44" spans="1:10" s="371" customFormat="1" ht="45" hidden="1" outlineLevel="1">
      <c r="A44" s="390"/>
      <c r="B44" s="382" t="s">
        <v>634</v>
      </c>
      <c r="C44" s="348" t="s">
        <v>1407</v>
      </c>
      <c r="D44" s="391"/>
      <c r="E44" s="380"/>
      <c r="F44" s="380"/>
      <c r="G44" s="310"/>
      <c r="H44" s="311"/>
      <c r="I44" s="310"/>
      <c r="J44" s="366"/>
    </row>
    <row r="45" spans="1:10" s="371" customFormat="1" hidden="1" outlineLevel="1">
      <c r="A45" s="390"/>
      <c r="B45" s="354">
        <v>9</v>
      </c>
      <c r="C45" s="359" t="s">
        <v>630</v>
      </c>
      <c r="D45" s="391"/>
      <c r="E45" s="380"/>
      <c r="F45" s="380"/>
      <c r="G45" s="310"/>
      <c r="H45" s="311"/>
      <c r="I45" s="310"/>
      <c r="J45" s="366"/>
    </row>
    <row r="46" spans="1:10" s="371" customFormat="1" hidden="1" outlineLevel="1">
      <c r="A46" s="390"/>
      <c r="B46" s="358" t="s">
        <v>635</v>
      </c>
      <c r="C46" s="356" t="s">
        <v>631</v>
      </c>
      <c r="D46" s="391"/>
      <c r="E46" s="380"/>
      <c r="F46" s="380"/>
      <c r="G46" s="310"/>
      <c r="H46" s="311"/>
      <c r="I46" s="310"/>
      <c r="J46" s="366"/>
    </row>
    <row r="47" spans="1:10" s="371" customFormat="1" collapsed="1">
      <c r="A47" s="333" t="s">
        <v>23</v>
      </c>
      <c r="B47" s="333" t="s">
        <v>1408</v>
      </c>
      <c r="C47" s="332" t="s">
        <v>1409</v>
      </c>
      <c r="D47" s="334" t="s">
        <v>604</v>
      </c>
      <c r="E47" s="288" t="s">
        <v>596</v>
      </c>
      <c r="F47" s="334" t="str">
        <f>IF(H47&gt;0,"F",IF(I47&gt;0,"A",IF(G47&gt;0,"P","NT")))</f>
        <v>P</v>
      </c>
      <c r="G47" s="334">
        <f>COUNTA(G48:G63)</f>
        <v>1</v>
      </c>
      <c r="H47" s="334">
        <f>COUNTA(H48:H63)</f>
        <v>0</v>
      </c>
      <c r="I47" s="334">
        <f>COUNTA(I48:I63)</f>
        <v>0</v>
      </c>
      <c r="J47" s="365">
        <f>COUNTA(J48:J63)</f>
        <v>0</v>
      </c>
    </row>
    <row r="48" spans="1:10" s="371" customFormat="1" ht="30" hidden="1" outlineLevel="1">
      <c r="A48" s="290"/>
      <c r="B48" s="354" t="s">
        <v>446</v>
      </c>
      <c r="C48" s="348" t="s">
        <v>1410</v>
      </c>
      <c r="D48" s="391"/>
      <c r="E48" s="392"/>
      <c r="F48" s="289"/>
      <c r="G48" s="314"/>
      <c r="H48" s="315"/>
      <c r="I48" s="316"/>
      <c r="J48" s="364"/>
    </row>
    <row r="49" spans="1:11" s="371" customFormat="1" hidden="1" outlineLevel="1">
      <c r="A49" s="290"/>
      <c r="B49" s="354">
        <v>1</v>
      </c>
      <c r="C49" s="353" t="s">
        <v>621</v>
      </c>
      <c r="D49" s="391"/>
      <c r="E49" s="392"/>
      <c r="F49" s="289"/>
      <c r="G49" s="314"/>
      <c r="H49" s="315"/>
      <c r="I49" s="316"/>
      <c r="J49" s="364"/>
      <c r="K49" s="287"/>
    </row>
    <row r="50" spans="1:11" s="371" customFormat="1" ht="30" hidden="1" outlineLevel="1">
      <c r="A50" s="290"/>
      <c r="B50" s="354">
        <v>2</v>
      </c>
      <c r="C50" s="353" t="s">
        <v>1403</v>
      </c>
      <c r="D50" s="391"/>
      <c r="E50" s="392"/>
      <c r="F50" s="289"/>
      <c r="G50" s="314"/>
      <c r="H50" s="315"/>
      <c r="I50" s="316"/>
      <c r="J50" s="364"/>
      <c r="K50" s="287"/>
    </row>
    <row r="51" spans="1:11" s="371" customFormat="1" hidden="1" outlineLevel="1">
      <c r="A51" s="290"/>
      <c r="B51" s="354">
        <v>3</v>
      </c>
      <c r="C51" s="357" t="s">
        <v>1404</v>
      </c>
      <c r="D51" s="391"/>
      <c r="E51" s="392"/>
      <c r="F51" s="289"/>
      <c r="G51" s="314"/>
      <c r="H51" s="315"/>
      <c r="I51" s="316"/>
      <c r="J51" s="364"/>
      <c r="K51" s="287"/>
    </row>
    <row r="52" spans="1:11" s="371" customFormat="1" hidden="1" outlineLevel="1">
      <c r="A52" s="390"/>
      <c r="B52" s="352">
        <v>4</v>
      </c>
      <c r="C52" s="353" t="s">
        <v>1411</v>
      </c>
      <c r="D52" s="391"/>
      <c r="E52" s="380"/>
      <c r="F52" s="380"/>
      <c r="G52" s="310"/>
      <c r="H52" s="311"/>
      <c r="I52" s="310"/>
      <c r="J52" s="366"/>
    </row>
    <row r="53" spans="1:11" s="371" customFormat="1" hidden="1" outlineLevel="1">
      <c r="A53" s="290"/>
      <c r="B53" s="354">
        <v>5</v>
      </c>
      <c r="C53" s="348" t="s">
        <v>1412</v>
      </c>
      <c r="D53" s="391"/>
      <c r="E53" s="392"/>
      <c r="F53" s="289"/>
      <c r="G53" s="314"/>
      <c r="H53" s="315"/>
      <c r="I53" s="316"/>
      <c r="J53" s="364"/>
      <c r="K53" s="287"/>
    </row>
    <row r="54" spans="1:11" s="371" customFormat="1" ht="45" hidden="1" outlineLevel="1">
      <c r="A54" s="290"/>
      <c r="B54" s="349" t="s">
        <v>634</v>
      </c>
      <c r="C54" s="348" t="s">
        <v>1413</v>
      </c>
      <c r="D54" s="391"/>
      <c r="E54" s="393"/>
      <c r="F54" s="375"/>
      <c r="G54" s="376" t="s">
        <v>603</v>
      </c>
      <c r="H54" s="377"/>
      <c r="I54" s="378"/>
      <c r="J54" s="364"/>
      <c r="K54" s="287"/>
    </row>
    <row r="55" spans="1:11" s="371" customFormat="1" hidden="1" outlineLevel="1">
      <c r="A55" s="290"/>
      <c r="B55" s="354">
        <v>6</v>
      </c>
      <c r="C55" s="348" t="s">
        <v>1414</v>
      </c>
      <c r="D55" s="391"/>
      <c r="E55" s="392"/>
      <c r="F55" s="289"/>
      <c r="G55" s="314"/>
      <c r="H55" s="315"/>
      <c r="I55" s="316"/>
      <c r="J55" s="364"/>
      <c r="K55" s="287"/>
    </row>
    <row r="56" spans="1:11" s="371" customFormat="1" hidden="1" outlineLevel="1">
      <c r="A56" s="290"/>
      <c r="B56" s="349"/>
      <c r="C56" s="348" t="s">
        <v>1415</v>
      </c>
      <c r="D56" s="391"/>
      <c r="E56" s="393"/>
      <c r="F56" s="375"/>
      <c r="G56" s="376"/>
      <c r="H56" s="377"/>
      <c r="I56" s="378"/>
      <c r="J56" s="364"/>
      <c r="K56" s="287"/>
    </row>
    <row r="57" spans="1:11" s="371" customFormat="1" hidden="1" outlineLevel="1">
      <c r="A57" s="290"/>
      <c r="B57" s="349"/>
      <c r="C57" s="348" t="s">
        <v>1416</v>
      </c>
      <c r="D57" s="391"/>
      <c r="E57" s="393"/>
      <c r="F57" s="375"/>
      <c r="G57" s="376"/>
      <c r="H57" s="377"/>
      <c r="I57" s="378"/>
      <c r="J57" s="364"/>
      <c r="K57" s="287"/>
    </row>
    <row r="58" spans="1:11" s="371" customFormat="1" hidden="1" outlineLevel="1">
      <c r="A58" s="390"/>
      <c r="B58" s="349">
        <v>7</v>
      </c>
      <c r="C58" s="359" t="s">
        <v>632</v>
      </c>
      <c r="D58" s="391"/>
      <c r="E58" s="380"/>
      <c r="F58" s="380"/>
      <c r="G58" s="310"/>
      <c r="H58" s="311"/>
      <c r="I58" s="310"/>
      <c r="J58" s="366"/>
    </row>
    <row r="59" spans="1:11" s="371" customFormat="1" hidden="1" outlineLevel="1">
      <c r="A59" s="390"/>
      <c r="B59" s="352">
        <v>8</v>
      </c>
      <c r="C59" s="353" t="s">
        <v>1398</v>
      </c>
      <c r="D59" s="391"/>
      <c r="E59" s="380"/>
      <c r="F59" s="380"/>
      <c r="G59" s="310"/>
      <c r="H59" s="311"/>
      <c r="I59" s="310"/>
      <c r="J59" s="366"/>
    </row>
    <row r="60" spans="1:11" s="371" customFormat="1" hidden="1" outlineLevel="1">
      <c r="A60" s="390"/>
      <c r="B60" s="352">
        <v>9</v>
      </c>
      <c r="C60" s="353" t="s">
        <v>659</v>
      </c>
      <c r="D60" s="391"/>
      <c r="E60" s="380"/>
      <c r="F60" s="380"/>
      <c r="G60" s="310"/>
      <c r="H60" s="311"/>
      <c r="I60" s="310"/>
      <c r="J60" s="366"/>
    </row>
    <row r="61" spans="1:11" s="371" customFormat="1" ht="45" hidden="1" outlineLevel="1">
      <c r="A61" s="390"/>
      <c r="B61" s="382" t="s">
        <v>635</v>
      </c>
      <c r="C61" s="348" t="s">
        <v>1417</v>
      </c>
      <c r="D61" s="391"/>
      <c r="E61" s="380"/>
      <c r="F61" s="380"/>
      <c r="G61" s="310"/>
      <c r="H61" s="311"/>
      <c r="I61" s="310"/>
      <c r="J61" s="366"/>
    </row>
    <row r="62" spans="1:11" s="371" customFormat="1" hidden="1" outlineLevel="1">
      <c r="A62" s="390"/>
      <c r="B62" s="354">
        <v>10</v>
      </c>
      <c r="C62" s="359" t="s">
        <v>630</v>
      </c>
      <c r="D62" s="391"/>
      <c r="E62" s="380"/>
      <c r="F62" s="380"/>
      <c r="G62" s="310"/>
      <c r="H62" s="311"/>
      <c r="I62" s="310"/>
      <c r="J62" s="366"/>
    </row>
    <row r="63" spans="1:11" s="371" customFormat="1" hidden="1" outlineLevel="1">
      <c r="A63" s="390"/>
      <c r="B63" s="358" t="s">
        <v>636</v>
      </c>
      <c r="C63" s="374" t="s">
        <v>631</v>
      </c>
      <c r="D63" s="391"/>
      <c r="E63" s="380"/>
      <c r="F63" s="380"/>
      <c r="G63" s="310"/>
      <c r="H63" s="311"/>
      <c r="I63" s="310"/>
      <c r="J63" s="366"/>
    </row>
    <row r="64" spans="1:11" s="371" customFormat="1" collapsed="1">
      <c r="A64" s="333" t="s">
        <v>23</v>
      </c>
      <c r="B64" s="333" t="s">
        <v>1418</v>
      </c>
      <c r="C64" s="332" t="s">
        <v>1419</v>
      </c>
      <c r="D64" s="334" t="s">
        <v>604</v>
      </c>
      <c r="E64" s="294" t="s">
        <v>596</v>
      </c>
      <c r="F64" s="334" t="str">
        <f>IF(H64&gt;0,"F",IF(I64&gt;0,"A",IF(G64&gt;0,"P","NT")))</f>
        <v>P</v>
      </c>
      <c r="G64" s="334">
        <f>COUNTA(G65:G73)</f>
        <v>1</v>
      </c>
      <c r="H64" s="334">
        <f>COUNTA(H65:H73)</f>
        <v>0</v>
      </c>
      <c r="I64" s="334">
        <f>COUNTA(I65:I73)</f>
        <v>0</v>
      </c>
      <c r="J64" s="365">
        <f>COUNTA(J65:J73)</f>
        <v>0</v>
      </c>
      <c r="K64" s="291"/>
    </row>
    <row r="65" spans="1:11" s="371" customFormat="1" ht="30" hidden="1" outlineLevel="1">
      <c r="A65" s="292"/>
      <c r="B65" s="354" t="s">
        <v>446</v>
      </c>
      <c r="C65" s="348" t="s">
        <v>1402</v>
      </c>
      <c r="D65" s="391"/>
      <c r="E65" s="293"/>
      <c r="F65" s="293"/>
      <c r="G65" s="312"/>
      <c r="H65" s="312"/>
      <c r="I65" s="313"/>
      <c r="J65" s="345"/>
      <c r="K65" s="291"/>
    </row>
    <row r="66" spans="1:11" s="371" customFormat="1" hidden="1" outlineLevel="1">
      <c r="A66" s="292"/>
      <c r="B66" s="354">
        <v>1</v>
      </c>
      <c r="C66" s="353" t="s">
        <v>621</v>
      </c>
      <c r="D66" s="391"/>
      <c r="E66" s="293"/>
      <c r="F66" s="293"/>
      <c r="G66" s="312"/>
      <c r="H66" s="312"/>
      <c r="I66" s="313"/>
      <c r="J66" s="345"/>
      <c r="K66" s="291"/>
    </row>
    <row r="67" spans="1:11" s="371" customFormat="1" ht="30" hidden="1" outlineLevel="1">
      <c r="A67" s="290"/>
      <c r="B67" s="354">
        <v>2</v>
      </c>
      <c r="C67" s="353" t="s">
        <v>1403</v>
      </c>
      <c r="D67" s="391"/>
      <c r="E67" s="392"/>
      <c r="F67" s="289"/>
      <c r="G67" s="314"/>
      <c r="H67" s="315"/>
      <c r="I67" s="316"/>
      <c r="J67" s="364"/>
      <c r="K67" s="287"/>
    </row>
    <row r="68" spans="1:11" s="371" customFormat="1" hidden="1" outlineLevel="1">
      <c r="A68" s="292"/>
      <c r="B68" s="354">
        <v>2</v>
      </c>
      <c r="C68" s="359" t="s">
        <v>1420</v>
      </c>
      <c r="D68" s="391"/>
      <c r="E68" s="293"/>
      <c r="F68" s="293"/>
      <c r="G68" s="312"/>
      <c r="H68" s="312"/>
      <c r="I68" s="313"/>
      <c r="J68" s="345"/>
      <c r="K68" s="291"/>
    </row>
    <row r="69" spans="1:11" s="371" customFormat="1" hidden="1" outlineLevel="1">
      <c r="A69" s="390"/>
      <c r="B69" s="349">
        <v>3</v>
      </c>
      <c r="C69" s="359" t="s">
        <v>632</v>
      </c>
      <c r="D69" s="391"/>
      <c r="E69" s="380"/>
      <c r="F69" s="380"/>
      <c r="G69" s="310" t="s">
        <v>603</v>
      </c>
      <c r="H69" s="311"/>
      <c r="I69" s="310"/>
      <c r="J69" s="366"/>
    </row>
    <row r="70" spans="1:11" s="371" customFormat="1" hidden="1" outlineLevel="1">
      <c r="A70" s="292"/>
      <c r="B70" s="354">
        <v>4</v>
      </c>
      <c r="C70" s="353" t="s">
        <v>695</v>
      </c>
      <c r="D70" s="391"/>
      <c r="E70" s="293"/>
      <c r="F70" s="293"/>
      <c r="G70" s="312"/>
      <c r="H70" s="312"/>
      <c r="I70" s="313"/>
      <c r="J70" s="345"/>
      <c r="K70" s="291"/>
    </row>
    <row r="71" spans="1:11" s="371" customFormat="1" hidden="1" outlineLevel="1">
      <c r="A71" s="390"/>
      <c r="B71" s="352">
        <v>5</v>
      </c>
      <c r="C71" s="353" t="s">
        <v>659</v>
      </c>
      <c r="D71" s="391"/>
      <c r="E71" s="380"/>
      <c r="F71" s="380"/>
      <c r="G71" s="310"/>
      <c r="H71" s="311"/>
      <c r="I71" s="310"/>
      <c r="J71" s="366"/>
    </row>
    <row r="72" spans="1:11" s="371" customFormat="1" ht="90" hidden="1" outlineLevel="1">
      <c r="A72" s="390"/>
      <c r="B72" s="382" t="s">
        <v>634</v>
      </c>
      <c r="C72" s="348" t="s">
        <v>1421</v>
      </c>
      <c r="D72" s="391"/>
      <c r="E72" s="380"/>
      <c r="F72" s="380"/>
      <c r="G72" s="310"/>
      <c r="H72" s="311"/>
      <c r="I72" s="310"/>
      <c r="J72" s="366"/>
    </row>
    <row r="73" spans="1:11" s="371" customFormat="1" hidden="1" outlineLevel="1">
      <c r="A73" s="292"/>
      <c r="B73" s="349">
        <v>8</v>
      </c>
      <c r="C73" s="359" t="s">
        <v>630</v>
      </c>
      <c r="D73" s="391"/>
      <c r="E73" s="293"/>
      <c r="F73" s="293"/>
      <c r="G73" s="312"/>
      <c r="H73" s="312"/>
      <c r="I73" s="313"/>
      <c r="J73" s="345"/>
      <c r="K73" s="291"/>
    </row>
    <row r="74" spans="1:11" s="455" customFormat="1" ht="45" hidden="1" outlineLevel="1">
      <c r="A74" s="460"/>
      <c r="B74" s="461" t="s">
        <v>635</v>
      </c>
      <c r="C74" s="348" t="s">
        <v>1464</v>
      </c>
      <c r="D74" s="452"/>
      <c r="E74" s="380"/>
      <c r="F74" s="380"/>
      <c r="G74" s="310"/>
      <c r="H74" s="311"/>
      <c r="I74" s="310"/>
      <c r="J74" s="366"/>
    </row>
    <row r="75" spans="1:11" s="433" customFormat="1" collapsed="1">
      <c r="A75" s="428"/>
      <c r="B75" s="429"/>
      <c r="C75" s="430"/>
      <c r="D75" s="431"/>
      <c r="E75" s="428"/>
      <c r="F75" s="428"/>
      <c r="G75" s="428"/>
      <c r="H75" s="428"/>
      <c r="I75" s="428"/>
      <c r="J75" s="432"/>
    </row>
    <row r="76" spans="1:11" s="440" customFormat="1" hidden="1" outlineLevel="1">
      <c r="A76" s="434"/>
      <c r="B76" s="424">
        <v>1</v>
      </c>
      <c r="C76" s="425" t="s">
        <v>1260</v>
      </c>
      <c r="D76" s="435"/>
      <c r="E76" s="436"/>
      <c r="F76" s="436"/>
      <c r="G76" s="437" t="s">
        <v>603</v>
      </c>
      <c r="H76" s="438"/>
      <c r="I76" s="437"/>
      <c r="J76" s="439"/>
    </row>
    <row r="77" spans="1:11" ht="13.5" customHeight="1"/>
  </sheetData>
  <mergeCells count="12">
    <mergeCell ref="A6:I6"/>
    <mergeCell ref="A7:B7"/>
    <mergeCell ref="C7:I7"/>
    <mergeCell ref="A8:I8"/>
    <mergeCell ref="D9:I9"/>
    <mergeCell ref="A5:B5"/>
    <mergeCell ref="C5:I5"/>
    <mergeCell ref="A1:I1"/>
    <mergeCell ref="A2:I2"/>
    <mergeCell ref="A3:B3"/>
    <mergeCell ref="C3:I3"/>
    <mergeCell ref="A4:I4"/>
  </mergeCells>
  <conditionalFormatting sqref="E10:E11 E75:E65521">
    <cfRule type="cellIs" dxfId="236" priority="39" operator="equal">
      <formula>"Ready to Test"</formula>
    </cfRule>
    <cfRule type="cellIs" dxfId="235" priority="40" operator="equal">
      <formula>"Do Not Test"</formula>
    </cfRule>
    <cfRule type="cellIs" dxfId="234" priority="41" operator="equal">
      <formula>"Ready for Retest"</formula>
    </cfRule>
    <cfRule type="cellIs" dxfId="233" priority="42" operator="equal">
      <formula>"Passed"</formula>
    </cfRule>
  </conditionalFormatting>
  <conditionalFormatting sqref="E73 E70 E65:E68">
    <cfRule type="cellIs" dxfId="232" priority="35" stopIfTrue="1" operator="equal">
      <formula>"Passed"</formula>
    </cfRule>
    <cfRule type="cellIs" dxfId="231" priority="36" stopIfTrue="1" operator="equal">
      <formula>"Do Not Test"</formula>
    </cfRule>
    <cfRule type="cellIs" dxfId="230" priority="37" stopIfTrue="1" operator="equal">
      <formula>"Ready for Retest"</formula>
    </cfRule>
    <cfRule type="cellIs" dxfId="229" priority="38" stopIfTrue="1" operator="equal">
      <formula>"Ready to Test"</formula>
    </cfRule>
  </conditionalFormatting>
  <conditionalFormatting sqref="E3 E7 E5">
    <cfRule type="cellIs" dxfId="228" priority="33" stopIfTrue="1" operator="equal">
      <formula>"Ready to Test"</formula>
    </cfRule>
    <cfRule type="cellIs" dxfId="227" priority="34" stopIfTrue="1" operator="equal">
      <formula>"Do Not Test"</formula>
    </cfRule>
  </conditionalFormatting>
  <conditionalFormatting sqref="E64 E47 E12 E34">
    <cfRule type="cellIs" dxfId="226" priority="32" stopIfTrue="1" operator="equal">
      <formula>"Do Not Test"</formula>
    </cfRule>
  </conditionalFormatting>
  <conditionalFormatting sqref="E64 E47 E12 E34">
    <cfRule type="cellIs" dxfId="225" priority="31" stopIfTrue="1" operator="equal">
      <formula>"Ready To Test"</formula>
    </cfRule>
  </conditionalFormatting>
  <conditionalFormatting sqref="I12:J74 I76:J76">
    <cfRule type="cellIs" dxfId="224" priority="30" operator="greaterThan">
      <formula>0</formula>
    </cfRule>
  </conditionalFormatting>
  <conditionalFormatting sqref="H11:H74 H76">
    <cfRule type="cellIs" dxfId="223" priority="29" operator="greaterThan">
      <formula>0</formula>
    </cfRule>
  </conditionalFormatting>
  <conditionalFormatting sqref="G12:G74 G76">
    <cfRule type="cellIs" dxfId="222" priority="28" operator="greaterThan">
      <formula>0</formula>
    </cfRule>
  </conditionalFormatting>
  <conditionalFormatting sqref="F64 F34 F47 F12">
    <cfRule type="cellIs" dxfId="221" priority="27" operator="equal">
      <formula>"A"</formula>
    </cfRule>
  </conditionalFormatting>
  <conditionalFormatting sqref="F64 F34 F47 F12">
    <cfRule type="cellIs" dxfId="220" priority="25" operator="equal">
      <formula>"F"</formula>
    </cfRule>
    <cfRule type="cellIs" dxfId="219" priority="26" operator="equal">
      <formula>"p"</formula>
    </cfRule>
  </conditionalFormatting>
  <hyperlinks>
    <hyperlink ref="C9" r:id="rId1"/>
  </hyperlink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sheetPr>
    <tabColor theme="9"/>
    <outlinePr summaryBelow="0"/>
  </sheetPr>
  <dimension ref="A1:K111"/>
  <sheetViews>
    <sheetView zoomScale="110" zoomScaleNormal="110" workbookViewId="0">
      <selection sqref="A1:I1"/>
    </sheetView>
  </sheetViews>
  <sheetFormatPr defaultRowHeight="15" outlineLevelRow="1"/>
  <cols>
    <col min="1" max="1" width="8.7109375" style="320" bestFit="1" customWidth="1"/>
    <col min="2" max="2" width="20.85546875" style="324" customWidth="1"/>
    <col min="3" max="3" width="70.140625" style="328" customWidth="1"/>
    <col min="4" max="4" width="10.28515625" style="326" bestFit="1" customWidth="1"/>
    <col min="5" max="5" width="13.28515625" style="320" bestFit="1" customWidth="1"/>
    <col min="6" max="6" width="9.85546875" style="320" bestFit="1" customWidth="1"/>
    <col min="7" max="7" width="8.28515625" style="320" bestFit="1" customWidth="1"/>
    <col min="8" max="8" width="7.5703125" style="320" customWidth="1"/>
    <col min="9" max="9" width="10.5703125" style="320" bestFit="1" customWidth="1"/>
    <col min="10" max="10" width="55.85546875" style="369" customWidth="1"/>
    <col min="11" max="16384" width="9.140625" style="372"/>
  </cols>
  <sheetData>
    <row r="1" spans="1:10" s="397" customFormat="1">
      <c r="A1" s="529" t="s">
        <v>1196</v>
      </c>
      <c r="B1" s="529"/>
      <c r="C1" s="529"/>
      <c r="D1" s="529"/>
      <c r="E1" s="529"/>
      <c r="F1" s="529"/>
      <c r="G1" s="529"/>
      <c r="H1" s="529"/>
      <c r="I1" s="529"/>
      <c r="J1" s="330"/>
    </row>
    <row r="2" spans="1:10" s="398" customFormat="1">
      <c r="A2" s="530"/>
      <c r="B2" s="530"/>
      <c r="C2" s="531"/>
      <c r="D2" s="531"/>
      <c r="E2" s="531"/>
      <c r="F2" s="531"/>
      <c r="G2" s="531"/>
      <c r="H2" s="531"/>
      <c r="I2" s="531"/>
      <c r="J2" s="368"/>
    </row>
    <row r="3" spans="1:10" s="398" customFormat="1" ht="33.75" customHeight="1">
      <c r="A3" s="532" t="s">
        <v>1227</v>
      </c>
      <c r="B3" s="533"/>
      <c r="C3" s="521" t="s">
        <v>1288</v>
      </c>
      <c r="D3" s="522"/>
      <c r="E3" s="522"/>
      <c r="F3" s="522"/>
      <c r="G3" s="522"/>
      <c r="H3" s="522"/>
      <c r="I3" s="523"/>
      <c r="J3" s="409"/>
    </row>
    <row r="4" spans="1:10" s="398" customFormat="1">
      <c r="A4" s="534"/>
      <c r="B4" s="535"/>
      <c r="C4" s="536"/>
      <c r="D4" s="536"/>
      <c r="E4" s="536"/>
      <c r="F4" s="536"/>
      <c r="G4" s="536"/>
      <c r="H4" s="536"/>
      <c r="I4" s="536"/>
      <c r="J4" s="368"/>
    </row>
    <row r="5" spans="1:10" s="397" customFormat="1" ht="30" customHeight="1">
      <c r="A5" s="519" t="s">
        <v>594</v>
      </c>
      <c r="B5" s="520"/>
      <c r="C5" s="526" t="s">
        <v>1195</v>
      </c>
      <c r="D5" s="527"/>
      <c r="E5" s="527"/>
      <c r="F5" s="527"/>
      <c r="G5" s="527"/>
      <c r="H5" s="527"/>
      <c r="I5" s="528"/>
      <c r="J5" s="330"/>
    </row>
    <row r="6" spans="1:10" s="397" customFormat="1">
      <c r="A6" s="516"/>
      <c r="B6" s="517"/>
      <c r="C6" s="518"/>
      <c r="D6" s="518"/>
      <c r="E6" s="518"/>
      <c r="F6" s="518"/>
      <c r="G6" s="518"/>
      <c r="H6" s="518"/>
      <c r="I6" s="518"/>
      <c r="J6" s="367"/>
    </row>
    <row r="7" spans="1:10" s="397" customFormat="1" ht="17.25" customHeight="1">
      <c r="A7" s="519" t="s">
        <v>1229</v>
      </c>
      <c r="B7" s="520"/>
      <c r="C7" s="521" t="s">
        <v>1315</v>
      </c>
      <c r="D7" s="522"/>
      <c r="E7" s="522"/>
      <c r="F7" s="522"/>
      <c r="G7" s="522"/>
      <c r="H7" s="522"/>
      <c r="I7" s="523"/>
      <c r="J7" s="330"/>
    </row>
    <row r="8" spans="1:10" s="399" customFormat="1">
      <c r="A8" s="524"/>
      <c r="B8" s="524"/>
      <c r="C8" s="524"/>
      <c r="D8" s="524"/>
      <c r="E8" s="524"/>
      <c r="F8" s="524"/>
      <c r="G8" s="524"/>
      <c r="H8" s="524"/>
      <c r="I8" s="524"/>
      <c r="J8" s="363"/>
    </row>
    <row r="9" spans="1:10" ht="27.75" customHeight="1">
      <c r="A9" s="410" t="s">
        <v>1231</v>
      </c>
      <c r="B9" s="411"/>
      <c r="C9" s="412" t="s">
        <v>1232</v>
      </c>
      <c r="D9" s="525"/>
      <c r="E9" s="525"/>
      <c r="F9" s="525"/>
      <c r="G9" s="525"/>
      <c r="H9" s="525"/>
      <c r="I9" s="525"/>
      <c r="J9" s="413"/>
    </row>
    <row r="10" spans="1:10">
      <c r="A10" s="321"/>
      <c r="B10" s="323"/>
      <c r="C10" s="327"/>
      <c r="D10" s="325"/>
      <c r="E10" s="322"/>
      <c r="F10" s="322"/>
      <c r="G10" s="322"/>
      <c r="H10" s="322"/>
      <c r="I10" s="322"/>
      <c r="J10" s="370"/>
    </row>
    <row r="11" spans="1:10" s="216" customFormat="1" ht="29.25" customHeight="1">
      <c r="A11" s="385" t="s">
        <v>0</v>
      </c>
      <c r="B11" s="379" t="s">
        <v>226</v>
      </c>
      <c r="C11" s="386" t="s">
        <v>540</v>
      </c>
      <c r="D11" s="386" t="s">
        <v>595</v>
      </c>
      <c r="E11" s="387" t="s">
        <v>214</v>
      </c>
      <c r="F11" s="387" t="s">
        <v>584</v>
      </c>
      <c r="G11" s="388" t="s">
        <v>2</v>
      </c>
      <c r="H11" s="389" t="s">
        <v>579</v>
      </c>
      <c r="I11" s="331" t="s">
        <v>583</v>
      </c>
      <c r="J11" s="331" t="s">
        <v>1</v>
      </c>
    </row>
    <row r="12" spans="1:10" s="276" customFormat="1" collapsed="1">
      <c r="A12" s="333" t="s">
        <v>23</v>
      </c>
      <c r="B12" s="333" t="s">
        <v>1194</v>
      </c>
      <c r="C12" s="332" t="s">
        <v>1193</v>
      </c>
      <c r="D12" s="334" t="s">
        <v>604</v>
      </c>
      <c r="E12" s="286" t="s">
        <v>596</v>
      </c>
      <c r="F12" s="334" t="str">
        <f>IF(H12&gt;0,"F",IF(I12&gt;0,"A",IF(G12&gt;0,"P","NT")))</f>
        <v>P</v>
      </c>
      <c r="G12" s="334">
        <f>COUNTA(G13:G29)</f>
        <v>13</v>
      </c>
      <c r="H12" s="334">
        <f>COUNTA(H13:H29)</f>
        <v>0</v>
      </c>
      <c r="I12" s="334">
        <f>COUNTA(I13:I29)</f>
        <v>0</v>
      </c>
      <c r="J12" s="365">
        <f>COUNTA(J13:J29)</f>
        <v>0</v>
      </c>
    </row>
    <row r="13" spans="1:10" s="371" customFormat="1" hidden="1" outlineLevel="1">
      <c r="A13" s="390"/>
      <c r="B13" s="351" t="s">
        <v>598</v>
      </c>
      <c r="C13" s="348" t="s">
        <v>1192</v>
      </c>
      <c r="D13" s="391"/>
      <c r="E13" s="380"/>
      <c r="F13" s="380"/>
      <c r="G13" s="310"/>
      <c r="H13" s="311"/>
      <c r="I13" s="310"/>
      <c r="J13" s="366"/>
    </row>
    <row r="14" spans="1:10" s="371" customFormat="1" hidden="1" outlineLevel="1">
      <c r="A14" s="390"/>
      <c r="B14" s="351" t="s">
        <v>599</v>
      </c>
      <c r="C14" s="348" t="s">
        <v>1106</v>
      </c>
      <c r="D14" s="391"/>
      <c r="E14" s="380"/>
      <c r="F14" s="380"/>
      <c r="G14" s="310"/>
      <c r="H14" s="311"/>
      <c r="I14" s="310"/>
      <c r="J14" s="366"/>
    </row>
    <row r="15" spans="1:10" s="371" customFormat="1" hidden="1" outlineLevel="1">
      <c r="A15" s="390"/>
      <c r="B15" s="382" t="s">
        <v>634</v>
      </c>
      <c r="C15" s="348" t="s">
        <v>1191</v>
      </c>
      <c r="D15" s="391"/>
      <c r="E15" s="380"/>
      <c r="F15" s="380"/>
      <c r="G15" s="310"/>
      <c r="H15" s="311"/>
      <c r="I15" s="310"/>
      <c r="J15" s="366"/>
    </row>
    <row r="16" spans="1:10" s="371" customFormat="1" hidden="1" outlineLevel="1">
      <c r="A16" s="390"/>
      <c r="B16" s="352">
        <v>1</v>
      </c>
      <c r="C16" s="353" t="s">
        <v>1140</v>
      </c>
      <c r="D16" s="391"/>
      <c r="E16" s="380"/>
      <c r="F16" s="380"/>
      <c r="G16" s="310" t="s">
        <v>603</v>
      </c>
      <c r="H16" s="311"/>
      <c r="I16" s="310"/>
      <c r="J16" s="366"/>
    </row>
    <row r="17" spans="1:10" s="371" customFormat="1" ht="30" hidden="1" outlineLevel="1">
      <c r="A17" s="390"/>
      <c r="B17" s="352">
        <v>2</v>
      </c>
      <c r="C17" s="353" t="s">
        <v>1190</v>
      </c>
      <c r="D17" s="391"/>
      <c r="E17" s="380"/>
      <c r="F17" s="380"/>
      <c r="G17" s="310" t="s">
        <v>603</v>
      </c>
      <c r="H17" s="311"/>
      <c r="I17" s="310"/>
      <c r="J17" s="366"/>
    </row>
    <row r="18" spans="1:10" s="371" customFormat="1" hidden="1" outlineLevel="1">
      <c r="A18" s="390"/>
      <c r="B18" s="352">
        <v>3</v>
      </c>
      <c r="C18" s="353" t="s">
        <v>623</v>
      </c>
      <c r="D18" s="391"/>
      <c r="E18" s="380"/>
      <c r="F18" s="380"/>
      <c r="G18" s="310" t="s">
        <v>603</v>
      </c>
      <c r="H18" s="311"/>
      <c r="I18" s="310"/>
      <c r="J18" s="366"/>
    </row>
    <row r="19" spans="1:10" s="371" customFormat="1" hidden="1" outlineLevel="1">
      <c r="A19" s="390"/>
      <c r="B19" s="352">
        <v>4</v>
      </c>
      <c r="C19" s="353" t="s">
        <v>622</v>
      </c>
      <c r="D19" s="391"/>
      <c r="E19" s="380"/>
      <c r="F19" s="380"/>
      <c r="G19" s="310" t="s">
        <v>603</v>
      </c>
      <c r="H19" s="311"/>
      <c r="I19" s="310"/>
      <c r="J19" s="366"/>
    </row>
    <row r="20" spans="1:10" s="371" customFormat="1" hidden="1" outlineLevel="1">
      <c r="A20" s="390"/>
      <c r="B20" s="352">
        <v>5</v>
      </c>
      <c r="C20" s="353" t="s">
        <v>1189</v>
      </c>
      <c r="D20" s="391"/>
      <c r="E20" s="380"/>
      <c r="F20" s="380"/>
      <c r="G20" s="310" t="s">
        <v>603</v>
      </c>
      <c r="H20" s="311"/>
      <c r="I20" s="310"/>
      <c r="J20" s="366"/>
    </row>
    <row r="21" spans="1:10" s="371" customFormat="1" hidden="1" outlineLevel="1">
      <c r="A21" s="390"/>
      <c r="B21" s="352">
        <v>6</v>
      </c>
      <c r="C21" s="353" t="s">
        <v>1188</v>
      </c>
      <c r="D21" s="391"/>
      <c r="E21" s="380"/>
      <c r="F21" s="380"/>
      <c r="G21" s="310" t="s">
        <v>603</v>
      </c>
      <c r="H21" s="311"/>
      <c r="I21" s="310"/>
      <c r="J21" s="366"/>
    </row>
    <row r="22" spans="1:10" s="371" customFormat="1" hidden="1" outlineLevel="1">
      <c r="A22" s="390"/>
      <c r="B22" s="352">
        <v>7</v>
      </c>
      <c r="C22" s="353" t="s">
        <v>873</v>
      </c>
      <c r="D22" s="391"/>
      <c r="E22" s="380"/>
      <c r="F22" s="380"/>
      <c r="G22" s="310" t="s">
        <v>603</v>
      </c>
      <c r="H22" s="311"/>
      <c r="I22" s="310"/>
      <c r="J22" s="366"/>
    </row>
    <row r="23" spans="1:10" s="371" customFormat="1" hidden="1" outlineLevel="1">
      <c r="A23" s="390"/>
      <c r="B23" s="352">
        <v>8</v>
      </c>
      <c r="C23" s="353" t="s">
        <v>874</v>
      </c>
      <c r="D23" s="391"/>
      <c r="E23" s="380"/>
      <c r="F23" s="380"/>
      <c r="G23" s="310" t="s">
        <v>603</v>
      </c>
      <c r="H23" s="311"/>
      <c r="I23" s="310"/>
      <c r="J23" s="366"/>
    </row>
    <row r="24" spans="1:10" s="371" customFormat="1" hidden="1" outlineLevel="1">
      <c r="A24" s="390"/>
      <c r="B24" s="352">
        <v>9</v>
      </c>
      <c r="C24" s="353" t="s">
        <v>1187</v>
      </c>
      <c r="D24" s="391"/>
      <c r="E24" s="380"/>
      <c r="F24" s="380"/>
      <c r="G24" s="310" t="s">
        <v>603</v>
      </c>
      <c r="H24" s="311"/>
      <c r="I24" s="310"/>
      <c r="J24" s="366"/>
    </row>
    <row r="25" spans="1:10" s="371" customFormat="1" hidden="1" outlineLevel="1">
      <c r="A25" s="390"/>
      <c r="B25" s="352">
        <v>10</v>
      </c>
      <c r="C25" s="353" t="s">
        <v>1186</v>
      </c>
      <c r="D25" s="391"/>
      <c r="E25" s="380"/>
      <c r="F25" s="380"/>
      <c r="G25" s="310" t="s">
        <v>603</v>
      </c>
      <c r="H25" s="311"/>
      <c r="I25" s="310"/>
      <c r="J25" s="366"/>
    </row>
    <row r="26" spans="1:10" s="371" customFormat="1" hidden="1" outlineLevel="1">
      <c r="A26" s="390"/>
      <c r="B26" s="352">
        <v>11</v>
      </c>
      <c r="C26" s="353" t="s">
        <v>1157</v>
      </c>
      <c r="D26" s="391"/>
      <c r="E26" s="380"/>
      <c r="F26" s="380"/>
      <c r="G26" s="310" t="s">
        <v>603</v>
      </c>
      <c r="H26" s="311"/>
      <c r="I26" s="310"/>
      <c r="J26" s="366"/>
    </row>
    <row r="27" spans="1:10" s="371" customFormat="1" hidden="1" outlineLevel="1">
      <c r="A27" s="390"/>
      <c r="B27" s="352">
        <v>12</v>
      </c>
      <c r="C27" s="353" t="s">
        <v>1091</v>
      </c>
      <c r="D27" s="391"/>
      <c r="E27" s="380"/>
      <c r="F27" s="380"/>
      <c r="G27" s="310" t="s">
        <v>603</v>
      </c>
      <c r="H27" s="311"/>
      <c r="I27" s="310"/>
      <c r="J27" s="366"/>
    </row>
    <row r="28" spans="1:10" s="371" customFormat="1" hidden="1" outlineLevel="1">
      <c r="A28" s="390"/>
      <c r="B28" s="352">
        <v>13</v>
      </c>
      <c r="C28" s="353" t="s">
        <v>630</v>
      </c>
      <c r="D28" s="391"/>
      <c r="E28" s="380"/>
      <c r="F28" s="380"/>
      <c r="G28" s="310" t="s">
        <v>603</v>
      </c>
      <c r="H28" s="311"/>
      <c r="I28" s="310"/>
      <c r="J28" s="366"/>
    </row>
    <row r="29" spans="1:10" s="371" customFormat="1" hidden="1" outlineLevel="1">
      <c r="A29" s="390"/>
      <c r="B29" s="352" t="s">
        <v>635</v>
      </c>
      <c r="C29" s="353" t="s">
        <v>631</v>
      </c>
      <c r="D29" s="391"/>
      <c r="E29" s="380"/>
      <c r="F29" s="380"/>
      <c r="G29" s="310"/>
      <c r="H29" s="311"/>
      <c r="I29" s="310"/>
      <c r="J29" s="366"/>
    </row>
    <row r="30" spans="1:10" s="276" customFormat="1" collapsed="1">
      <c r="A30" s="333" t="s">
        <v>23</v>
      </c>
      <c r="B30" s="333" t="s">
        <v>1185</v>
      </c>
      <c r="C30" s="332" t="s">
        <v>1184</v>
      </c>
      <c r="D30" s="334" t="s">
        <v>604</v>
      </c>
      <c r="E30" s="286" t="s">
        <v>596</v>
      </c>
      <c r="F30" s="334" t="str">
        <f>IF(H30&gt;0,"F",IF(I30&gt;0,"A",IF(G30&gt;0,"P","NT")))</f>
        <v>P</v>
      </c>
      <c r="G30" s="334">
        <f>COUNTA(G32:G43)</f>
        <v>10</v>
      </c>
      <c r="H30" s="334">
        <f>COUNTA(H32:H43)</f>
        <v>0</v>
      </c>
      <c r="I30" s="334">
        <f>COUNTA(I32:I43)</f>
        <v>0</v>
      </c>
      <c r="J30" s="365">
        <f>COUNTA(J32:J43)</f>
        <v>0</v>
      </c>
    </row>
    <row r="31" spans="1:10" s="371" customFormat="1" hidden="1" outlineLevel="1">
      <c r="A31" s="390"/>
      <c r="B31" s="351" t="s">
        <v>598</v>
      </c>
      <c r="C31" s="348" t="s">
        <v>1183</v>
      </c>
      <c r="D31" s="391"/>
      <c r="E31" s="380"/>
      <c r="F31" s="380"/>
      <c r="G31" s="310"/>
      <c r="H31" s="311"/>
      <c r="I31" s="310"/>
      <c r="J31" s="366"/>
    </row>
    <row r="32" spans="1:10" s="371" customFormat="1" hidden="1" outlineLevel="1">
      <c r="A32" s="390"/>
      <c r="B32" s="354" t="s">
        <v>446</v>
      </c>
      <c r="C32" s="348" t="s">
        <v>1182</v>
      </c>
      <c r="D32" s="391"/>
      <c r="E32" s="380"/>
      <c r="F32" s="380"/>
      <c r="G32" s="310"/>
      <c r="H32" s="311"/>
      <c r="I32" s="310"/>
      <c r="J32" s="366"/>
    </row>
    <row r="33" spans="1:10" s="371" customFormat="1" hidden="1" outlineLevel="1">
      <c r="A33" s="390"/>
      <c r="B33" s="354">
        <v>1</v>
      </c>
      <c r="C33" s="353" t="s">
        <v>1159</v>
      </c>
      <c r="D33" s="391"/>
      <c r="E33" s="380"/>
      <c r="F33" s="380"/>
      <c r="G33" s="310" t="s">
        <v>603</v>
      </c>
      <c r="H33" s="311"/>
      <c r="I33" s="310"/>
      <c r="J33" s="366"/>
    </row>
    <row r="34" spans="1:10" s="371" customFormat="1" ht="30" hidden="1" outlineLevel="1">
      <c r="A34" s="390"/>
      <c r="B34" s="354">
        <v>2</v>
      </c>
      <c r="C34" s="353" t="s">
        <v>1181</v>
      </c>
      <c r="D34" s="391"/>
      <c r="E34" s="380"/>
      <c r="F34" s="380"/>
      <c r="G34" s="310" t="s">
        <v>603</v>
      </c>
      <c r="H34" s="311"/>
      <c r="I34" s="310"/>
      <c r="J34" s="366"/>
    </row>
    <row r="35" spans="1:10" s="371" customFormat="1" hidden="1" outlineLevel="1">
      <c r="A35" s="390"/>
      <c r="B35" s="354">
        <v>3</v>
      </c>
      <c r="C35" s="357" t="s">
        <v>1180</v>
      </c>
      <c r="D35" s="391"/>
      <c r="E35" s="380"/>
      <c r="F35" s="380"/>
      <c r="G35" s="310" t="s">
        <v>603</v>
      </c>
      <c r="H35" s="311"/>
      <c r="I35" s="310"/>
      <c r="J35" s="366"/>
    </row>
    <row r="36" spans="1:10" s="371" customFormat="1" hidden="1" outlineLevel="1">
      <c r="A36" s="390"/>
      <c r="B36" s="354">
        <v>4</v>
      </c>
      <c r="C36" s="359" t="s">
        <v>1179</v>
      </c>
      <c r="D36" s="391"/>
      <c r="E36" s="380"/>
      <c r="F36" s="380"/>
      <c r="G36" s="310" t="s">
        <v>603</v>
      </c>
      <c r="H36" s="311"/>
      <c r="I36" s="310"/>
      <c r="J36" s="366"/>
    </row>
    <row r="37" spans="1:10" s="371" customFormat="1" hidden="1" outlineLevel="1">
      <c r="A37" s="390"/>
      <c r="B37" s="354">
        <v>5</v>
      </c>
      <c r="C37" s="359" t="s">
        <v>1178</v>
      </c>
      <c r="D37" s="391"/>
      <c r="E37" s="380"/>
      <c r="F37" s="380"/>
      <c r="G37" s="310" t="s">
        <v>603</v>
      </c>
      <c r="H37" s="311"/>
      <c r="I37" s="310"/>
      <c r="J37" s="366"/>
    </row>
    <row r="38" spans="1:10" s="371" customFormat="1" hidden="1" outlineLevel="1">
      <c r="A38" s="390"/>
      <c r="B38" s="354">
        <v>6</v>
      </c>
      <c r="C38" s="359" t="s">
        <v>926</v>
      </c>
      <c r="D38" s="391"/>
      <c r="E38" s="380"/>
      <c r="F38" s="380"/>
      <c r="G38" s="310" t="s">
        <v>603</v>
      </c>
      <c r="H38" s="311"/>
      <c r="I38" s="310"/>
      <c r="J38" s="366"/>
    </row>
    <row r="39" spans="1:10" s="371" customFormat="1" hidden="1" outlineLevel="1">
      <c r="A39" s="390"/>
      <c r="B39" s="354">
        <v>7</v>
      </c>
      <c r="C39" s="359" t="s">
        <v>1177</v>
      </c>
      <c r="D39" s="391"/>
      <c r="E39" s="380"/>
      <c r="F39" s="380"/>
      <c r="G39" s="310" t="s">
        <v>603</v>
      </c>
      <c r="H39" s="311"/>
      <c r="I39" s="310"/>
      <c r="J39" s="366"/>
    </row>
    <row r="40" spans="1:10" s="371" customFormat="1" hidden="1" outlineLevel="1">
      <c r="A40" s="390"/>
      <c r="B40" s="354">
        <v>8</v>
      </c>
      <c r="C40" s="353" t="s">
        <v>1157</v>
      </c>
      <c r="D40" s="391"/>
      <c r="E40" s="380"/>
      <c r="F40" s="380"/>
      <c r="G40" s="310" t="s">
        <v>603</v>
      </c>
      <c r="H40" s="311"/>
      <c r="I40" s="310"/>
      <c r="J40" s="366"/>
    </row>
    <row r="41" spans="1:10" s="371" customFormat="1" hidden="1" outlineLevel="1">
      <c r="A41" s="390"/>
      <c r="B41" s="354">
        <v>9</v>
      </c>
      <c r="C41" s="355" t="s">
        <v>1172</v>
      </c>
      <c r="D41" s="391"/>
      <c r="E41" s="380"/>
      <c r="F41" s="380"/>
      <c r="G41" s="310" t="s">
        <v>603</v>
      </c>
      <c r="H41" s="311"/>
      <c r="I41" s="310"/>
      <c r="J41" s="366"/>
    </row>
    <row r="42" spans="1:10" s="371" customFormat="1" hidden="1" outlineLevel="1">
      <c r="A42" s="390"/>
      <c r="B42" s="354">
        <v>10</v>
      </c>
      <c r="C42" s="359" t="s">
        <v>630</v>
      </c>
      <c r="D42" s="391"/>
      <c r="E42" s="380"/>
      <c r="F42" s="380"/>
      <c r="G42" s="310" t="s">
        <v>603</v>
      </c>
      <c r="H42" s="311"/>
      <c r="I42" s="310"/>
      <c r="J42" s="366"/>
    </row>
    <row r="43" spans="1:10" s="371" customFormat="1" hidden="1" outlineLevel="1">
      <c r="A43" s="390"/>
      <c r="B43" s="358" t="s">
        <v>636</v>
      </c>
      <c r="C43" s="356" t="s">
        <v>1171</v>
      </c>
      <c r="D43" s="391"/>
      <c r="E43" s="380"/>
      <c r="F43" s="380"/>
      <c r="G43" s="310"/>
      <c r="H43" s="311"/>
      <c r="I43" s="310"/>
      <c r="J43" s="366"/>
    </row>
    <row r="44" spans="1:10" s="276" customFormat="1" collapsed="1">
      <c r="A44" s="333" t="s">
        <v>23</v>
      </c>
      <c r="B44" s="333" t="s">
        <v>1176</v>
      </c>
      <c r="C44" s="332" t="s">
        <v>1175</v>
      </c>
      <c r="D44" s="334" t="s">
        <v>604</v>
      </c>
      <c r="E44" s="286" t="s">
        <v>596</v>
      </c>
      <c r="F44" s="334" t="str">
        <f>IF(H44&gt;0,"F",IF(I44&gt;0,"A",IF(G44&gt;0,"P","NT")))</f>
        <v>P</v>
      </c>
      <c r="G44" s="334">
        <f>COUNTA(G45:G54)</f>
        <v>7</v>
      </c>
      <c r="H44" s="334">
        <f>COUNTA(H45:H54)</f>
        <v>0</v>
      </c>
      <c r="I44" s="334">
        <f>COUNTA(I45:I54)</f>
        <v>0</v>
      </c>
      <c r="J44" s="365">
        <f>COUNTA(J45:J54)</f>
        <v>0</v>
      </c>
    </row>
    <row r="45" spans="1:10" s="371" customFormat="1" hidden="1" outlineLevel="1">
      <c r="A45" s="390"/>
      <c r="B45" s="351" t="s">
        <v>598</v>
      </c>
      <c r="C45" s="348" t="s">
        <v>1174</v>
      </c>
      <c r="D45" s="391"/>
      <c r="E45" s="380"/>
      <c r="F45" s="380"/>
      <c r="G45" s="310"/>
      <c r="H45" s="311"/>
      <c r="I45" s="310"/>
      <c r="J45" s="366"/>
    </row>
    <row r="46" spans="1:10" s="371" customFormat="1" ht="12" hidden="1" customHeight="1" outlineLevel="1">
      <c r="A46" s="390"/>
      <c r="B46" s="351" t="s">
        <v>599</v>
      </c>
      <c r="C46" s="348" t="s">
        <v>1160</v>
      </c>
      <c r="D46" s="391"/>
      <c r="E46" s="380"/>
      <c r="F46" s="380"/>
      <c r="G46" s="310"/>
      <c r="H46" s="311"/>
      <c r="I46" s="310"/>
      <c r="J46" s="366"/>
    </row>
    <row r="47" spans="1:10" s="371" customFormat="1" hidden="1" outlineLevel="1">
      <c r="A47" s="390"/>
      <c r="B47" s="352">
        <v>1</v>
      </c>
      <c r="C47" s="353" t="s">
        <v>1159</v>
      </c>
      <c r="D47" s="391"/>
      <c r="E47" s="380"/>
      <c r="F47" s="380"/>
      <c r="G47" s="310" t="s">
        <v>603</v>
      </c>
      <c r="H47" s="311"/>
      <c r="I47" s="310"/>
      <c r="J47" s="366"/>
    </row>
    <row r="48" spans="1:10" s="371" customFormat="1" hidden="1" outlineLevel="1">
      <c r="A48" s="390"/>
      <c r="B48" s="352">
        <v>2</v>
      </c>
      <c r="C48" s="353" t="s">
        <v>1158</v>
      </c>
      <c r="D48" s="391"/>
      <c r="E48" s="380"/>
      <c r="F48" s="380"/>
      <c r="G48" s="310" t="s">
        <v>603</v>
      </c>
      <c r="H48" s="311"/>
      <c r="I48" s="310"/>
      <c r="J48" s="366"/>
    </row>
    <row r="49" spans="1:11" s="371" customFormat="1" hidden="1" outlineLevel="1">
      <c r="A49" s="390"/>
      <c r="B49" s="352">
        <v>3</v>
      </c>
      <c r="C49" s="359" t="s">
        <v>1173</v>
      </c>
      <c r="D49" s="391"/>
      <c r="E49" s="380"/>
      <c r="F49" s="380"/>
      <c r="G49" s="310" t="s">
        <v>603</v>
      </c>
      <c r="H49" s="311"/>
      <c r="I49" s="310"/>
      <c r="J49" s="366"/>
    </row>
    <row r="50" spans="1:11" s="371" customFormat="1" hidden="1" outlineLevel="1">
      <c r="A50" s="390"/>
      <c r="B50" s="352">
        <v>4</v>
      </c>
      <c r="C50" s="359" t="s">
        <v>926</v>
      </c>
      <c r="D50" s="391"/>
      <c r="E50" s="380"/>
      <c r="F50" s="380"/>
      <c r="G50" s="310" t="s">
        <v>603</v>
      </c>
      <c r="H50" s="311"/>
      <c r="I50" s="310"/>
      <c r="J50" s="366"/>
    </row>
    <row r="51" spans="1:11" s="371" customFormat="1" hidden="1" outlineLevel="1">
      <c r="A51" s="390"/>
      <c r="B51" s="352">
        <v>5</v>
      </c>
      <c r="C51" s="353" t="s">
        <v>1157</v>
      </c>
      <c r="D51" s="391"/>
      <c r="E51" s="380"/>
      <c r="F51" s="380"/>
      <c r="G51" s="310" t="s">
        <v>603</v>
      </c>
      <c r="H51" s="311"/>
      <c r="I51" s="310"/>
      <c r="J51" s="366"/>
    </row>
    <row r="52" spans="1:11" s="371" customFormat="1" hidden="1" outlineLevel="1">
      <c r="A52" s="390"/>
      <c r="B52" s="352">
        <v>6</v>
      </c>
      <c r="C52" s="355" t="s">
        <v>1172</v>
      </c>
      <c r="D52" s="391"/>
      <c r="E52" s="380"/>
      <c r="F52" s="380"/>
      <c r="G52" s="310" t="s">
        <v>603</v>
      </c>
      <c r="H52" s="311"/>
      <c r="I52" s="310"/>
      <c r="J52" s="366"/>
    </row>
    <row r="53" spans="1:11" s="371" customFormat="1" hidden="1" outlineLevel="1">
      <c r="A53" s="390"/>
      <c r="B53" s="352">
        <v>7</v>
      </c>
      <c r="C53" s="359" t="s">
        <v>630</v>
      </c>
      <c r="D53" s="391"/>
      <c r="E53" s="380"/>
      <c r="F53" s="380"/>
      <c r="G53" s="310" t="s">
        <v>603</v>
      </c>
      <c r="H53" s="311"/>
      <c r="I53" s="310"/>
      <c r="J53" s="366"/>
    </row>
    <row r="54" spans="1:11" s="371" customFormat="1" hidden="1" outlineLevel="1">
      <c r="A54" s="390"/>
      <c r="B54" s="358" t="s">
        <v>637</v>
      </c>
      <c r="C54" s="356" t="s">
        <v>1171</v>
      </c>
      <c r="D54" s="391"/>
      <c r="E54" s="380"/>
      <c r="F54" s="380"/>
      <c r="G54" s="310"/>
      <c r="H54" s="311"/>
      <c r="I54" s="310"/>
      <c r="J54" s="366"/>
    </row>
    <row r="55" spans="1:11" s="371" customFormat="1" collapsed="1">
      <c r="A55" s="333" t="s">
        <v>23</v>
      </c>
      <c r="B55" s="333" t="s">
        <v>1170</v>
      </c>
      <c r="C55" s="332" t="s">
        <v>1082</v>
      </c>
      <c r="D55" s="334" t="s">
        <v>604</v>
      </c>
      <c r="E55" s="288" t="s">
        <v>596</v>
      </c>
      <c r="F55" s="334" t="str">
        <f>IF(H55&gt;0,"F",IF(I55&gt;0,"A",IF(G55&gt;0,"P","NT")))</f>
        <v>P</v>
      </c>
      <c r="G55" s="334">
        <f>COUNTA(G56:G63)</f>
        <v>5</v>
      </c>
      <c r="H55" s="334">
        <f>COUNTA(H56:H63)</f>
        <v>0</v>
      </c>
      <c r="I55" s="334">
        <f>COUNTA(I56:I63)</f>
        <v>0</v>
      </c>
      <c r="J55" s="365">
        <f>COUNTA(J56:J61)</f>
        <v>0</v>
      </c>
    </row>
    <row r="56" spans="1:11" s="371" customFormat="1" hidden="1" outlineLevel="1">
      <c r="A56" s="290"/>
      <c r="B56" s="354" t="s">
        <v>446</v>
      </c>
      <c r="C56" s="348" t="s">
        <v>1169</v>
      </c>
      <c r="D56" s="391"/>
      <c r="E56" s="392"/>
      <c r="F56" s="289"/>
      <c r="G56" s="314"/>
      <c r="H56" s="315"/>
      <c r="I56" s="316"/>
      <c r="J56" s="364"/>
    </row>
    <row r="57" spans="1:11" s="371" customFormat="1" hidden="1" outlineLevel="1">
      <c r="A57" s="290"/>
      <c r="B57" s="354">
        <v>1</v>
      </c>
      <c r="C57" s="353" t="s">
        <v>621</v>
      </c>
      <c r="D57" s="391"/>
      <c r="E57" s="392"/>
      <c r="F57" s="289"/>
      <c r="G57" s="314" t="s">
        <v>603</v>
      </c>
      <c r="H57" s="315"/>
      <c r="I57" s="316"/>
      <c r="J57" s="364"/>
      <c r="K57" s="287"/>
    </row>
    <row r="58" spans="1:11" s="371" customFormat="1" hidden="1" outlineLevel="1">
      <c r="A58" s="290"/>
      <c r="B58" s="354">
        <v>2</v>
      </c>
      <c r="C58" s="353" t="s">
        <v>1150</v>
      </c>
      <c r="D58" s="391"/>
      <c r="E58" s="392"/>
      <c r="F58" s="289"/>
      <c r="G58" s="314" t="s">
        <v>603</v>
      </c>
      <c r="H58" s="315"/>
      <c r="I58" s="316"/>
      <c r="J58" s="364"/>
      <c r="K58" s="287"/>
    </row>
    <row r="59" spans="1:11" s="371" customFormat="1" hidden="1" outlineLevel="1">
      <c r="A59" s="290"/>
      <c r="B59" s="354">
        <v>3</v>
      </c>
      <c r="C59" s="357" t="s">
        <v>1149</v>
      </c>
      <c r="D59" s="391"/>
      <c r="E59" s="392"/>
      <c r="F59" s="289"/>
      <c r="G59" s="314" t="s">
        <v>603</v>
      </c>
      <c r="H59" s="315"/>
      <c r="I59" s="316"/>
      <c r="J59" s="364"/>
      <c r="K59" s="287"/>
    </row>
    <row r="60" spans="1:11" s="371" customFormat="1" hidden="1" outlineLevel="1">
      <c r="A60" s="290"/>
      <c r="B60" s="354">
        <v>4</v>
      </c>
      <c r="C60" s="348" t="s">
        <v>1168</v>
      </c>
      <c r="D60" s="391"/>
      <c r="E60" s="392"/>
      <c r="F60" s="289"/>
      <c r="G60" s="314" t="s">
        <v>603</v>
      </c>
      <c r="H60" s="315"/>
      <c r="I60" s="316"/>
      <c r="J60" s="364"/>
      <c r="K60" s="287"/>
    </row>
    <row r="61" spans="1:11" s="371" customFormat="1" hidden="1" outlineLevel="1">
      <c r="A61" s="290"/>
      <c r="B61" s="354">
        <v>5</v>
      </c>
      <c r="C61" s="348" t="s">
        <v>1167</v>
      </c>
      <c r="D61" s="391"/>
      <c r="E61" s="392"/>
      <c r="F61" s="289"/>
      <c r="G61" s="314" t="s">
        <v>603</v>
      </c>
      <c r="H61" s="315"/>
      <c r="I61" s="316"/>
      <c r="J61" s="364"/>
      <c r="K61" s="287"/>
    </row>
    <row r="62" spans="1:11" s="371" customFormat="1" ht="30" hidden="1" outlineLevel="1">
      <c r="A62" s="290"/>
      <c r="B62" s="354" t="s">
        <v>634</v>
      </c>
      <c r="C62" s="348" t="s">
        <v>1166</v>
      </c>
      <c r="D62" s="391"/>
      <c r="E62" s="392"/>
      <c r="F62" s="289"/>
      <c r="G62" s="314"/>
      <c r="H62" s="315"/>
      <c r="I62" s="316"/>
      <c r="J62" s="364"/>
      <c r="K62" s="287"/>
    </row>
    <row r="63" spans="1:11" s="371" customFormat="1" hidden="1" outlineLevel="1">
      <c r="A63" s="292"/>
      <c r="B63" s="354">
        <v>6</v>
      </c>
      <c r="C63" s="394" t="s">
        <v>1165</v>
      </c>
      <c r="D63" s="391"/>
      <c r="E63" s="293"/>
      <c r="F63" s="293"/>
      <c r="G63" s="312"/>
      <c r="H63" s="312"/>
      <c r="I63" s="313"/>
      <c r="J63" s="345"/>
      <c r="K63" s="291"/>
    </row>
    <row r="64" spans="1:11" s="371" customFormat="1" hidden="1" outlineLevel="1">
      <c r="A64" s="292"/>
      <c r="B64" s="354">
        <v>7</v>
      </c>
      <c r="C64" s="394" t="s">
        <v>1164</v>
      </c>
      <c r="D64" s="391"/>
      <c r="E64" s="293"/>
      <c r="F64" s="293"/>
      <c r="G64" s="312"/>
      <c r="H64" s="312"/>
      <c r="I64" s="313"/>
      <c r="J64" s="345"/>
      <c r="K64" s="396" t="s">
        <v>979</v>
      </c>
    </row>
    <row r="65" spans="1:11" s="371" customFormat="1" hidden="1" outlineLevel="1">
      <c r="A65" s="292"/>
      <c r="B65" s="354">
        <v>8</v>
      </c>
      <c r="C65" s="394" t="s">
        <v>1316</v>
      </c>
      <c r="D65" s="391"/>
      <c r="E65" s="293"/>
      <c r="F65" s="293"/>
      <c r="G65" s="312"/>
      <c r="H65" s="312"/>
      <c r="I65" s="313"/>
      <c r="J65" s="345"/>
      <c r="K65" s="396"/>
    </row>
    <row r="66" spans="1:11" s="455" customFormat="1" ht="60" hidden="1" outlineLevel="1">
      <c r="A66" s="290"/>
      <c r="B66" s="354" t="s">
        <v>635</v>
      </c>
      <c r="C66" s="348" t="s">
        <v>1317</v>
      </c>
      <c r="D66" s="452"/>
      <c r="E66" s="453"/>
      <c r="F66" s="289"/>
      <c r="G66" s="314"/>
      <c r="H66" s="315"/>
      <c r="I66" s="316"/>
      <c r="J66" s="364"/>
      <c r="K66" s="454"/>
    </row>
    <row r="67" spans="1:11" s="371" customFormat="1" hidden="1" outlineLevel="1">
      <c r="A67" s="292"/>
      <c r="B67" s="354">
        <v>9</v>
      </c>
      <c r="C67" s="359" t="s">
        <v>630</v>
      </c>
      <c r="D67" s="391"/>
      <c r="E67" s="293"/>
      <c r="F67" s="293"/>
      <c r="G67" s="312"/>
      <c r="H67" s="312"/>
      <c r="I67" s="313"/>
      <c r="J67" s="345"/>
      <c r="K67" s="291"/>
    </row>
    <row r="68" spans="1:11" s="423" customFormat="1">
      <c r="A68" s="414"/>
      <c r="B68" s="451"/>
      <c r="C68" s="416"/>
      <c r="D68" s="417"/>
      <c r="E68" s="418"/>
      <c r="F68" s="418"/>
      <c r="G68" s="419"/>
      <c r="H68" s="419"/>
      <c r="I68" s="420"/>
      <c r="J68" s="421"/>
      <c r="K68" s="422"/>
    </row>
    <row r="69" spans="1:11" s="276" customFormat="1" collapsed="1">
      <c r="A69" s="333" t="s">
        <v>23</v>
      </c>
      <c r="B69" s="333" t="s">
        <v>1163</v>
      </c>
      <c r="C69" s="332" t="s">
        <v>1162</v>
      </c>
      <c r="D69" s="334" t="s">
        <v>604</v>
      </c>
      <c r="E69" s="286" t="s">
        <v>596</v>
      </c>
      <c r="F69" s="334" t="str">
        <f>IF(H69&gt;0,"F",IF(I69&gt;0,"A",IF(G69&gt;0,"P","NT")))</f>
        <v>P</v>
      </c>
      <c r="G69" s="334">
        <f>COUNTA(G71:G79)</f>
        <v>7</v>
      </c>
      <c r="H69" s="334">
        <f>COUNTA(H71:H79)</f>
        <v>0</v>
      </c>
      <c r="I69" s="334">
        <f>COUNTA(I71:I79)</f>
        <v>0</v>
      </c>
      <c r="J69" s="365">
        <f>COUNTA(J71:J79)</f>
        <v>0</v>
      </c>
    </row>
    <row r="70" spans="1:11" s="371" customFormat="1" hidden="1" outlineLevel="1">
      <c r="A70" s="390"/>
      <c r="B70" s="351" t="s">
        <v>598</v>
      </c>
      <c r="C70" s="348" t="s">
        <v>1161</v>
      </c>
      <c r="D70" s="391"/>
      <c r="E70" s="380"/>
      <c r="F70" s="380"/>
      <c r="G70" s="310"/>
      <c r="H70" s="311"/>
      <c r="I70" s="310"/>
      <c r="J70" s="366"/>
    </row>
    <row r="71" spans="1:11" s="371" customFormat="1" ht="13.5" hidden="1" customHeight="1" outlineLevel="1">
      <c r="A71" s="390"/>
      <c r="B71" s="354" t="s">
        <v>446</v>
      </c>
      <c r="C71" s="348" t="s">
        <v>1160</v>
      </c>
      <c r="D71" s="391"/>
      <c r="E71" s="380"/>
      <c r="F71" s="380"/>
      <c r="G71" s="310"/>
      <c r="H71" s="311"/>
      <c r="I71" s="310"/>
      <c r="J71" s="366"/>
    </row>
    <row r="72" spans="1:11" s="371" customFormat="1" hidden="1" outlineLevel="1">
      <c r="A72" s="390"/>
      <c r="B72" s="352">
        <v>1</v>
      </c>
      <c r="C72" s="353" t="s">
        <v>1159</v>
      </c>
      <c r="D72" s="391"/>
      <c r="E72" s="380"/>
      <c r="F72" s="380"/>
      <c r="G72" s="310" t="s">
        <v>603</v>
      </c>
      <c r="H72" s="311"/>
      <c r="I72" s="310"/>
      <c r="J72" s="366"/>
    </row>
    <row r="73" spans="1:11" s="371" customFormat="1" hidden="1" outlineLevel="1">
      <c r="A73" s="390"/>
      <c r="B73" s="352">
        <v>2</v>
      </c>
      <c r="C73" s="353" t="s">
        <v>1158</v>
      </c>
      <c r="D73" s="391"/>
      <c r="E73" s="380"/>
      <c r="F73" s="380"/>
      <c r="G73" s="310" t="s">
        <v>603</v>
      </c>
      <c r="H73" s="311"/>
      <c r="I73" s="310"/>
      <c r="J73" s="366"/>
    </row>
    <row r="74" spans="1:11" s="371" customFormat="1" hidden="1" outlineLevel="1">
      <c r="A74" s="390"/>
      <c r="B74" s="352">
        <v>3</v>
      </c>
      <c r="C74" s="357" t="s">
        <v>1157</v>
      </c>
      <c r="D74" s="391"/>
      <c r="E74" s="380"/>
      <c r="F74" s="380"/>
      <c r="G74" s="310" t="s">
        <v>603</v>
      </c>
      <c r="H74" s="311"/>
      <c r="I74" s="310"/>
      <c r="J74" s="366"/>
    </row>
    <row r="75" spans="1:11" s="371" customFormat="1" hidden="1" outlineLevel="1">
      <c r="A75" s="390"/>
      <c r="B75" s="352">
        <v>4</v>
      </c>
      <c r="C75" s="359" t="s">
        <v>1156</v>
      </c>
      <c r="D75" s="391"/>
      <c r="E75" s="380"/>
      <c r="F75" s="380"/>
      <c r="G75" s="310" t="s">
        <v>603</v>
      </c>
      <c r="H75" s="311"/>
      <c r="I75" s="310"/>
      <c r="J75" s="366"/>
    </row>
    <row r="76" spans="1:11" s="371" customFormat="1" hidden="1" outlineLevel="1">
      <c r="A76" s="390"/>
      <c r="B76" s="352">
        <v>5</v>
      </c>
      <c r="C76" s="359" t="s">
        <v>1155</v>
      </c>
      <c r="D76" s="391"/>
      <c r="E76" s="380"/>
      <c r="F76" s="380"/>
      <c r="G76" s="310" t="s">
        <v>603</v>
      </c>
      <c r="H76" s="311"/>
      <c r="I76" s="310"/>
      <c r="J76" s="366"/>
    </row>
    <row r="77" spans="1:11" s="371" customFormat="1" hidden="1" outlineLevel="1">
      <c r="A77" s="390"/>
      <c r="B77" s="352">
        <v>6</v>
      </c>
      <c r="C77" s="359" t="s">
        <v>1154</v>
      </c>
      <c r="D77" s="391"/>
      <c r="E77" s="380"/>
      <c r="F77" s="380"/>
      <c r="G77" s="310" t="s">
        <v>603</v>
      </c>
      <c r="H77" s="311"/>
      <c r="I77" s="310"/>
      <c r="J77" s="366"/>
    </row>
    <row r="78" spans="1:11" s="371" customFormat="1" hidden="1" outlineLevel="1">
      <c r="A78" s="390"/>
      <c r="B78" s="352">
        <v>7</v>
      </c>
      <c r="C78" s="359" t="s">
        <v>630</v>
      </c>
      <c r="D78" s="391"/>
      <c r="E78" s="380"/>
      <c r="F78" s="380"/>
      <c r="G78" s="310" t="s">
        <v>603</v>
      </c>
      <c r="H78" s="311"/>
      <c r="I78" s="310"/>
      <c r="J78" s="366"/>
    </row>
    <row r="79" spans="1:11" s="371" customFormat="1" hidden="1" outlineLevel="1">
      <c r="A79" s="390"/>
      <c r="B79" s="358" t="s">
        <v>638</v>
      </c>
      <c r="C79" s="356" t="s">
        <v>631</v>
      </c>
      <c r="D79" s="391"/>
      <c r="E79" s="380"/>
      <c r="F79" s="380"/>
      <c r="G79" s="310"/>
      <c r="H79" s="311"/>
      <c r="I79" s="310"/>
      <c r="J79" s="366"/>
    </row>
    <row r="80" spans="1:11" s="276" customFormat="1" collapsed="1">
      <c r="A80" s="333" t="s">
        <v>23</v>
      </c>
      <c r="B80" s="333" t="s">
        <v>1153</v>
      </c>
      <c r="C80" s="332" t="s">
        <v>1152</v>
      </c>
      <c r="D80" s="334" t="s">
        <v>604</v>
      </c>
      <c r="E80" s="286" t="s">
        <v>596</v>
      </c>
      <c r="F80" s="334" t="str">
        <f>IF(H80&gt;0,"F",IF(I80&gt;0,"A",IF(G80&gt;0,"P","NT")))</f>
        <v>P</v>
      </c>
      <c r="G80" s="334">
        <f>COUNTA(G82:G89)</f>
        <v>8</v>
      </c>
      <c r="H80" s="334">
        <f>COUNTA(H82:H89)</f>
        <v>0</v>
      </c>
      <c r="I80" s="334">
        <f>COUNTA(I82:I89)</f>
        <v>0</v>
      </c>
      <c r="J80" s="365">
        <f>COUNTA(J82:J89)</f>
        <v>0</v>
      </c>
    </row>
    <row r="81" spans="1:11" s="371" customFormat="1" hidden="1" outlineLevel="1">
      <c r="A81" s="390"/>
      <c r="B81" s="351" t="s">
        <v>598</v>
      </c>
      <c r="C81" s="348" t="s">
        <v>1151</v>
      </c>
      <c r="D81" s="391"/>
      <c r="E81" s="380"/>
      <c r="F81" s="380"/>
      <c r="G81" s="310"/>
      <c r="H81" s="311"/>
      <c r="I81" s="310"/>
      <c r="J81" s="366"/>
    </row>
    <row r="82" spans="1:11" s="371" customFormat="1" hidden="1" outlineLevel="1">
      <c r="A82" s="390"/>
      <c r="B82" s="352">
        <v>1</v>
      </c>
      <c r="C82" s="353" t="s">
        <v>1140</v>
      </c>
      <c r="D82" s="391"/>
      <c r="E82" s="380"/>
      <c r="F82" s="380"/>
      <c r="G82" s="310" t="s">
        <v>603</v>
      </c>
      <c r="H82" s="311"/>
      <c r="I82" s="310"/>
      <c r="J82" s="366"/>
    </row>
    <row r="83" spans="1:11" s="371" customFormat="1" hidden="1" outlineLevel="1">
      <c r="A83" s="390"/>
      <c r="B83" s="352">
        <v>2</v>
      </c>
      <c r="C83" s="353" t="s">
        <v>1150</v>
      </c>
      <c r="D83" s="391"/>
      <c r="E83" s="380"/>
      <c r="F83" s="380"/>
      <c r="G83" s="310" t="s">
        <v>603</v>
      </c>
      <c r="H83" s="311"/>
      <c r="I83" s="310"/>
      <c r="J83" s="366"/>
    </row>
    <row r="84" spans="1:11" s="371" customFormat="1" hidden="1" outlineLevel="1">
      <c r="A84" s="390"/>
      <c r="B84" s="352">
        <v>3</v>
      </c>
      <c r="C84" s="357" t="s">
        <v>1149</v>
      </c>
      <c r="D84" s="391"/>
      <c r="E84" s="380"/>
      <c r="F84" s="380"/>
      <c r="G84" s="310" t="s">
        <v>603</v>
      </c>
      <c r="H84" s="311"/>
      <c r="I84" s="310"/>
      <c r="J84" s="366"/>
    </row>
    <row r="85" spans="1:11" s="371" customFormat="1" hidden="1" outlineLevel="1">
      <c r="A85" s="390"/>
      <c r="B85" s="352">
        <v>4</v>
      </c>
      <c r="C85" s="359" t="s">
        <v>1148</v>
      </c>
      <c r="D85" s="391"/>
      <c r="E85" s="380"/>
      <c r="F85" s="380"/>
      <c r="G85" s="310" t="s">
        <v>603</v>
      </c>
      <c r="H85" s="311"/>
      <c r="I85" s="310"/>
      <c r="J85" s="366"/>
    </row>
    <row r="86" spans="1:11" s="371" customFormat="1" hidden="1" outlineLevel="1">
      <c r="A86" s="390"/>
      <c r="B86" s="352">
        <v>5</v>
      </c>
      <c r="C86" s="359" t="s">
        <v>1147</v>
      </c>
      <c r="D86" s="391"/>
      <c r="E86" s="380"/>
      <c r="F86" s="380"/>
      <c r="G86" s="310" t="s">
        <v>603</v>
      </c>
      <c r="H86" s="311"/>
      <c r="I86" s="310"/>
      <c r="J86" s="366"/>
    </row>
    <row r="87" spans="1:11" s="371" customFormat="1" hidden="1" outlineLevel="1">
      <c r="A87" s="390"/>
      <c r="B87" s="352">
        <v>6</v>
      </c>
      <c r="C87" s="359" t="s">
        <v>1146</v>
      </c>
      <c r="D87" s="391"/>
      <c r="E87" s="380"/>
      <c r="F87" s="380"/>
      <c r="G87" s="310" t="s">
        <v>603</v>
      </c>
      <c r="H87" s="311"/>
      <c r="I87" s="310"/>
      <c r="J87" s="366"/>
    </row>
    <row r="88" spans="1:11" s="371" customFormat="1" hidden="1" outlineLevel="1">
      <c r="A88" s="390"/>
      <c r="B88" s="352">
        <v>7</v>
      </c>
      <c r="C88" s="359" t="s">
        <v>1145</v>
      </c>
      <c r="D88" s="391"/>
      <c r="E88" s="380"/>
      <c r="F88" s="380"/>
      <c r="G88" s="310" t="s">
        <v>603</v>
      </c>
      <c r="H88" s="311"/>
      <c r="I88" s="310"/>
      <c r="J88" s="366"/>
    </row>
    <row r="89" spans="1:11" s="371" customFormat="1" hidden="1" outlineLevel="1">
      <c r="A89" s="390"/>
      <c r="B89" s="352">
        <v>8</v>
      </c>
      <c r="C89" s="359" t="s">
        <v>630</v>
      </c>
      <c r="D89" s="391"/>
      <c r="E89" s="380"/>
      <c r="F89" s="380"/>
      <c r="G89" s="310" t="s">
        <v>603</v>
      </c>
      <c r="H89" s="311"/>
      <c r="I89" s="310"/>
      <c r="J89" s="366"/>
    </row>
    <row r="90" spans="1:11" s="371" customFormat="1" collapsed="1">
      <c r="A90" s="333" t="s">
        <v>23</v>
      </c>
      <c r="B90" s="333" t="s">
        <v>1144</v>
      </c>
      <c r="C90" s="332" t="s">
        <v>1143</v>
      </c>
      <c r="D90" s="334" t="s">
        <v>604</v>
      </c>
      <c r="E90" s="288" t="s">
        <v>596</v>
      </c>
      <c r="F90" s="334" t="str">
        <f>IF(H90&gt;0,"F",IF(I90&gt;0,"A",IF(G90&gt;0,"P","NT")))</f>
        <v>P</v>
      </c>
      <c r="G90" s="334">
        <f>COUNTA(G92:G98)</f>
        <v>5</v>
      </c>
      <c r="H90" s="334">
        <f>COUNTA(H92:H98)</f>
        <v>0</v>
      </c>
      <c r="I90" s="334">
        <f>COUNTA(I92:I108)</f>
        <v>0</v>
      </c>
      <c r="J90" s="365">
        <f>COUNTA(J92:J99)</f>
        <v>0</v>
      </c>
    </row>
    <row r="91" spans="1:11" s="371" customFormat="1" hidden="1" outlineLevel="1">
      <c r="A91" s="390"/>
      <c r="B91" s="351" t="s">
        <v>598</v>
      </c>
      <c r="C91" s="348" t="s">
        <v>1142</v>
      </c>
      <c r="D91" s="391"/>
      <c r="E91" s="380"/>
      <c r="F91" s="380"/>
      <c r="G91" s="310"/>
      <c r="H91" s="311"/>
      <c r="I91" s="310"/>
      <c r="J91" s="366"/>
    </row>
    <row r="92" spans="1:11" s="371" customFormat="1" hidden="1" outlineLevel="1">
      <c r="A92" s="290"/>
      <c r="B92" s="354" t="s">
        <v>446</v>
      </c>
      <c r="C92" s="348" t="s">
        <v>1141</v>
      </c>
      <c r="D92" s="391"/>
      <c r="E92" s="392"/>
      <c r="F92" s="289"/>
      <c r="G92" s="314"/>
      <c r="H92" s="315"/>
      <c r="I92" s="316"/>
      <c r="J92" s="364"/>
    </row>
    <row r="93" spans="1:11" s="371" customFormat="1" hidden="1" outlineLevel="1">
      <c r="A93" s="290"/>
      <c r="B93" s="354">
        <v>1</v>
      </c>
      <c r="C93" s="353" t="s">
        <v>1140</v>
      </c>
      <c r="D93" s="391"/>
      <c r="E93" s="392"/>
      <c r="F93" s="289"/>
      <c r="G93" s="314" t="s">
        <v>603</v>
      </c>
      <c r="H93" s="315"/>
      <c r="I93" s="316"/>
      <c r="J93" s="364"/>
      <c r="K93" s="287"/>
    </row>
    <row r="94" spans="1:11" s="371" customFormat="1" ht="30" hidden="1" outlineLevel="1">
      <c r="A94" s="290"/>
      <c r="B94" s="354">
        <v>2</v>
      </c>
      <c r="C94" s="353" t="s">
        <v>1081</v>
      </c>
      <c r="D94" s="391"/>
      <c r="E94" s="392"/>
      <c r="F94" s="289"/>
      <c r="G94" s="314" t="s">
        <v>603</v>
      </c>
      <c r="H94" s="315"/>
      <c r="I94" s="316"/>
      <c r="J94" s="364"/>
      <c r="K94" s="287"/>
    </row>
    <row r="95" spans="1:11" s="371" customFormat="1" hidden="1" outlineLevel="1">
      <c r="A95" s="290"/>
      <c r="B95" s="354">
        <v>3</v>
      </c>
      <c r="C95" s="357" t="s">
        <v>1139</v>
      </c>
      <c r="D95" s="391"/>
      <c r="E95" s="392"/>
      <c r="F95" s="289"/>
      <c r="G95" s="314" t="s">
        <v>603</v>
      </c>
      <c r="H95" s="315"/>
      <c r="I95" s="316"/>
      <c r="J95" s="364"/>
      <c r="K95" s="287"/>
    </row>
    <row r="96" spans="1:11" s="371" customFormat="1" hidden="1" outlineLevel="1">
      <c r="A96" s="290"/>
      <c r="B96" s="354" t="s">
        <v>639</v>
      </c>
      <c r="C96" s="401" t="s">
        <v>1138</v>
      </c>
      <c r="D96" s="391"/>
      <c r="E96" s="392"/>
      <c r="F96" s="289"/>
      <c r="G96" s="314"/>
      <c r="H96" s="315"/>
      <c r="I96" s="316"/>
      <c r="J96" s="364"/>
      <c r="K96" s="287"/>
    </row>
    <row r="97" spans="1:11" s="371" customFormat="1" hidden="1" outlineLevel="1">
      <c r="A97" s="290"/>
      <c r="B97" s="354">
        <v>4</v>
      </c>
      <c r="C97" s="348" t="s">
        <v>1130</v>
      </c>
      <c r="D97" s="391"/>
      <c r="E97" s="392"/>
      <c r="F97" s="289"/>
      <c r="G97" s="314" t="s">
        <v>603</v>
      </c>
      <c r="H97" s="315"/>
      <c r="I97" s="316"/>
      <c r="J97" s="364"/>
      <c r="K97" s="287"/>
    </row>
    <row r="98" spans="1:11" s="371" customFormat="1" hidden="1" outlineLevel="1">
      <c r="A98" s="290"/>
      <c r="B98" s="354">
        <v>5</v>
      </c>
      <c r="C98" s="348" t="s">
        <v>1137</v>
      </c>
      <c r="D98" s="391"/>
      <c r="E98" s="392"/>
      <c r="F98" s="289"/>
      <c r="G98" s="314" t="s">
        <v>603</v>
      </c>
      <c r="H98" s="315"/>
      <c r="I98" s="316"/>
      <c r="J98" s="364"/>
      <c r="K98" s="287"/>
    </row>
    <row r="99" spans="1:11" s="371" customFormat="1" hidden="1" outlineLevel="1">
      <c r="A99" s="292"/>
      <c r="B99" s="354">
        <v>6</v>
      </c>
      <c r="C99" s="359" t="s">
        <v>1136</v>
      </c>
      <c r="D99" s="391"/>
      <c r="E99" s="293"/>
      <c r="F99" s="293"/>
      <c r="G99" s="312" t="s">
        <v>603</v>
      </c>
      <c r="H99" s="312"/>
      <c r="I99" s="313"/>
      <c r="J99" s="345"/>
      <c r="K99" s="291"/>
    </row>
    <row r="100" spans="1:11" s="371" customFormat="1" ht="30" hidden="1" outlineLevel="1">
      <c r="A100" s="292"/>
      <c r="B100" s="354">
        <v>7</v>
      </c>
      <c r="C100" s="353" t="s">
        <v>1081</v>
      </c>
      <c r="D100" s="391"/>
      <c r="E100" s="293"/>
      <c r="F100" s="293"/>
      <c r="G100" s="312" t="s">
        <v>603</v>
      </c>
      <c r="H100" s="312"/>
      <c r="I100" s="313"/>
      <c r="J100" s="345"/>
      <c r="K100" s="291"/>
    </row>
    <row r="101" spans="1:11" s="371" customFormat="1" hidden="1" outlineLevel="1">
      <c r="A101" s="292"/>
      <c r="B101" s="354">
        <v>8</v>
      </c>
      <c r="C101" s="394" t="s">
        <v>1135</v>
      </c>
      <c r="D101" s="391"/>
      <c r="E101" s="293"/>
      <c r="F101" s="293"/>
      <c r="G101" s="312" t="s">
        <v>603</v>
      </c>
      <c r="H101" s="312"/>
      <c r="I101" s="313"/>
      <c r="J101" s="345"/>
      <c r="K101" s="291"/>
    </row>
    <row r="102" spans="1:11" s="371" customFormat="1" hidden="1" outlineLevel="1">
      <c r="A102" s="292"/>
      <c r="B102" s="354" t="s">
        <v>640</v>
      </c>
      <c r="C102" s="394" t="s">
        <v>1134</v>
      </c>
      <c r="D102" s="391"/>
      <c r="E102" s="293"/>
      <c r="F102" s="293"/>
      <c r="G102" s="312"/>
      <c r="H102" s="312"/>
      <c r="I102" s="313"/>
      <c r="J102" s="345"/>
      <c r="K102" s="291"/>
    </row>
    <row r="103" spans="1:11" s="371" customFormat="1" hidden="1" outlineLevel="1">
      <c r="A103" s="292"/>
      <c r="B103" s="354">
        <v>9</v>
      </c>
      <c r="C103" s="394" t="s">
        <v>1133</v>
      </c>
      <c r="D103" s="391"/>
      <c r="E103" s="293"/>
      <c r="F103" s="293"/>
      <c r="G103" s="312" t="s">
        <v>603</v>
      </c>
      <c r="H103" s="312"/>
      <c r="I103" s="313"/>
      <c r="J103" s="345"/>
      <c r="K103" s="291"/>
    </row>
    <row r="104" spans="1:11" s="371" customFormat="1" hidden="1" outlineLevel="1">
      <c r="A104" s="292"/>
      <c r="B104" s="354">
        <v>10</v>
      </c>
      <c r="C104" s="394" t="s">
        <v>1132</v>
      </c>
      <c r="D104" s="391"/>
      <c r="E104" s="293"/>
      <c r="F104" s="293"/>
      <c r="G104" s="312" t="s">
        <v>603</v>
      </c>
      <c r="H104" s="312"/>
      <c r="I104" s="313"/>
      <c r="J104" s="345"/>
      <c r="K104" s="396" t="s">
        <v>979</v>
      </c>
    </row>
    <row r="105" spans="1:11" s="371" customFormat="1" hidden="1" outlineLevel="1">
      <c r="A105" s="292"/>
      <c r="B105" s="354">
        <v>11</v>
      </c>
      <c r="C105" s="394" t="s">
        <v>1131</v>
      </c>
      <c r="D105" s="391"/>
      <c r="E105" s="293"/>
      <c r="F105" s="293"/>
      <c r="G105" s="312" t="s">
        <v>603</v>
      </c>
      <c r="H105" s="312"/>
      <c r="I105" s="313"/>
      <c r="J105" s="345"/>
      <c r="K105" s="396"/>
    </row>
    <row r="106" spans="1:11" s="371" customFormat="1" hidden="1" outlineLevel="1">
      <c r="A106" s="292"/>
      <c r="B106" s="354">
        <v>12</v>
      </c>
      <c r="C106" s="353" t="s">
        <v>1130</v>
      </c>
      <c r="D106" s="391"/>
      <c r="E106" s="293"/>
      <c r="F106" s="293"/>
      <c r="G106" s="312" t="s">
        <v>603</v>
      </c>
      <c r="H106" s="312"/>
      <c r="I106" s="313"/>
      <c r="J106" s="345"/>
      <c r="K106" s="291"/>
    </row>
    <row r="107" spans="1:11" s="371" customFormat="1" hidden="1" outlineLevel="1">
      <c r="A107" s="292"/>
      <c r="B107" s="354">
        <v>13</v>
      </c>
      <c r="C107" s="353" t="s">
        <v>1129</v>
      </c>
      <c r="D107" s="391"/>
      <c r="E107" s="293"/>
      <c r="F107" s="293"/>
      <c r="G107" s="312" t="s">
        <v>603</v>
      </c>
      <c r="H107" s="312"/>
      <c r="I107" s="313"/>
      <c r="J107" s="345"/>
      <c r="K107" s="291"/>
    </row>
    <row r="108" spans="1:11" s="371" customFormat="1" hidden="1" outlineLevel="1">
      <c r="A108" s="292"/>
      <c r="B108" s="354">
        <v>14</v>
      </c>
      <c r="C108" s="359" t="s">
        <v>630</v>
      </c>
      <c r="D108" s="391"/>
      <c r="E108" s="293"/>
      <c r="F108" s="293"/>
      <c r="G108" s="312" t="s">
        <v>603</v>
      </c>
      <c r="H108" s="312"/>
      <c r="I108" s="313"/>
      <c r="J108" s="345"/>
      <c r="K108" s="291"/>
    </row>
    <row r="109" spans="1:11" s="371" customFormat="1" hidden="1" outlineLevel="1">
      <c r="A109" s="292"/>
      <c r="B109" s="349" t="s">
        <v>641</v>
      </c>
      <c r="C109" s="359" t="s">
        <v>1128</v>
      </c>
      <c r="D109" s="391"/>
      <c r="E109" s="293"/>
      <c r="F109" s="293"/>
      <c r="G109" s="312"/>
      <c r="H109" s="312"/>
      <c r="I109" s="313"/>
      <c r="J109" s="345"/>
      <c r="K109" s="291"/>
    </row>
    <row r="110" spans="1:11" s="371" customFormat="1" hidden="1" outlineLevel="1">
      <c r="A110" s="292"/>
      <c r="B110" s="349" t="s">
        <v>642</v>
      </c>
      <c r="C110" s="359" t="s">
        <v>1127</v>
      </c>
      <c r="D110" s="391"/>
      <c r="E110" s="293"/>
      <c r="F110" s="293"/>
      <c r="G110" s="312"/>
      <c r="H110" s="312"/>
      <c r="I110" s="313"/>
      <c r="J110" s="345"/>
      <c r="K110" s="291"/>
    </row>
    <row r="111" spans="1:11" s="433" customFormat="1">
      <c r="A111" s="428"/>
      <c r="B111" s="429"/>
      <c r="C111" s="430"/>
      <c r="D111" s="431"/>
      <c r="E111" s="428"/>
      <c r="F111" s="428"/>
      <c r="G111" s="428"/>
      <c r="H111" s="428"/>
      <c r="I111" s="428"/>
      <c r="J111" s="432"/>
    </row>
  </sheetData>
  <mergeCells count="12">
    <mergeCell ref="A6:I6"/>
    <mergeCell ref="A7:B7"/>
    <mergeCell ref="C7:I7"/>
    <mergeCell ref="A8:I8"/>
    <mergeCell ref="D9:I9"/>
    <mergeCell ref="A5:B5"/>
    <mergeCell ref="C5:I5"/>
    <mergeCell ref="A1:I1"/>
    <mergeCell ref="A2:I2"/>
    <mergeCell ref="A3:B3"/>
    <mergeCell ref="C3:I3"/>
    <mergeCell ref="A4:I4"/>
  </mergeCells>
  <conditionalFormatting sqref="E10:E11 E44:E54 E31 E69:E65538">
    <cfRule type="cellIs" dxfId="218" priority="115" operator="equal">
      <formula>"Ready to Test"</formula>
    </cfRule>
    <cfRule type="cellIs" dxfId="217" priority="116" operator="equal">
      <formula>"Do Not Test"</formula>
    </cfRule>
    <cfRule type="cellIs" dxfId="216" priority="117" operator="equal">
      <formula>"Ready for Retest"</formula>
    </cfRule>
    <cfRule type="cellIs" dxfId="215" priority="118" operator="equal">
      <formula>"Passed"</formula>
    </cfRule>
  </conditionalFormatting>
  <conditionalFormatting sqref="E63:E68 E99:E110">
    <cfRule type="cellIs" dxfId="214" priority="111" stopIfTrue="1" operator="equal">
      <formula>"Passed"</formula>
    </cfRule>
    <cfRule type="cellIs" dxfId="213" priority="112" stopIfTrue="1" operator="equal">
      <formula>"Do Not Test"</formula>
    </cfRule>
    <cfRule type="cellIs" dxfId="212" priority="113" stopIfTrue="1" operator="equal">
      <formula>"Ready for Retest"</formula>
    </cfRule>
    <cfRule type="cellIs" dxfId="211" priority="114" stopIfTrue="1" operator="equal">
      <formula>"Ready to Test"</formula>
    </cfRule>
  </conditionalFormatting>
  <conditionalFormatting sqref="E3 E7 E5">
    <cfRule type="cellIs" dxfId="210" priority="109" stopIfTrue="1" operator="equal">
      <formula>"Ready to Test"</formula>
    </cfRule>
    <cfRule type="cellIs" dxfId="209" priority="110" stopIfTrue="1" operator="equal">
      <formula>"Do Not Test"</formula>
    </cfRule>
  </conditionalFormatting>
  <conditionalFormatting sqref="E44 E69 E90 E55 E12 E30 E80">
    <cfRule type="cellIs" dxfId="208" priority="108" stopIfTrue="1" operator="equal">
      <formula>"Do Not Test"</formula>
    </cfRule>
  </conditionalFormatting>
  <conditionalFormatting sqref="E44 E69 E90 E55 E12 E30 E80">
    <cfRule type="cellIs" dxfId="207" priority="107" stopIfTrue="1" operator="equal">
      <formula>"Ready To Test"</formula>
    </cfRule>
  </conditionalFormatting>
  <conditionalFormatting sqref="I12:J110">
    <cfRule type="cellIs" dxfId="206" priority="106" operator="greaterThan">
      <formula>0</formula>
    </cfRule>
  </conditionalFormatting>
  <conditionalFormatting sqref="H11:H110">
    <cfRule type="cellIs" dxfId="205" priority="105" operator="greaterThan">
      <formula>0</formula>
    </cfRule>
  </conditionalFormatting>
  <conditionalFormatting sqref="G12:G110">
    <cfRule type="cellIs" dxfId="204" priority="104" operator="greaterThan">
      <formula>0</formula>
    </cfRule>
  </conditionalFormatting>
  <conditionalFormatting sqref="F44 F69 F90 F12 F30 F55 F80">
    <cfRule type="cellIs" dxfId="203" priority="103" operator="equal">
      <formula>"A"</formula>
    </cfRule>
  </conditionalFormatting>
  <conditionalFormatting sqref="F44 F69 F90 F12 F30 F55 F80">
    <cfRule type="cellIs" dxfId="202" priority="101" operator="equal">
      <formula>"F"</formula>
    </cfRule>
    <cfRule type="cellIs" dxfId="201" priority="102" operator="equal">
      <formula>"p"</formula>
    </cfRule>
  </conditionalFormatting>
  <hyperlinks>
    <hyperlink ref="C9" r:id="rId1"/>
  </hyperlinks>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sheetPr>
    <tabColor theme="9"/>
    <outlinePr summaryBelow="0"/>
  </sheetPr>
  <dimension ref="A1:K86"/>
  <sheetViews>
    <sheetView zoomScaleNormal="100" workbookViewId="0">
      <selection sqref="A1:I1"/>
    </sheetView>
  </sheetViews>
  <sheetFormatPr defaultRowHeight="15" outlineLevelRow="1"/>
  <cols>
    <col min="1" max="1" width="8.7109375" style="320" bestFit="1" customWidth="1"/>
    <col min="2" max="2" width="20.85546875" style="324" customWidth="1"/>
    <col min="3" max="3" width="70.140625" style="328" customWidth="1"/>
    <col min="4" max="4" width="10.28515625" style="326" bestFit="1" customWidth="1"/>
    <col min="5" max="5" width="13.28515625" style="320" bestFit="1" customWidth="1"/>
    <col min="6" max="6" width="9.85546875" style="320" bestFit="1" customWidth="1"/>
    <col min="7" max="7" width="8.28515625" style="320" bestFit="1" customWidth="1"/>
    <col min="8" max="8" width="7.5703125" style="320" customWidth="1"/>
    <col min="9" max="9" width="10.5703125" style="320" bestFit="1" customWidth="1"/>
    <col min="10" max="10" width="55.85546875" style="369" customWidth="1"/>
    <col min="11" max="16384" width="9.140625" style="372"/>
  </cols>
  <sheetData>
    <row r="1" spans="1:10" s="397" customFormat="1">
      <c r="A1" s="529" t="s">
        <v>1487</v>
      </c>
      <c r="B1" s="529"/>
      <c r="C1" s="529"/>
      <c r="D1" s="529"/>
      <c r="E1" s="529"/>
      <c r="F1" s="529"/>
      <c r="G1" s="529"/>
      <c r="H1" s="529"/>
      <c r="I1" s="529"/>
      <c r="J1" s="330"/>
    </row>
    <row r="2" spans="1:10" s="398" customFormat="1">
      <c r="A2" s="530"/>
      <c r="B2" s="530"/>
      <c r="C2" s="531"/>
      <c r="D2" s="531"/>
      <c r="E2" s="531"/>
      <c r="F2" s="531"/>
      <c r="G2" s="531"/>
      <c r="H2" s="531"/>
      <c r="I2" s="531"/>
      <c r="J2" s="368"/>
    </row>
    <row r="3" spans="1:10" s="398" customFormat="1" ht="33.75" customHeight="1">
      <c r="A3" s="532" t="s">
        <v>1227</v>
      </c>
      <c r="B3" s="533"/>
      <c r="C3" s="521" t="s">
        <v>1228</v>
      </c>
      <c r="D3" s="522"/>
      <c r="E3" s="522"/>
      <c r="F3" s="522"/>
      <c r="G3" s="522"/>
      <c r="H3" s="522"/>
      <c r="I3" s="523"/>
      <c r="J3" s="409"/>
    </row>
    <row r="4" spans="1:10" s="398" customFormat="1">
      <c r="A4" s="534"/>
      <c r="B4" s="535"/>
      <c r="C4" s="536"/>
      <c r="D4" s="536"/>
      <c r="E4" s="536"/>
      <c r="F4" s="536"/>
      <c r="G4" s="536"/>
      <c r="H4" s="536"/>
      <c r="I4" s="536"/>
      <c r="J4" s="368"/>
    </row>
    <row r="5" spans="1:10" s="397" customFormat="1" ht="30" customHeight="1">
      <c r="A5" s="519" t="s">
        <v>594</v>
      </c>
      <c r="B5" s="520"/>
      <c r="C5" s="526" t="s">
        <v>792</v>
      </c>
      <c r="D5" s="527"/>
      <c r="E5" s="527"/>
      <c r="F5" s="527"/>
      <c r="G5" s="527"/>
      <c r="H5" s="527"/>
      <c r="I5" s="528"/>
      <c r="J5" s="330"/>
    </row>
    <row r="6" spans="1:10" s="397" customFormat="1">
      <c r="A6" s="516"/>
      <c r="B6" s="517"/>
      <c r="C6" s="518"/>
      <c r="D6" s="518"/>
      <c r="E6" s="518"/>
      <c r="F6" s="518"/>
      <c r="G6" s="518"/>
      <c r="H6" s="518"/>
      <c r="I6" s="518"/>
      <c r="J6" s="367"/>
    </row>
    <row r="7" spans="1:10" s="397" customFormat="1" ht="17.25" customHeight="1">
      <c r="A7" s="519" t="s">
        <v>1229</v>
      </c>
      <c r="B7" s="520"/>
      <c r="C7" s="521" t="s">
        <v>1422</v>
      </c>
      <c r="D7" s="522"/>
      <c r="E7" s="522"/>
      <c r="F7" s="522"/>
      <c r="G7" s="522"/>
      <c r="H7" s="522"/>
      <c r="I7" s="523"/>
      <c r="J7" s="330"/>
    </row>
    <row r="8" spans="1:10" s="399" customFormat="1">
      <c r="A8" s="524"/>
      <c r="B8" s="524"/>
      <c r="C8" s="524"/>
      <c r="D8" s="524"/>
      <c r="E8" s="524"/>
      <c r="F8" s="524"/>
      <c r="G8" s="524"/>
      <c r="H8" s="524"/>
      <c r="I8" s="524"/>
      <c r="J8" s="363"/>
    </row>
    <row r="9" spans="1:10" ht="27.75" customHeight="1">
      <c r="A9" s="410" t="s">
        <v>1231</v>
      </c>
      <c r="B9" s="411"/>
      <c r="C9" s="412" t="s">
        <v>1232</v>
      </c>
      <c r="D9" s="525"/>
      <c r="E9" s="525"/>
      <c r="F9" s="525"/>
      <c r="G9" s="525"/>
      <c r="H9" s="525"/>
      <c r="I9" s="525"/>
      <c r="J9" s="413"/>
    </row>
    <row r="10" spans="1:10">
      <c r="A10" s="321"/>
      <c r="B10" s="323"/>
      <c r="C10" s="327"/>
      <c r="D10" s="325"/>
      <c r="E10" s="322"/>
      <c r="F10" s="322"/>
      <c r="G10" s="322"/>
      <c r="H10" s="322"/>
      <c r="I10" s="322"/>
      <c r="J10" s="370"/>
    </row>
    <row r="11" spans="1:10" s="216" customFormat="1" ht="29.25" customHeight="1">
      <c r="A11" s="385" t="s">
        <v>0</v>
      </c>
      <c r="B11" s="379" t="s">
        <v>226</v>
      </c>
      <c r="C11" s="386" t="s">
        <v>540</v>
      </c>
      <c r="D11" s="386" t="s">
        <v>595</v>
      </c>
      <c r="E11" s="387" t="s">
        <v>214</v>
      </c>
      <c r="F11" s="387" t="s">
        <v>584</v>
      </c>
      <c r="G11" s="388" t="s">
        <v>2</v>
      </c>
      <c r="H11" s="389" t="s">
        <v>579</v>
      </c>
      <c r="I11" s="331" t="s">
        <v>583</v>
      </c>
      <c r="J11" s="331" t="s">
        <v>1</v>
      </c>
    </row>
    <row r="12" spans="1:10" s="276" customFormat="1" collapsed="1">
      <c r="A12" s="333" t="s">
        <v>23</v>
      </c>
      <c r="B12" s="333" t="s">
        <v>677</v>
      </c>
      <c r="C12" s="332" t="s">
        <v>679</v>
      </c>
      <c r="D12" s="334" t="s">
        <v>604</v>
      </c>
      <c r="E12" s="286" t="s">
        <v>596</v>
      </c>
      <c r="F12" s="334" t="str">
        <f>IF(H12&gt;0,"F",IF(I12&gt;0,"A",IF(G12&gt;0,"P","NT")))</f>
        <v>P</v>
      </c>
      <c r="G12" s="334">
        <f>COUNTA(G13:G40)</f>
        <v>1</v>
      </c>
      <c r="H12" s="334">
        <f>COUNTA(H13:H40)</f>
        <v>0</v>
      </c>
      <c r="I12" s="334">
        <f>COUNTA(I13:I40)</f>
        <v>0</v>
      </c>
      <c r="J12" s="365">
        <f>COUNTA(J13:J40)</f>
        <v>0</v>
      </c>
    </row>
    <row r="13" spans="1:10" s="371" customFormat="1" hidden="1" outlineLevel="1">
      <c r="A13" s="390"/>
      <c r="B13" s="351" t="s">
        <v>598</v>
      </c>
      <c r="C13" s="348" t="s">
        <v>678</v>
      </c>
      <c r="D13" s="391"/>
      <c r="E13" s="380"/>
      <c r="F13" s="380"/>
      <c r="G13" s="310"/>
      <c r="H13" s="311"/>
      <c r="I13" s="310"/>
      <c r="J13" s="366"/>
    </row>
    <row r="14" spans="1:10" s="371" customFormat="1" hidden="1" outlineLevel="1">
      <c r="A14" s="390"/>
      <c r="B14" s="351" t="s">
        <v>599</v>
      </c>
      <c r="C14" s="348" t="s">
        <v>620</v>
      </c>
      <c r="D14" s="391"/>
      <c r="E14" s="380"/>
      <c r="F14" s="380"/>
      <c r="G14" s="310"/>
      <c r="H14" s="311"/>
      <c r="I14" s="310"/>
      <c r="J14" s="366"/>
    </row>
    <row r="15" spans="1:10" s="371" customFormat="1" hidden="1" outlineLevel="1">
      <c r="A15" s="390"/>
      <c r="B15" s="382" t="s">
        <v>634</v>
      </c>
      <c r="C15" s="348" t="s">
        <v>648</v>
      </c>
      <c r="D15" s="391"/>
      <c r="E15" s="380"/>
      <c r="F15" s="380"/>
      <c r="G15" s="310"/>
      <c r="H15" s="311"/>
      <c r="I15" s="310"/>
      <c r="J15" s="366"/>
    </row>
    <row r="16" spans="1:10" s="371" customFormat="1" hidden="1" outlineLevel="1">
      <c r="A16" s="390"/>
      <c r="B16" s="352">
        <v>1</v>
      </c>
      <c r="C16" s="353" t="s">
        <v>621</v>
      </c>
      <c r="D16" s="391"/>
      <c r="E16" s="380"/>
      <c r="F16" s="380"/>
      <c r="G16" s="310"/>
      <c r="H16" s="311"/>
      <c r="I16" s="310"/>
      <c r="J16" s="366"/>
    </row>
    <row r="17" spans="1:10" s="371" customFormat="1" ht="30" hidden="1" outlineLevel="1">
      <c r="A17" s="390"/>
      <c r="B17" s="352">
        <v>2</v>
      </c>
      <c r="C17" s="353" t="s">
        <v>680</v>
      </c>
      <c r="D17" s="391"/>
      <c r="E17" s="380"/>
      <c r="F17" s="380"/>
      <c r="G17" s="310" t="s">
        <v>603</v>
      </c>
      <c r="H17" s="311"/>
      <c r="I17" s="310"/>
      <c r="J17" s="366"/>
    </row>
    <row r="18" spans="1:10" s="371" customFormat="1" hidden="1" outlineLevel="1">
      <c r="A18" s="390"/>
      <c r="B18" s="352">
        <v>3</v>
      </c>
      <c r="C18" s="353" t="s">
        <v>623</v>
      </c>
      <c r="D18" s="391"/>
      <c r="E18" s="380"/>
      <c r="F18" s="380"/>
      <c r="G18" s="310"/>
      <c r="H18" s="311"/>
      <c r="I18" s="310"/>
      <c r="J18" s="366"/>
    </row>
    <row r="19" spans="1:10" s="371" customFormat="1" hidden="1" outlineLevel="1">
      <c r="A19" s="390"/>
      <c r="B19" s="352">
        <v>4</v>
      </c>
      <c r="C19" s="353" t="s">
        <v>681</v>
      </c>
      <c r="D19" s="391"/>
      <c r="E19" s="380"/>
      <c r="F19" s="380"/>
      <c r="G19" s="310"/>
      <c r="H19" s="311"/>
      <c r="I19" s="310"/>
      <c r="J19" s="366"/>
    </row>
    <row r="20" spans="1:10" s="371" customFormat="1" ht="30" hidden="1" outlineLevel="1">
      <c r="A20" s="390"/>
      <c r="B20" s="382" t="s">
        <v>635</v>
      </c>
      <c r="C20" s="348" t="s">
        <v>850</v>
      </c>
      <c r="D20" s="391"/>
      <c r="E20" s="380"/>
      <c r="F20" s="380"/>
      <c r="G20" s="310"/>
      <c r="H20" s="311"/>
      <c r="I20" s="310"/>
      <c r="J20" s="366"/>
    </row>
    <row r="21" spans="1:10" s="371" customFormat="1" hidden="1" outlineLevel="1">
      <c r="A21" s="390"/>
      <c r="B21" s="352">
        <v>5</v>
      </c>
      <c r="C21" s="353" t="s">
        <v>684</v>
      </c>
      <c r="D21" s="391"/>
      <c r="E21" s="380"/>
      <c r="F21" s="380"/>
      <c r="G21" s="310"/>
      <c r="H21" s="311"/>
      <c r="I21" s="310"/>
      <c r="J21" s="366"/>
    </row>
    <row r="22" spans="1:10" s="371" customFormat="1" ht="135" hidden="1" outlineLevel="1">
      <c r="A22" s="390"/>
      <c r="B22" s="382" t="s">
        <v>636</v>
      </c>
      <c r="C22" s="348" t="s">
        <v>685</v>
      </c>
      <c r="D22" s="391"/>
      <c r="E22" s="380"/>
      <c r="F22" s="380"/>
      <c r="G22" s="310"/>
      <c r="H22" s="311"/>
      <c r="I22" s="310"/>
      <c r="J22" s="366"/>
    </row>
    <row r="23" spans="1:10" s="371" customFormat="1" ht="30" hidden="1" outlineLevel="1">
      <c r="A23" s="390"/>
      <c r="B23" s="382" t="s">
        <v>637</v>
      </c>
      <c r="C23" s="348" t="s">
        <v>686</v>
      </c>
      <c r="D23" s="391"/>
      <c r="E23" s="380"/>
      <c r="F23" s="380"/>
      <c r="G23" s="310"/>
      <c r="H23" s="311"/>
      <c r="I23" s="310"/>
      <c r="J23" s="366"/>
    </row>
    <row r="24" spans="1:10" s="371" customFormat="1" hidden="1" outlineLevel="1">
      <c r="A24" s="390"/>
      <c r="B24" s="352">
        <v>6</v>
      </c>
      <c r="C24" s="353" t="s">
        <v>622</v>
      </c>
      <c r="D24" s="391"/>
      <c r="E24" s="380"/>
      <c r="F24" s="380"/>
      <c r="G24" s="310"/>
      <c r="H24" s="311"/>
      <c r="I24" s="310"/>
      <c r="J24" s="366"/>
    </row>
    <row r="25" spans="1:10" s="371" customFormat="1" hidden="1" outlineLevel="1">
      <c r="A25" s="390"/>
      <c r="B25" s="352">
        <v>7</v>
      </c>
      <c r="C25" s="353" t="s">
        <v>693</v>
      </c>
      <c r="D25" s="391"/>
      <c r="E25" s="380"/>
      <c r="F25" s="380"/>
      <c r="G25" s="310"/>
      <c r="H25" s="311"/>
      <c r="I25" s="310"/>
      <c r="J25" s="366"/>
    </row>
    <row r="26" spans="1:10" s="371" customFormat="1" ht="30" hidden="1" outlineLevel="1">
      <c r="A26" s="390"/>
      <c r="B26" s="352">
        <v>8</v>
      </c>
      <c r="C26" s="353" t="s">
        <v>688</v>
      </c>
      <c r="D26" s="391"/>
      <c r="E26" s="380"/>
      <c r="F26" s="380"/>
      <c r="G26" s="310"/>
      <c r="H26" s="311"/>
      <c r="I26" s="310"/>
      <c r="J26" s="366"/>
    </row>
    <row r="27" spans="1:10" s="371" customFormat="1" hidden="1" outlineLevel="1">
      <c r="A27" s="390"/>
      <c r="B27" s="352">
        <v>9</v>
      </c>
      <c r="C27" s="353" t="s">
        <v>689</v>
      </c>
      <c r="D27" s="391"/>
      <c r="E27" s="380"/>
      <c r="F27" s="380"/>
      <c r="G27" s="310"/>
      <c r="H27" s="311"/>
      <c r="I27" s="310"/>
      <c r="J27" s="366"/>
    </row>
    <row r="28" spans="1:10" s="371" customFormat="1" hidden="1" outlineLevel="1">
      <c r="A28" s="390"/>
      <c r="B28" s="352">
        <v>10</v>
      </c>
      <c r="C28" s="353" t="s">
        <v>690</v>
      </c>
      <c r="D28" s="391"/>
      <c r="E28" s="380"/>
      <c r="F28" s="380"/>
      <c r="G28" s="310"/>
      <c r="H28" s="311"/>
      <c r="I28" s="310"/>
      <c r="J28" s="366"/>
    </row>
    <row r="29" spans="1:10" s="371" customFormat="1" hidden="1" outlineLevel="1">
      <c r="A29" s="390"/>
      <c r="B29" s="352">
        <v>11</v>
      </c>
      <c r="C29" s="353" t="s">
        <v>691</v>
      </c>
      <c r="D29" s="391"/>
      <c r="E29" s="380"/>
      <c r="F29" s="380"/>
      <c r="G29" s="310"/>
      <c r="H29" s="311"/>
      <c r="I29" s="310"/>
      <c r="J29" s="366"/>
    </row>
    <row r="30" spans="1:10" s="371" customFormat="1" ht="30" hidden="1" outlineLevel="1">
      <c r="A30" s="390"/>
      <c r="B30" s="382" t="s">
        <v>638</v>
      </c>
      <c r="C30" s="348" t="s">
        <v>692</v>
      </c>
      <c r="D30" s="391"/>
      <c r="E30" s="380"/>
      <c r="F30" s="380"/>
      <c r="G30" s="310"/>
      <c r="H30" s="311"/>
      <c r="I30" s="310"/>
      <c r="J30" s="366"/>
    </row>
    <row r="31" spans="1:10" s="371" customFormat="1" hidden="1" outlineLevel="1">
      <c r="A31" s="390"/>
      <c r="B31" s="352">
        <v>12</v>
      </c>
      <c r="C31" s="353" t="s">
        <v>694</v>
      </c>
      <c r="D31" s="391"/>
      <c r="E31" s="380"/>
      <c r="F31" s="380"/>
      <c r="G31" s="310"/>
      <c r="H31" s="311"/>
      <c r="I31" s="310"/>
      <c r="J31" s="366"/>
    </row>
    <row r="32" spans="1:10" s="371" customFormat="1" hidden="1" outlineLevel="1">
      <c r="A32" s="390"/>
      <c r="B32" s="352">
        <v>13</v>
      </c>
      <c r="C32" s="353" t="s">
        <v>624</v>
      </c>
      <c r="D32" s="391"/>
      <c r="E32" s="380"/>
      <c r="F32" s="380"/>
      <c r="G32" s="310"/>
      <c r="H32" s="311"/>
      <c r="I32" s="310"/>
      <c r="J32" s="366"/>
    </row>
    <row r="33" spans="1:10" s="371" customFormat="1" ht="180" hidden="1" outlineLevel="1">
      <c r="A33" s="390"/>
      <c r="B33" s="382" t="s">
        <v>639</v>
      </c>
      <c r="C33" s="348" t="s">
        <v>851</v>
      </c>
      <c r="D33" s="391"/>
      <c r="E33" s="380"/>
      <c r="F33" s="380"/>
      <c r="G33" s="310"/>
      <c r="H33" s="311"/>
      <c r="I33" s="310"/>
      <c r="J33" s="366"/>
    </row>
    <row r="34" spans="1:10" s="371" customFormat="1" hidden="1" outlineLevel="1">
      <c r="A34" s="390"/>
      <c r="B34" s="352">
        <v>14</v>
      </c>
      <c r="C34" s="353" t="s">
        <v>658</v>
      </c>
      <c r="D34" s="391"/>
      <c r="E34" s="380"/>
      <c r="F34" s="380"/>
      <c r="G34" s="310"/>
      <c r="H34" s="311"/>
      <c r="I34" s="310"/>
      <c r="J34" s="366"/>
    </row>
    <row r="35" spans="1:10" s="371" customFormat="1" hidden="1" outlineLevel="1">
      <c r="A35" s="390"/>
      <c r="B35" s="349">
        <v>15</v>
      </c>
      <c r="C35" s="359" t="s">
        <v>632</v>
      </c>
      <c r="D35" s="391"/>
      <c r="E35" s="380"/>
      <c r="F35" s="380"/>
      <c r="G35" s="310"/>
      <c r="H35" s="311"/>
      <c r="I35" s="310"/>
      <c r="J35" s="366"/>
    </row>
    <row r="36" spans="1:10" s="371" customFormat="1" hidden="1" outlineLevel="1">
      <c r="A36" s="390"/>
      <c r="B36" s="352">
        <v>16</v>
      </c>
      <c r="C36" s="353" t="s">
        <v>695</v>
      </c>
      <c r="D36" s="391"/>
      <c r="E36" s="380"/>
      <c r="F36" s="380"/>
      <c r="G36" s="310"/>
      <c r="H36" s="311"/>
      <c r="I36" s="310"/>
      <c r="J36" s="366"/>
    </row>
    <row r="37" spans="1:10" s="371" customFormat="1" hidden="1" outlineLevel="1">
      <c r="A37" s="390"/>
      <c r="B37" s="352">
        <v>17</v>
      </c>
      <c r="C37" s="353" t="s">
        <v>659</v>
      </c>
      <c r="D37" s="391"/>
      <c r="E37" s="380"/>
      <c r="F37" s="380"/>
      <c r="G37" s="310"/>
      <c r="H37" s="311"/>
      <c r="I37" s="310"/>
      <c r="J37" s="366"/>
    </row>
    <row r="38" spans="1:10" s="371" customFormat="1" ht="45" hidden="1" outlineLevel="1">
      <c r="A38" s="390"/>
      <c r="B38" s="382" t="s">
        <v>640</v>
      </c>
      <c r="C38" s="348" t="s">
        <v>852</v>
      </c>
      <c r="D38" s="391"/>
      <c r="E38" s="380"/>
      <c r="F38" s="380"/>
      <c r="G38" s="310"/>
      <c r="H38" s="311"/>
      <c r="I38" s="310"/>
      <c r="J38" s="366"/>
    </row>
    <row r="39" spans="1:10" s="371" customFormat="1" hidden="1" outlineLevel="1">
      <c r="A39" s="390"/>
      <c r="B39" s="354">
        <v>18</v>
      </c>
      <c r="C39" s="359" t="s">
        <v>630</v>
      </c>
      <c r="D39" s="391"/>
      <c r="E39" s="380"/>
      <c r="F39" s="380"/>
      <c r="G39" s="310"/>
      <c r="H39" s="311"/>
      <c r="I39" s="310"/>
      <c r="J39" s="366"/>
    </row>
    <row r="40" spans="1:10" s="371" customFormat="1" hidden="1" outlineLevel="1">
      <c r="A40" s="390"/>
      <c r="B40" s="352" t="s">
        <v>641</v>
      </c>
      <c r="C40" s="353" t="s">
        <v>631</v>
      </c>
      <c r="D40" s="391"/>
      <c r="E40" s="380"/>
      <c r="F40" s="380"/>
      <c r="G40" s="310"/>
      <c r="H40" s="311"/>
      <c r="I40" s="310"/>
      <c r="J40" s="366"/>
    </row>
    <row r="41" spans="1:10" s="276" customFormat="1" collapsed="1">
      <c r="A41" s="333" t="s">
        <v>23</v>
      </c>
      <c r="B41" s="333" t="s">
        <v>696</v>
      </c>
      <c r="C41" s="332" t="s">
        <v>697</v>
      </c>
      <c r="D41" s="334" t="s">
        <v>604</v>
      </c>
      <c r="E41" s="286" t="s">
        <v>596</v>
      </c>
      <c r="F41" s="334" t="str">
        <f>IF(H41&gt;0,"F",IF(I41&gt;0,"A",IF(G41&gt;0,"P","NT")))</f>
        <v>P</v>
      </c>
      <c r="G41" s="334">
        <f>COUNTA(G42:G53)</f>
        <v>1</v>
      </c>
      <c r="H41" s="334">
        <f>COUNTA(H42:H53)</f>
        <v>0</v>
      </c>
      <c r="I41" s="334">
        <f>COUNTA(I42:I53)</f>
        <v>0</v>
      </c>
      <c r="J41" s="365">
        <f>COUNTA(J42:J53)</f>
        <v>0</v>
      </c>
    </row>
    <row r="42" spans="1:10" s="371" customFormat="1" ht="30" hidden="1" outlineLevel="1">
      <c r="A42" s="390"/>
      <c r="B42" s="354" t="s">
        <v>446</v>
      </c>
      <c r="C42" s="348" t="s">
        <v>698</v>
      </c>
      <c r="D42" s="391"/>
      <c r="E42" s="380"/>
      <c r="F42" s="380"/>
      <c r="G42" s="310"/>
      <c r="H42" s="311"/>
      <c r="I42" s="310"/>
      <c r="J42" s="366"/>
    </row>
    <row r="43" spans="1:10" s="371" customFormat="1" hidden="1" outlineLevel="1">
      <c r="A43" s="390"/>
      <c r="B43" s="354">
        <v>1</v>
      </c>
      <c r="C43" s="353" t="s">
        <v>621</v>
      </c>
      <c r="D43" s="391"/>
      <c r="E43" s="380"/>
      <c r="F43" s="380"/>
      <c r="G43" s="310"/>
      <c r="H43" s="311"/>
      <c r="I43" s="310"/>
      <c r="J43" s="366"/>
    </row>
    <row r="44" spans="1:10" s="371" customFormat="1" ht="30" hidden="1" outlineLevel="1">
      <c r="A44" s="390"/>
      <c r="B44" s="354">
        <v>2</v>
      </c>
      <c r="C44" s="353" t="s">
        <v>699</v>
      </c>
      <c r="D44" s="391"/>
      <c r="E44" s="380"/>
      <c r="F44" s="380"/>
      <c r="G44" s="310" t="s">
        <v>603</v>
      </c>
      <c r="H44" s="311"/>
      <c r="I44" s="310"/>
      <c r="J44" s="366"/>
    </row>
    <row r="45" spans="1:10" s="371" customFormat="1" hidden="1" outlineLevel="1">
      <c r="A45" s="390"/>
      <c r="B45" s="354">
        <v>3</v>
      </c>
      <c r="C45" s="357" t="s">
        <v>700</v>
      </c>
      <c r="D45" s="391"/>
      <c r="E45" s="380"/>
      <c r="F45" s="380"/>
      <c r="G45" s="310"/>
      <c r="H45" s="311"/>
      <c r="I45" s="310"/>
      <c r="J45" s="366"/>
    </row>
    <row r="46" spans="1:10" s="371" customFormat="1" hidden="1" outlineLevel="1">
      <c r="A46" s="390"/>
      <c r="B46" s="354">
        <v>4</v>
      </c>
      <c r="C46" s="359" t="s">
        <v>701</v>
      </c>
      <c r="D46" s="391"/>
      <c r="E46" s="380"/>
      <c r="F46" s="380"/>
      <c r="G46" s="310"/>
      <c r="H46" s="311"/>
      <c r="I46" s="310"/>
      <c r="J46" s="366"/>
    </row>
    <row r="47" spans="1:10" s="371" customFormat="1" hidden="1" outlineLevel="1">
      <c r="A47" s="390"/>
      <c r="B47" s="349">
        <v>5</v>
      </c>
      <c r="C47" s="359" t="s">
        <v>702</v>
      </c>
      <c r="D47" s="391"/>
      <c r="E47" s="380"/>
      <c r="F47" s="380"/>
      <c r="G47" s="310"/>
      <c r="H47" s="311"/>
      <c r="I47" s="310"/>
      <c r="J47" s="366"/>
    </row>
    <row r="48" spans="1:10" s="371" customFormat="1" hidden="1" outlineLevel="1">
      <c r="A48" s="390"/>
      <c r="B48" s="349">
        <v>6</v>
      </c>
      <c r="C48" s="359" t="s">
        <v>632</v>
      </c>
      <c r="D48" s="391"/>
      <c r="E48" s="380"/>
      <c r="F48" s="380"/>
      <c r="G48" s="310"/>
      <c r="H48" s="311"/>
      <c r="I48" s="310"/>
      <c r="J48" s="366"/>
    </row>
    <row r="49" spans="1:11" s="371" customFormat="1" hidden="1" outlineLevel="1">
      <c r="A49" s="390"/>
      <c r="B49" s="354">
        <v>7</v>
      </c>
      <c r="C49" s="353" t="s">
        <v>695</v>
      </c>
      <c r="D49" s="391"/>
      <c r="E49" s="380"/>
      <c r="F49" s="380"/>
      <c r="G49" s="310"/>
      <c r="H49" s="311"/>
      <c r="I49" s="310"/>
      <c r="J49" s="366"/>
    </row>
    <row r="50" spans="1:11" s="371" customFormat="1" hidden="1" outlineLevel="1">
      <c r="A50" s="390"/>
      <c r="B50" s="354">
        <v>8</v>
      </c>
      <c r="C50" s="355" t="s">
        <v>659</v>
      </c>
      <c r="D50" s="391"/>
      <c r="E50" s="380"/>
      <c r="F50" s="380"/>
      <c r="G50" s="310"/>
      <c r="H50" s="311"/>
      <c r="I50" s="310"/>
      <c r="J50" s="366"/>
    </row>
    <row r="51" spans="1:11" s="371" customFormat="1" ht="45" hidden="1" outlineLevel="1">
      <c r="A51" s="390"/>
      <c r="B51" s="382" t="s">
        <v>642</v>
      </c>
      <c r="C51" s="348" t="s">
        <v>853</v>
      </c>
      <c r="D51" s="391"/>
      <c r="E51" s="380"/>
      <c r="F51" s="380"/>
      <c r="G51" s="310"/>
      <c r="H51" s="311"/>
      <c r="I51" s="310"/>
      <c r="J51" s="366"/>
    </row>
    <row r="52" spans="1:11" s="371" customFormat="1" hidden="1" outlineLevel="1">
      <c r="A52" s="390"/>
      <c r="B52" s="354">
        <v>9</v>
      </c>
      <c r="C52" s="359" t="s">
        <v>630</v>
      </c>
      <c r="D52" s="391"/>
      <c r="E52" s="380"/>
      <c r="F52" s="380"/>
      <c r="G52" s="310"/>
      <c r="H52" s="311"/>
      <c r="I52" s="310"/>
      <c r="J52" s="366"/>
    </row>
    <row r="53" spans="1:11" s="371" customFormat="1" hidden="1" outlineLevel="1">
      <c r="A53" s="390"/>
      <c r="B53" s="358" t="s">
        <v>643</v>
      </c>
      <c r="C53" s="356" t="s">
        <v>631</v>
      </c>
      <c r="D53" s="391"/>
      <c r="E53" s="380"/>
      <c r="F53" s="380"/>
      <c r="G53" s="310"/>
      <c r="H53" s="311"/>
      <c r="I53" s="310"/>
      <c r="J53" s="366"/>
    </row>
    <row r="54" spans="1:11" s="371" customFormat="1" collapsed="1">
      <c r="A54" s="333" t="s">
        <v>23</v>
      </c>
      <c r="B54" s="333" t="s">
        <v>703</v>
      </c>
      <c r="C54" s="332" t="s">
        <v>704</v>
      </c>
      <c r="D54" s="334" t="s">
        <v>604</v>
      </c>
      <c r="E54" s="288" t="s">
        <v>596</v>
      </c>
      <c r="F54" s="334" t="str">
        <f>IF(H54&gt;0,"F",IF(I54&gt;0,"A",IF(G54&gt;0,"P","NT")))</f>
        <v>P</v>
      </c>
      <c r="G54" s="334">
        <f>COUNTA(G55:G69)</f>
        <v>1</v>
      </c>
      <c r="H54" s="334">
        <f>COUNTA(H55:H69)</f>
        <v>0</v>
      </c>
      <c r="I54" s="334">
        <f>COUNTA(I55:I69)</f>
        <v>0</v>
      </c>
      <c r="J54" s="365">
        <f>COUNTA(J55:J69)</f>
        <v>0</v>
      </c>
    </row>
    <row r="55" spans="1:11" s="371" customFormat="1" ht="30" hidden="1" outlineLevel="1">
      <c r="A55" s="290"/>
      <c r="B55" s="354" t="s">
        <v>446</v>
      </c>
      <c r="C55" s="348" t="s">
        <v>705</v>
      </c>
      <c r="D55" s="391"/>
      <c r="E55" s="392"/>
      <c r="F55" s="289"/>
      <c r="G55" s="314"/>
      <c r="H55" s="315"/>
      <c r="I55" s="316"/>
      <c r="J55" s="364"/>
    </row>
    <row r="56" spans="1:11" s="371" customFormat="1" hidden="1" outlineLevel="1">
      <c r="A56" s="290"/>
      <c r="B56" s="354">
        <v>1</v>
      </c>
      <c r="C56" s="353" t="s">
        <v>621</v>
      </c>
      <c r="D56" s="391"/>
      <c r="E56" s="392"/>
      <c r="F56" s="289"/>
      <c r="G56" s="314"/>
      <c r="H56" s="315"/>
      <c r="I56" s="316"/>
      <c r="J56" s="364"/>
      <c r="K56" s="287"/>
    </row>
    <row r="57" spans="1:11" s="371" customFormat="1" ht="30" hidden="1" outlineLevel="1">
      <c r="A57" s="290"/>
      <c r="B57" s="354">
        <v>2</v>
      </c>
      <c r="C57" s="353" t="s">
        <v>699</v>
      </c>
      <c r="D57" s="391"/>
      <c r="E57" s="392"/>
      <c r="F57" s="289"/>
      <c r="G57" s="314" t="s">
        <v>603</v>
      </c>
      <c r="H57" s="315"/>
      <c r="I57" s="316"/>
      <c r="J57" s="364"/>
      <c r="K57" s="287"/>
    </row>
    <row r="58" spans="1:11" s="371" customFormat="1" hidden="1" outlineLevel="1">
      <c r="A58" s="290"/>
      <c r="B58" s="354">
        <v>3</v>
      </c>
      <c r="C58" s="357" t="s">
        <v>700</v>
      </c>
      <c r="D58" s="391"/>
      <c r="E58" s="392"/>
      <c r="F58" s="289"/>
      <c r="G58" s="314"/>
      <c r="H58" s="315"/>
      <c r="I58" s="316"/>
      <c r="J58" s="364"/>
      <c r="K58" s="287"/>
    </row>
    <row r="59" spans="1:11" s="371" customFormat="1" hidden="1" outlineLevel="1">
      <c r="A59" s="390"/>
      <c r="B59" s="352">
        <v>4</v>
      </c>
      <c r="C59" s="353" t="s">
        <v>706</v>
      </c>
      <c r="D59" s="391"/>
      <c r="E59" s="380"/>
      <c r="F59" s="380"/>
      <c r="G59" s="310"/>
      <c r="H59" s="311"/>
      <c r="I59" s="310"/>
      <c r="J59" s="366"/>
    </row>
    <row r="60" spans="1:11" s="371" customFormat="1" hidden="1" outlineLevel="1">
      <c r="A60" s="290"/>
      <c r="B60" s="354">
        <v>5</v>
      </c>
      <c r="C60" s="348" t="s">
        <v>707</v>
      </c>
      <c r="D60" s="391"/>
      <c r="E60" s="392"/>
      <c r="F60" s="289"/>
      <c r="G60" s="314"/>
      <c r="H60" s="315"/>
      <c r="I60" s="316"/>
      <c r="J60" s="364"/>
      <c r="K60" s="287"/>
    </row>
    <row r="61" spans="1:11" s="371" customFormat="1" ht="45" hidden="1" outlineLevel="1">
      <c r="A61" s="290"/>
      <c r="B61" s="349" t="s">
        <v>644</v>
      </c>
      <c r="C61" s="348" t="s">
        <v>854</v>
      </c>
      <c r="D61" s="391"/>
      <c r="E61" s="393"/>
      <c r="F61" s="375"/>
      <c r="G61" s="376"/>
      <c r="H61" s="377"/>
      <c r="I61" s="378"/>
      <c r="J61" s="364"/>
      <c r="K61" s="287"/>
    </row>
    <row r="62" spans="1:11" s="371" customFormat="1" hidden="1" outlineLevel="1">
      <c r="A62" s="290"/>
      <c r="B62" s="354">
        <v>6</v>
      </c>
      <c r="C62" s="348" t="s">
        <v>708</v>
      </c>
      <c r="D62" s="391"/>
      <c r="E62" s="392"/>
      <c r="F62" s="289"/>
      <c r="G62" s="314"/>
      <c r="H62" s="315"/>
      <c r="I62" s="316"/>
      <c r="J62" s="364"/>
      <c r="K62" s="287"/>
    </row>
    <row r="63" spans="1:11" s="371" customFormat="1" hidden="1" outlineLevel="1">
      <c r="A63" s="290"/>
      <c r="B63" s="349" t="s">
        <v>645</v>
      </c>
      <c r="C63" s="348" t="s">
        <v>709</v>
      </c>
      <c r="D63" s="391"/>
      <c r="E63" s="393"/>
      <c r="F63" s="375"/>
      <c r="G63" s="376"/>
      <c r="H63" s="377"/>
      <c r="I63" s="378"/>
      <c r="J63" s="364"/>
      <c r="K63" s="287"/>
    </row>
    <row r="64" spans="1:11" s="371" customFormat="1" hidden="1" outlineLevel="1">
      <c r="A64" s="390"/>
      <c r="B64" s="349">
        <v>7</v>
      </c>
      <c r="C64" s="359" t="s">
        <v>632</v>
      </c>
      <c r="D64" s="391"/>
      <c r="E64" s="380"/>
      <c r="F64" s="380"/>
      <c r="G64" s="310"/>
      <c r="H64" s="311"/>
      <c r="I64" s="310"/>
      <c r="J64" s="366"/>
    </row>
    <row r="65" spans="1:11" s="371" customFormat="1" hidden="1" outlineLevel="1">
      <c r="A65" s="390"/>
      <c r="B65" s="352">
        <v>8</v>
      </c>
      <c r="C65" s="353" t="s">
        <v>695</v>
      </c>
      <c r="D65" s="391"/>
      <c r="E65" s="380"/>
      <c r="F65" s="380"/>
      <c r="G65" s="310"/>
      <c r="H65" s="311"/>
      <c r="I65" s="310"/>
      <c r="J65" s="366"/>
    </row>
    <row r="66" spans="1:11" s="371" customFormat="1" hidden="1" outlineLevel="1">
      <c r="A66" s="390"/>
      <c r="B66" s="352">
        <v>9</v>
      </c>
      <c r="C66" s="353" t="s">
        <v>659</v>
      </c>
      <c r="D66" s="391"/>
      <c r="E66" s="380"/>
      <c r="F66" s="380"/>
      <c r="G66" s="310"/>
      <c r="H66" s="311"/>
      <c r="I66" s="310"/>
      <c r="J66" s="366"/>
    </row>
    <row r="67" spans="1:11" s="371" customFormat="1" ht="45" hidden="1" outlineLevel="1">
      <c r="A67" s="390"/>
      <c r="B67" s="382" t="s">
        <v>646</v>
      </c>
      <c r="C67" s="348" t="s">
        <v>710</v>
      </c>
      <c r="D67" s="391"/>
      <c r="E67" s="380"/>
      <c r="F67" s="380"/>
      <c r="G67" s="310"/>
      <c r="H67" s="311"/>
      <c r="I67" s="310"/>
      <c r="J67" s="366"/>
    </row>
    <row r="68" spans="1:11" s="371" customFormat="1" hidden="1" outlineLevel="1">
      <c r="A68" s="390"/>
      <c r="B68" s="354">
        <v>10</v>
      </c>
      <c r="C68" s="359" t="s">
        <v>630</v>
      </c>
      <c r="D68" s="391"/>
      <c r="E68" s="380"/>
      <c r="F68" s="380"/>
      <c r="G68" s="310"/>
      <c r="H68" s="311"/>
      <c r="I68" s="310"/>
      <c r="J68" s="366"/>
    </row>
    <row r="69" spans="1:11" s="371" customFormat="1" hidden="1" outlineLevel="1">
      <c r="A69" s="390"/>
      <c r="B69" s="358" t="s">
        <v>647</v>
      </c>
      <c r="C69" s="374" t="s">
        <v>631</v>
      </c>
      <c r="D69" s="391"/>
      <c r="E69" s="380"/>
      <c r="F69" s="380"/>
      <c r="G69" s="310"/>
      <c r="H69" s="311"/>
      <c r="I69" s="310"/>
      <c r="J69" s="366"/>
    </row>
    <row r="70" spans="1:11" s="371" customFormat="1" collapsed="1">
      <c r="A70" s="333" t="s">
        <v>23</v>
      </c>
      <c r="B70" s="333" t="s">
        <v>711</v>
      </c>
      <c r="C70" s="332" t="s">
        <v>712</v>
      </c>
      <c r="D70" s="334" t="s">
        <v>604</v>
      </c>
      <c r="E70" s="294" t="s">
        <v>596</v>
      </c>
      <c r="F70" s="334" t="str">
        <f>IF(H70&gt;0,"F",IF(I70&gt;0,"A",IF(G70&gt;0,"P","NT")))</f>
        <v>P</v>
      </c>
      <c r="G70" s="334">
        <f>COUNTA(G71:G83)</f>
        <v>1</v>
      </c>
      <c r="H70" s="334">
        <f>COUNTA(H71:H83)</f>
        <v>0</v>
      </c>
      <c r="I70" s="334">
        <f>COUNTA(I71:I83)</f>
        <v>0</v>
      </c>
      <c r="J70" s="365">
        <f>COUNTA(J71:J83)</f>
        <v>0</v>
      </c>
      <c r="K70" s="291"/>
    </row>
    <row r="71" spans="1:11" s="371" customFormat="1" ht="30" hidden="1" outlineLevel="1">
      <c r="A71" s="292"/>
      <c r="B71" s="354" t="s">
        <v>446</v>
      </c>
      <c r="C71" s="348" t="s">
        <v>698</v>
      </c>
      <c r="D71" s="391"/>
      <c r="E71" s="293"/>
      <c r="F71" s="293"/>
      <c r="G71" s="312"/>
      <c r="H71" s="312"/>
      <c r="I71" s="313"/>
      <c r="J71" s="345"/>
      <c r="K71" s="291"/>
    </row>
    <row r="72" spans="1:11" s="371" customFormat="1" hidden="1" outlineLevel="1">
      <c r="A72" s="292"/>
      <c r="B72" s="354">
        <v>1</v>
      </c>
      <c r="C72" s="353" t="s">
        <v>621</v>
      </c>
      <c r="D72" s="391"/>
      <c r="E72" s="293"/>
      <c r="F72" s="293"/>
      <c r="G72" s="312"/>
      <c r="H72" s="312"/>
      <c r="I72" s="313"/>
      <c r="J72" s="345"/>
      <c r="K72" s="291"/>
    </row>
    <row r="73" spans="1:11" s="371" customFormat="1" hidden="1" outlineLevel="1">
      <c r="A73" s="292"/>
      <c r="B73" s="354">
        <v>2</v>
      </c>
      <c r="C73" s="359" t="s">
        <v>713</v>
      </c>
      <c r="D73" s="391"/>
      <c r="E73" s="293"/>
      <c r="F73" s="293"/>
      <c r="G73" s="312"/>
      <c r="H73" s="312"/>
      <c r="I73" s="313"/>
      <c r="J73" s="345"/>
      <c r="K73" s="291"/>
    </row>
    <row r="74" spans="1:11" s="371" customFormat="1" hidden="1" outlineLevel="1">
      <c r="A74" s="390"/>
      <c r="B74" s="349">
        <v>3</v>
      </c>
      <c r="C74" s="359" t="s">
        <v>632</v>
      </c>
      <c r="D74" s="391"/>
      <c r="E74" s="380"/>
      <c r="F74" s="380"/>
      <c r="G74" s="310"/>
      <c r="H74" s="311"/>
      <c r="I74" s="310"/>
      <c r="J74" s="366"/>
    </row>
    <row r="75" spans="1:11" s="371" customFormat="1" hidden="1" outlineLevel="1">
      <c r="A75" s="292"/>
      <c r="B75" s="354">
        <v>4</v>
      </c>
      <c r="C75" s="353" t="s">
        <v>695</v>
      </c>
      <c r="D75" s="391"/>
      <c r="E75" s="293"/>
      <c r="F75" s="293"/>
      <c r="G75" s="312"/>
      <c r="H75" s="312"/>
      <c r="I75" s="313"/>
      <c r="J75" s="345"/>
      <c r="K75" s="291"/>
    </row>
    <row r="76" spans="1:11" s="371" customFormat="1" hidden="1" outlineLevel="1">
      <c r="A76" s="390"/>
      <c r="B76" s="352">
        <v>5</v>
      </c>
      <c r="C76" s="353" t="s">
        <v>659</v>
      </c>
      <c r="D76" s="391"/>
      <c r="E76" s="380"/>
      <c r="F76" s="380"/>
      <c r="G76" s="310"/>
      <c r="H76" s="311"/>
      <c r="I76" s="310"/>
      <c r="J76" s="366"/>
    </row>
    <row r="77" spans="1:11" s="371" customFormat="1" ht="105" hidden="1" outlineLevel="1">
      <c r="A77" s="390"/>
      <c r="B77" s="382" t="s">
        <v>717</v>
      </c>
      <c r="C77" s="348" t="s">
        <v>714</v>
      </c>
      <c r="D77" s="391"/>
      <c r="E77" s="380"/>
      <c r="F77" s="380"/>
      <c r="G77" s="310"/>
      <c r="H77" s="311"/>
      <c r="I77" s="310"/>
      <c r="J77" s="366"/>
    </row>
    <row r="78" spans="1:11" s="371" customFormat="1" ht="30" hidden="1" outlineLevel="1">
      <c r="A78" s="390"/>
      <c r="B78" s="352" t="s">
        <v>718</v>
      </c>
      <c r="C78" s="353" t="s">
        <v>715</v>
      </c>
      <c r="D78" s="391"/>
      <c r="E78" s="380"/>
      <c r="F78" s="380"/>
      <c r="G78" s="310"/>
      <c r="H78" s="311"/>
      <c r="I78" s="310"/>
      <c r="J78" s="366"/>
    </row>
    <row r="79" spans="1:11" s="371" customFormat="1" hidden="1" outlineLevel="1">
      <c r="A79" s="390"/>
      <c r="B79" s="352">
        <v>6</v>
      </c>
      <c r="C79" s="353" t="s">
        <v>716</v>
      </c>
      <c r="D79" s="391"/>
      <c r="E79" s="380"/>
      <c r="F79" s="380"/>
      <c r="G79" s="310" t="s">
        <v>603</v>
      </c>
      <c r="H79" s="311"/>
      <c r="I79" s="310"/>
      <c r="J79" s="366"/>
    </row>
    <row r="80" spans="1:11" s="371" customFormat="1" hidden="1" outlineLevel="1">
      <c r="A80" s="390"/>
      <c r="B80" s="352">
        <v>7</v>
      </c>
      <c r="C80" s="353" t="s">
        <v>659</v>
      </c>
      <c r="D80" s="391"/>
      <c r="E80" s="380"/>
      <c r="F80" s="380"/>
      <c r="G80" s="310"/>
      <c r="H80" s="311"/>
      <c r="I80" s="310"/>
      <c r="J80" s="366"/>
    </row>
    <row r="81" spans="1:11" s="371" customFormat="1" ht="75" hidden="1" outlineLevel="1">
      <c r="A81" s="390"/>
      <c r="B81" s="382" t="s">
        <v>719</v>
      </c>
      <c r="C81" s="348" t="s">
        <v>855</v>
      </c>
      <c r="D81" s="391"/>
      <c r="E81" s="380"/>
      <c r="F81" s="380"/>
      <c r="G81" s="310"/>
      <c r="H81" s="311"/>
      <c r="I81" s="310"/>
      <c r="J81" s="366"/>
    </row>
    <row r="82" spans="1:11" s="371" customFormat="1" ht="90" hidden="1" outlineLevel="1">
      <c r="A82" s="390"/>
      <c r="B82" s="382" t="s">
        <v>720</v>
      </c>
      <c r="C82" s="381" t="s">
        <v>721</v>
      </c>
      <c r="D82" s="391"/>
      <c r="E82" s="380"/>
      <c r="F82" s="380"/>
      <c r="G82" s="310"/>
      <c r="H82" s="311"/>
      <c r="I82" s="310"/>
      <c r="J82" s="366"/>
    </row>
    <row r="83" spans="1:11" s="371" customFormat="1" hidden="1" outlineLevel="1">
      <c r="A83" s="292"/>
      <c r="B83" s="349">
        <v>8</v>
      </c>
      <c r="C83" s="359" t="s">
        <v>630</v>
      </c>
      <c r="D83" s="391"/>
      <c r="E83" s="293"/>
      <c r="F83" s="293"/>
      <c r="G83" s="312"/>
      <c r="H83" s="312"/>
      <c r="I83" s="313"/>
      <c r="J83" s="345"/>
      <c r="K83" s="291"/>
    </row>
    <row r="84" spans="1:11" s="371" customFormat="1" ht="30" hidden="1" outlineLevel="1">
      <c r="A84" s="390"/>
      <c r="B84" s="382" t="s">
        <v>722</v>
      </c>
      <c r="C84" s="348" t="s">
        <v>675</v>
      </c>
      <c r="D84" s="391"/>
      <c r="E84" s="380"/>
      <c r="F84" s="380"/>
      <c r="G84" s="310"/>
      <c r="H84" s="311"/>
      <c r="I84" s="310"/>
      <c r="J84" s="366"/>
    </row>
    <row r="85" spans="1:11" s="433" customFormat="1" collapsed="1">
      <c r="A85" s="428"/>
      <c r="B85" s="429"/>
      <c r="C85" s="430"/>
      <c r="D85" s="431"/>
      <c r="E85" s="428"/>
      <c r="F85" s="428"/>
      <c r="G85" s="428"/>
      <c r="H85" s="428"/>
      <c r="I85" s="428"/>
      <c r="J85" s="432"/>
    </row>
    <row r="86" spans="1:11" s="440" customFormat="1" hidden="1" outlineLevel="1">
      <c r="A86" s="434"/>
      <c r="B86" s="424">
        <v>1</v>
      </c>
      <c r="C86" s="425" t="s">
        <v>1260</v>
      </c>
      <c r="D86" s="435"/>
      <c r="E86" s="436"/>
      <c r="F86" s="436"/>
      <c r="G86" s="437" t="s">
        <v>603</v>
      </c>
      <c r="H86" s="438"/>
      <c r="I86" s="437"/>
      <c r="J86" s="439"/>
    </row>
  </sheetData>
  <mergeCells count="12">
    <mergeCell ref="A6:I6"/>
    <mergeCell ref="A7:B7"/>
    <mergeCell ref="C7:I7"/>
    <mergeCell ref="A8:I8"/>
    <mergeCell ref="D9:I9"/>
    <mergeCell ref="A5:B5"/>
    <mergeCell ref="C5:I5"/>
    <mergeCell ref="A1:I1"/>
    <mergeCell ref="A2:I2"/>
    <mergeCell ref="A3:B3"/>
    <mergeCell ref="C3:I3"/>
    <mergeCell ref="A4:I4"/>
  </mergeCells>
  <conditionalFormatting sqref="E10:E11 E85:E65531">
    <cfRule type="cellIs" dxfId="200" priority="47" operator="equal">
      <formula>"Ready to Test"</formula>
    </cfRule>
    <cfRule type="cellIs" dxfId="199" priority="48" operator="equal">
      <formula>"Do Not Test"</formula>
    </cfRule>
    <cfRule type="cellIs" dxfId="198" priority="49" operator="equal">
      <formula>"Ready for Retest"</formula>
    </cfRule>
    <cfRule type="cellIs" dxfId="197" priority="50" operator="equal">
      <formula>"Passed"</formula>
    </cfRule>
  </conditionalFormatting>
  <conditionalFormatting sqref="E83 E75 E71:E73">
    <cfRule type="cellIs" dxfId="196" priority="43" stopIfTrue="1" operator="equal">
      <formula>"Passed"</formula>
    </cfRule>
    <cfRule type="cellIs" dxfId="195" priority="44" stopIfTrue="1" operator="equal">
      <formula>"Do Not Test"</formula>
    </cfRule>
    <cfRule type="cellIs" dxfId="194" priority="45" stopIfTrue="1" operator="equal">
      <formula>"Ready for Retest"</formula>
    </cfRule>
    <cfRule type="cellIs" dxfId="193" priority="46" stopIfTrue="1" operator="equal">
      <formula>"Ready to Test"</formula>
    </cfRule>
  </conditionalFormatting>
  <conditionalFormatting sqref="E3 E7 E5">
    <cfRule type="cellIs" dxfId="192" priority="41" stopIfTrue="1" operator="equal">
      <formula>"Ready to Test"</formula>
    </cfRule>
    <cfRule type="cellIs" dxfId="191" priority="42" stopIfTrue="1" operator="equal">
      <formula>"Do Not Test"</formula>
    </cfRule>
  </conditionalFormatting>
  <conditionalFormatting sqref="E54 E70 E12 E41">
    <cfRule type="cellIs" dxfId="190" priority="40" stopIfTrue="1" operator="equal">
      <formula>"Do Not Test"</formula>
    </cfRule>
  </conditionalFormatting>
  <conditionalFormatting sqref="E54 E12 E70 E41">
    <cfRule type="cellIs" dxfId="189" priority="39" stopIfTrue="1" operator="equal">
      <formula>"Ready To Test"</formula>
    </cfRule>
  </conditionalFormatting>
  <conditionalFormatting sqref="I12:J84 I86:J86">
    <cfRule type="cellIs" dxfId="188" priority="38" operator="greaterThan">
      <formula>0</formula>
    </cfRule>
  </conditionalFormatting>
  <conditionalFormatting sqref="H11:H84 H86">
    <cfRule type="cellIs" dxfId="187" priority="37" operator="greaterThan">
      <formula>0</formula>
    </cfRule>
  </conditionalFormatting>
  <conditionalFormatting sqref="G12:G84 G86">
    <cfRule type="cellIs" dxfId="186" priority="36" operator="greaterThan">
      <formula>0</formula>
    </cfRule>
  </conditionalFormatting>
  <conditionalFormatting sqref="F12 F41 F54 F70">
    <cfRule type="cellIs" dxfId="185" priority="35" operator="equal">
      <formula>"A"</formula>
    </cfRule>
  </conditionalFormatting>
  <conditionalFormatting sqref="F12 F41 F54 F70">
    <cfRule type="cellIs" dxfId="184" priority="33" operator="equal">
      <formula>"F"</formula>
    </cfRule>
    <cfRule type="cellIs" dxfId="183" priority="34" operator="equal">
      <formula>"p"</formula>
    </cfRule>
  </conditionalFormatting>
  <hyperlinks>
    <hyperlink ref="C9" r:id="rId1"/>
  </hyperlinks>
  <pageMargins left="0.7" right="0.7" top="0.75" bottom="0.75" header="0.3" footer="0.3"/>
  <pageSetup orientation="portrait" r:id="rId2"/>
</worksheet>
</file>

<file path=xl/worksheets/sheet15.xml><?xml version="1.0" encoding="utf-8"?>
<worksheet xmlns="http://schemas.openxmlformats.org/spreadsheetml/2006/main" xmlns:r="http://schemas.openxmlformats.org/officeDocument/2006/relationships">
  <sheetPr>
    <tabColor theme="9"/>
    <outlinePr summaryBelow="0"/>
  </sheetPr>
  <dimension ref="A1:K76"/>
  <sheetViews>
    <sheetView zoomScaleNormal="100" workbookViewId="0">
      <selection sqref="A1:I1"/>
    </sheetView>
  </sheetViews>
  <sheetFormatPr defaultRowHeight="15" outlineLevelRow="1"/>
  <cols>
    <col min="1" max="1" width="8.7109375" style="320" bestFit="1" customWidth="1"/>
    <col min="2" max="2" width="20.85546875" style="324" customWidth="1"/>
    <col min="3" max="3" width="70.140625" style="328" customWidth="1"/>
    <col min="4" max="4" width="10.28515625" style="326" bestFit="1" customWidth="1"/>
    <col min="5" max="5" width="13.28515625" style="320" bestFit="1" customWidth="1"/>
    <col min="6" max="6" width="9.85546875" style="320" bestFit="1" customWidth="1"/>
    <col min="7" max="7" width="8.28515625" style="320" bestFit="1" customWidth="1"/>
    <col min="8" max="8" width="7.5703125" style="320" customWidth="1"/>
    <col min="9" max="9" width="10.5703125" style="320" bestFit="1" customWidth="1"/>
    <col min="10" max="10" width="55.85546875" style="369" customWidth="1"/>
    <col min="11" max="16384" width="9.140625" style="372"/>
  </cols>
  <sheetData>
    <row r="1" spans="1:10" s="397" customFormat="1">
      <c r="A1" s="529" t="s">
        <v>1490</v>
      </c>
      <c r="B1" s="529"/>
      <c r="C1" s="529"/>
      <c r="D1" s="529"/>
      <c r="E1" s="529"/>
      <c r="F1" s="529"/>
      <c r="G1" s="529"/>
      <c r="H1" s="529"/>
      <c r="I1" s="529"/>
      <c r="J1" s="330"/>
    </row>
    <row r="2" spans="1:10" s="398" customFormat="1">
      <c r="A2" s="530"/>
      <c r="B2" s="530"/>
      <c r="C2" s="531"/>
      <c r="D2" s="531"/>
      <c r="E2" s="531"/>
      <c r="F2" s="531"/>
      <c r="G2" s="531"/>
      <c r="H2" s="531"/>
      <c r="I2" s="531"/>
      <c r="J2" s="368"/>
    </row>
    <row r="3" spans="1:10" s="398" customFormat="1" ht="33.75" customHeight="1">
      <c r="A3" s="532" t="s">
        <v>1227</v>
      </c>
      <c r="B3" s="533"/>
      <c r="C3" s="521" t="s">
        <v>1228</v>
      </c>
      <c r="D3" s="522"/>
      <c r="E3" s="522"/>
      <c r="F3" s="522"/>
      <c r="G3" s="522"/>
      <c r="H3" s="522"/>
      <c r="I3" s="523"/>
      <c r="J3" s="409"/>
    </row>
    <row r="4" spans="1:10" s="398" customFormat="1">
      <c r="A4" s="534"/>
      <c r="B4" s="535"/>
      <c r="C4" s="536"/>
      <c r="D4" s="536"/>
      <c r="E4" s="536"/>
      <c r="F4" s="536"/>
      <c r="G4" s="536"/>
      <c r="H4" s="536"/>
      <c r="I4" s="536"/>
      <c r="J4" s="368"/>
    </row>
    <row r="5" spans="1:10" s="397" customFormat="1" ht="30" customHeight="1">
      <c r="A5" s="519" t="s">
        <v>594</v>
      </c>
      <c r="B5" s="520"/>
      <c r="C5" s="526" t="s">
        <v>793</v>
      </c>
      <c r="D5" s="527"/>
      <c r="E5" s="527"/>
      <c r="F5" s="527"/>
      <c r="G5" s="527"/>
      <c r="H5" s="527"/>
      <c r="I5" s="528"/>
      <c r="J5" s="330"/>
    </row>
    <row r="6" spans="1:10" s="397" customFormat="1">
      <c r="A6" s="516"/>
      <c r="B6" s="517"/>
      <c r="C6" s="518"/>
      <c r="D6" s="518"/>
      <c r="E6" s="518"/>
      <c r="F6" s="518"/>
      <c r="G6" s="518"/>
      <c r="H6" s="518"/>
      <c r="I6" s="518"/>
      <c r="J6" s="367"/>
    </row>
    <row r="7" spans="1:10" s="397" customFormat="1" ht="17.25" customHeight="1">
      <c r="A7" s="519" t="s">
        <v>1229</v>
      </c>
      <c r="B7" s="520"/>
      <c r="C7" s="521" t="s">
        <v>1423</v>
      </c>
      <c r="D7" s="522"/>
      <c r="E7" s="522"/>
      <c r="F7" s="522"/>
      <c r="G7" s="522"/>
      <c r="H7" s="522"/>
      <c r="I7" s="523"/>
      <c r="J7" s="330"/>
    </row>
    <row r="8" spans="1:10" s="399" customFormat="1">
      <c r="A8" s="524"/>
      <c r="B8" s="524"/>
      <c r="C8" s="524"/>
      <c r="D8" s="524"/>
      <c r="E8" s="524"/>
      <c r="F8" s="524"/>
      <c r="G8" s="524"/>
      <c r="H8" s="524"/>
      <c r="I8" s="524"/>
      <c r="J8" s="363"/>
    </row>
    <row r="9" spans="1:10" ht="27.75" customHeight="1">
      <c r="A9" s="410" t="s">
        <v>1231</v>
      </c>
      <c r="B9" s="411"/>
      <c r="C9" s="412" t="s">
        <v>1232</v>
      </c>
      <c r="D9" s="525"/>
      <c r="E9" s="525"/>
      <c r="F9" s="525"/>
      <c r="G9" s="525"/>
      <c r="H9" s="525"/>
      <c r="I9" s="525"/>
      <c r="J9" s="413"/>
    </row>
    <row r="10" spans="1:10">
      <c r="A10" s="321"/>
      <c r="B10" s="323"/>
      <c r="C10" s="327"/>
      <c r="D10" s="325"/>
      <c r="E10" s="322"/>
      <c r="F10" s="322"/>
      <c r="G10" s="322"/>
      <c r="H10" s="322"/>
      <c r="I10" s="322"/>
      <c r="J10" s="370"/>
    </row>
    <row r="11" spans="1:10" s="216" customFormat="1" ht="29.25" customHeight="1">
      <c r="A11" s="385" t="s">
        <v>0</v>
      </c>
      <c r="B11" s="379" t="s">
        <v>226</v>
      </c>
      <c r="C11" s="386" t="s">
        <v>540</v>
      </c>
      <c r="D11" s="386" t="s">
        <v>595</v>
      </c>
      <c r="E11" s="387" t="s">
        <v>214</v>
      </c>
      <c r="F11" s="387" t="s">
        <v>584</v>
      </c>
      <c r="G11" s="388" t="s">
        <v>2</v>
      </c>
      <c r="H11" s="389" t="s">
        <v>579</v>
      </c>
      <c r="I11" s="331" t="s">
        <v>583</v>
      </c>
      <c r="J11" s="331" t="s">
        <v>1</v>
      </c>
    </row>
    <row r="12" spans="1:10" s="276" customFormat="1" collapsed="1">
      <c r="A12" s="333" t="s">
        <v>23</v>
      </c>
      <c r="B12" s="333" t="s">
        <v>651</v>
      </c>
      <c r="C12" s="332" t="s">
        <v>649</v>
      </c>
      <c r="D12" s="334" t="s">
        <v>604</v>
      </c>
      <c r="E12" s="286" t="s">
        <v>596</v>
      </c>
      <c r="F12" s="334" t="str">
        <f>IF(H12&gt;0,"F",IF(I12&gt;0,"A",IF(G12&gt;0,"P","NT")))</f>
        <v>P</v>
      </c>
      <c r="G12" s="334">
        <f>COUNTA(G13:G37)</f>
        <v>1</v>
      </c>
      <c r="H12" s="334">
        <f>COUNTA(H13:H37)</f>
        <v>0</v>
      </c>
      <c r="I12" s="334">
        <f>COUNTA(I13:I37)</f>
        <v>0</v>
      </c>
      <c r="J12" s="365">
        <f>COUNTA(J13:J37)</f>
        <v>0</v>
      </c>
    </row>
    <row r="13" spans="1:10" s="371" customFormat="1" hidden="1" outlineLevel="1">
      <c r="A13" s="390"/>
      <c r="B13" s="351" t="s">
        <v>598</v>
      </c>
      <c r="C13" s="348" t="s">
        <v>650</v>
      </c>
      <c r="D13" s="391"/>
      <c r="E13" s="380"/>
      <c r="F13" s="380"/>
      <c r="G13" s="310"/>
      <c r="H13" s="311"/>
      <c r="I13" s="310"/>
      <c r="J13" s="366"/>
    </row>
    <row r="14" spans="1:10" s="371" customFormat="1" ht="30" hidden="1" customHeight="1" outlineLevel="1">
      <c r="A14" s="390"/>
      <c r="B14" s="351" t="s">
        <v>599</v>
      </c>
      <c r="C14" s="348" t="s">
        <v>620</v>
      </c>
      <c r="D14" s="391"/>
      <c r="E14" s="380"/>
      <c r="F14" s="380"/>
      <c r="G14" s="310"/>
      <c r="H14" s="311"/>
      <c r="I14" s="310"/>
      <c r="J14" s="366"/>
    </row>
    <row r="15" spans="1:10" s="371" customFormat="1" ht="30" hidden="1" customHeight="1" outlineLevel="1">
      <c r="A15" s="390"/>
      <c r="B15" s="382" t="s">
        <v>634</v>
      </c>
      <c r="C15" s="348" t="s">
        <v>648</v>
      </c>
      <c r="D15" s="391"/>
      <c r="E15" s="380"/>
      <c r="F15" s="380"/>
      <c r="G15" s="310" t="s">
        <v>603</v>
      </c>
      <c r="H15" s="311"/>
      <c r="I15" s="310"/>
      <c r="J15" s="366"/>
    </row>
    <row r="16" spans="1:10" s="371" customFormat="1" hidden="1" outlineLevel="1">
      <c r="A16" s="390"/>
      <c r="B16" s="352">
        <v>1</v>
      </c>
      <c r="C16" s="353" t="s">
        <v>621</v>
      </c>
      <c r="D16" s="391"/>
      <c r="E16" s="380"/>
      <c r="F16" s="380"/>
      <c r="G16" s="310"/>
      <c r="H16" s="311"/>
      <c r="I16" s="310"/>
      <c r="J16" s="366"/>
    </row>
    <row r="17" spans="1:10" s="371" customFormat="1" ht="30" hidden="1" outlineLevel="1">
      <c r="A17" s="390"/>
      <c r="B17" s="352">
        <v>2</v>
      </c>
      <c r="C17" s="353" t="s">
        <v>652</v>
      </c>
      <c r="D17" s="391"/>
      <c r="E17" s="380"/>
      <c r="F17" s="380"/>
      <c r="G17" s="310"/>
      <c r="H17" s="311"/>
      <c r="I17" s="310"/>
      <c r="J17" s="366"/>
    </row>
    <row r="18" spans="1:10" s="371" customFormat="1" hidden="1" outlineLevel="1">
      <c r="A18" s="390"/>
      <c r="B18" s="352">
        <v>3</v>
      </c>
      <c r="C18" s="353" t="s">
        <v>623</v>
      </c>
      <c r="D18" s="391"/>
      <c r="E18" s="380"/>
      <c r="F18" s="380"/>
      <c r="G18" s="310"/>
      <c r="H18" s="311"/>
      <c r="I18" s="310"/>
      <c r="J18" s="366"/>
    </row>
    <row r="19" spans="1:10" s="371" customFormat="1" hidden="1" outlineLevel="1">
      <c r="A19" s="390"/>
      <c r="B19" s="352">
        <v>4</v>
      </c>
      <c r="C19" s="353" t="s">
        <v>834</v>
      </c>
      <c r="D19" s="391"/>
      <c r="E19" s="380"/>
      <c r="F19" s="380"/>
      <c r="G19" s="310"/>
      <c r="H19" s="311"/>
      <c r="I19" s="310"/>
      <c r="J19" s="366"/>
    </row>
    <row r="20" spans="1:10" s="371" customFormat="1" hidden="1" outlineLevel="1">
      <c r="A20" s="390"/>
      <c r="B20" s="352">
        <v>5</v>
      </c>
      <c r="C20" s="353" t="s">
        <v>682</v>
      </c>
      <c r="D20" s="391"/>
      <c r="E20" s="380"/>
      <c r="F20" s="380"/>
      <c r="G20" s="310"/>
      <c r="H20" s="311"/>
      <c r="I20" s="310"/>
      <c r="J20" s="366"/>
    </row>
    <row r="21" spans="1:10" s="371" customFormat="1" ht="30" hidden="1" customHeight="1" outlineLevel="1">
      <c r="A21" s="390"/>
      <c r="B21" s="382" t="s">
        <v>635</v>
      </c>
      <c r="C21" s="348" t="s">
        <v>864</v>
      </c>
      <c r="D21" s="391"/>
      <c r="E21" s="380"/>
      <c r="F21" s="380"/>
      <c r="G21" s="310"/>
      <c r="H21" s="311"/>
      <c r="I21" s="310"/>
      <c r="J21" s="366"/>
    </row>
    <row r="22" spans="1:10" s="371" customFormat="1" ht="48.75" hidden="1" customHeight="1" outlineLevel="1">
      <c r="A22" s="390"/>
      <c r="B22" s="382" t="s">
        <v>636</v>
      </c>
      <c r="C22" s="348" t="s">
        <v>676</v>
      </c>
      <c r="D22" s="391"/>
      <c r="E22" s="380"/>
      <c r="F22" s="380"/>
      <c r="G22" s="310"/>
      <c r="H22" s="311"/>
      <c r="I22" s="310"/>
      <c r="J22" s="366"/>
    </row>
    <row r="23" spans="1:10" s="371" customFormat="1" hidden="1" outlineLevel="1">
      <c r="A23" s="390"/>
      <c r="B23" s="352">
        <v>6</v>
      </c>
      <c r="C23" s="353" t="s">
        <v>622</v>
      </c>
      <c r="D23" s="391"/>
      <c r="E23" s="380"/>
      <c r="F23" s="380"/>
      <c r="G23" s="310"/>
      <c r="H23" s="311"/>
      <c r="I23" s="310"/>
      <c r="J23" s="366"/>
    </row>
    <row r="24" spans="1:10" s="371" customFormat="1" hidden="1" outlineLevel="1">
      <c r="A24" s="390"/>
      <c r="B24" s="352">
        <v>7</v>
      </c>
      <c r="C24" s="353" t="s">
        <v>653</v>
      </c>
      <c r="D24" s="391"/>
      <c r="E24" s="380"/>
      <c r="F24" s="380"/>
      <c r="G24" s="310"/>
      <c r="H24" s="311"/>
      <c r="I24" s="310"/>
      <c r="J24" s="366"/>
    </row>
    <row r="25" spans="1:10" s="371" customFormat="1" hidden="1" outlineLevel="1">
      <c r="A25" s="390"/>
      <c r="B25" s="352">
        <v>8</v>
      </c>
      <c r="C25" s="353" t="s">
        <v>657</v>
      </c>
      <c r="D25" s="391"/>
      <c r="E25" s="380"/>
      <c r="F25" s="380"/>
      <c r="G25" s="310"/>
      <c r="H25" s="311"/>
      <c r="I25" s="310"/>
      <c r="J25" s="366"/>
    </row>
    <row r="26" spans="1:10" s="371" customFormat="1" hidden="1" outlineLevel="1">
      <c r="A26" s="390"/>
      <c r="B26" s="352">
        <v>9</v>
      </c>
      <c r="C26" s="353" t="s">
        <v>654</v>
      </c>
      <c r="D26" s="391"/>
      <c r="E26" s="380"/>
      <c r="F26" s="380"/>
      <c r="G26" s="310"/>
      <c r="H26" s="311"/>
      <c r="I26" s="310"/>
      <c r="J26" s="366"/>
    </row>
    <row r="27" spans="1:10" s="371" customFormat="1" hidden="1" outlineLevel="1">
      <c r="A27" s="390"/>
      <c r="B27" s="352">
        <v>10</v>
      </c>
      <c r="C27" s="353" t="s">
        <v>655</v>
      </c>
      <c r="D27" s="391"/>
      <c r="E27" s="380"/>
      <c r="F27" s="380"/>
      <c r="G27" s="310"/>
      <c r="H27" s="311"/>
      <c r="I27" s="310"/>
      <c r="J27" s="366"/>
    </row>
    <row r="28" spans="1:10" s="371" customFormat="1" hidden="1" outlineLevel="1">
      <c r="A28" s="390"/>
      <c r="B28" s="352">
        <v>11</v>
      </c>
      <c r="C28" s="353" t="s">
        <v>656</v>
      </c>
      <c r="D28" s="391"/>
      <c r="E28" s="380"/>
      <c r="F28" s="380"/>
      <c r="G28" s="310"/>
      <c r="H28" s="311"/>
      <c r="I28" s="310"/>
      <c r="J28" s="366"/>
    </row>
    <row r="29" spans="1:10" s="371" customFormat="1" hidden="1" outlineLevel="1">
      <c r="A29" s="390"/>
      <c r="B29" s="352">
        <v>12</v>
      </c>
      <c r="C29" s="353" t="s">
        <v>624</v>
      </c>
      <c r="D29" s="391"/>
      <c r="E29" s="380"/>
      <c r="F29" s="380"/>
      <c r="G29" s="310"/>
      <c r="H29" s="311"/>
      <c r="I29" s="310"/>
      <c r="J29" s="366"/>
    </row>
    <row r="30" spans="1:10" s="371" customFormat="1" ht="76.5" hidden="1" customHeight="1" outlineLevel="1">
      <c r="A30" s="390"/>
      <c r="B30" s="382" t="s">
        <v>637</v>
      </c>
      <c r="C30" s="348" t="s">
        <v>835</v>
      </c>
      <c r="D30" s="391"/>
      <c r="E30" s="380"/>
      <c r="F30" s="380"/>
      <c r="G30" s="310"/>
      <c r="H30" s="311"/>
      <c r="I30" s="310"/>
      <c r="J30" s="366"/>
    </row>
    <row r="31" spans="1:10" s="371" customFormat="1" hidden="1" outlineLevel="1">
      <c r="A31" s="390"/>
      <c r="B31" s="352">
        <v>13</v>
      </c>
      <c r="C31" s="353" t="s">
        <v>658</v>
      </c>
      <c r="D31" s="391"/>
      <c r="E31" s="380"/>
      <c r="F31" s="380"/>
      <c r="G31" s="310"/>
      <c r="H31" s="311"/>
      <c r="I31" s="310"/>
      <c r="J31" s="366"/>
    </row>
    <row r="32" spans="1:10" s="371" customFormat="1" hidden="1" outlineLevel="1">
      <c r="A32" s="390"/>
      <c r="B32" s="349">
        <v>14</v>
      </c>
      <c r="C32" s="359" t="s">
        <v>632</v>
      </c>
      <c r="D32" s="391"/>
      <c r="E32" s="380"/>
      <c r="F32" s="380"/>
      <c r="G32" s="310"/>
      <c r="H32" s="311"/>
      <c r="I32" s="310"/>
      <c r="J32" s="366"/>
    </row>
    <row r="33" spans="1:10" s="371" customFormat="1" hidden="1" outlineLevel="1">
      <c r="A33" s="390"/>
      <c r="B33" s="352">
        <v>15</v>
      </c>
      <c r="C33" s="353" t="s">
        <v>662</v>
      </c>
      <c r="D33" s="391"/>
      <c r="E33" s="380"/>
      <c r="F33" s="380"/>
      <c r="G33" s="310"/>
      <c r="H33" s="311"/>
      <c r="I33" s="310"/>
      <c r="J33" s="366"/>
    </row>
    <row r="34" spans="1:10" s="371" customFormat="1" hidden="1" outlineLevel="1">
      <c r="A34" s="390"/>
      <c r="B34" s="349">
        <v>16</v>
      </c>
      <c r="C34" s="353" t="s">
        <v>659</v>
      </c>
      <c r="D34" s="391"/>
      <c r="E34" s="380"/>
      <c r="F34" s="380"/>
      <c r="G34" s="310"/>
      <c r="H34" s="311"/>
      <c r="I34" s="310"/>
      <c r="J34" s="366"/>
    </row>
    <row r="35" spans="1:10" s="371" customFormat="1" ht="76.5" hidden="1" customHeight="1" outlineLevel="1">
      <c r="A35" s="390"/>
      <c r="B35" s="382" t="s">
        <v>638</v>
      </c>
      <c r="C35" s="348" t="s">
        <v>836</v>
      </c>
      <c r="D35" s="391"/>
      <c r="E35" s="380"/>
      <c r="F35" s="380"/>
      <c r="G35" s="310"/>
      <c r="H35" s="311"/>
      <c r="I35" s="310"/>
      <c r="J35" s="366"/>
    </row>
    <row r="36" spans="1:10" s="371" customFormat="1" hidden="1" outlineLevel="1">
      <c r="A36" s="390"/>
      <c r="B36" s="354">
        <v>16</v>
      </c>
      <c r="C36" s="359" t="s">
        <v>630</v>
      </c>
      <c r="D36" s="391"/>
      <c r="E36" s="380"/>
      <c r="F36" s="380"/>
      <c r="G36" s="310"/>
      <c r="H36" s="311"/>
      <c r="I36" s="310"/>
      <c r="J36" s="366"/>
    </row>
    <row r="37" spans="1:10" s="371" customFormat="1" hidden="1" outlineLevel="1">
      <c r="A37" s="390"/>
      <c r="B37" s="352" t="s">
        <v>639</v>
      </c>
      <c r="C37" s="353" t="s">
        <v>631</v>
      </c>
      <c r="D37" s="391"/>
      <c r="E37" s="380"/>
      <c r="F37" s="380"/>
      <c r="G37" s="310"/>
      <c r="H37" s="311"/>
      <c r="I37" s="310"/>
      <c r="J37" s="366"/>
    </row>
    <row r="38" spans="1:10" s="276" customFormat="1" collapsed="1">
      <c r="A38" s="333" t="s">
        <v>23</v>
      </c>
      <c r="B38" s="333" t="s">
        <v>660</v>
      </c>
      <c r="C38" s="332" t="s">
        <v>661</v>
      </c>
      <c r="D38" s="334" t="s">
        <v>604</v>
      </c>
      <c r="E38" s="286" t="s">
        <v>596</v>
      </c>
      <c r="F38" s="334" t="str">
        <f>IF(H38&gt;0,"F",IF(I38&gt;0,"A",IF(G38&gt;0,"P","NT")))</f>
        <v>P</v>
      </c>
      <c r="G38" s="334">
        <f>COUNTA(G39:G50)</f>
        <v>1</v>
      </c>
      <c r="H38" s="334">
        <f>COUNTA(H39:H50)</f>
        <v>0</v>
      </c>
      <c r="I38" s="334">
        <f>COUNTA(I39:I50)</f>
        <v>0</v>
      </c>
      <c r="J38" s="365">
        <f>COUNTA(J39:J50)</f>
        <v>0</v>
      </c>
    </row>
    <row r="39" spans="1:10" s="371" customFormat="1" ht="30" hidden="1" outlineLevel="1">
      <c r="A39" s="390"/>
      <c r="B39" s="354" t="s">
        <v>446</v>
      </c>
      <c r="C39" s="348" t="s">
        <v>664</v>
      </c>
      <c r="D39" s="391"/>
      <c r="E39" s="380"/>
      <c r="F39" s="380"/>
      <c r="G39" s="310"/>
      <c r="H39" s="311"/>
      <c r="I39" s="310"/>
      <c r="J39" s="366"/>
    </row>
    <row r="40" spans="1:10" s="371" customFormat="1" ht="45" hidden="1" customHeight="1" outlineLevel="1">
      <c r="A40" s="390"/>
      <c r="B40" s="354">
        <v>1</v>
      </c>
      <c r="C40" s="353" t="s">
        <v>621</v>
      </c>
      <c r="D40" s="391"/>
      <c r="E40" s="380"/>
      <c r="F40" s="380"/>
      <c r="G40" s="310"/>
      <c r="H40" s="311"/>
      <c r="I40" s="310"/>
      <c r="J40" s="366"/>
    </row>
    <row r="41" spans="1:10" s="371" customFormat="1" ht="45" hidden="1" customHeight="1" outlineLevel="1">
      <c r="A41" s="390"/>
      <c r="B41" s="354">
        <v>2</v>
      </c>
      <c r="C41" s="353" t="s">
        <v>665</v>
      </c>
      <c r="D41" s="391"/>
      <c r="E41" s="380"/>
      <c r="F41" s="380"/>
      <c r="G41" s="310"/>
      <c r="H41" s="311"/>
      <c r="I41" s="310"/>
      <c r="J41" s="366"/>
    </row>
    <row r="42" spans="1:10" s="371" customFormat="1" ht="45" hidden="1" customHeight="1" outlineLevel="1">
      <c r="A42" s="390"/>
      <c r="B42" s="354">
        <v>3</v>
      </c>
      <c r="C42" s="357" t="s">
        <v>663</v>
      </c>
      <c r="D42" s="391"/>
      <c r="E42" s="380"/>
      <c r="F42" s="380"/>
      <c r="G42" s="310" t="s">
        <v>603</v>
      </c>
      <c r="H42" s="311"/>
      <c r="I42" s="310"/>
      <c r="J42" s="366"/>
    </row>
    <row r="43" spans="1:10" s="371" customFormat="1" hidden="1" outlineLevel="1">
      <c r="A43" s="390"/>
      <c r="B43" s="354">
        <v>4</v>
      </c>
      <c r="C43" s="359" t="s">
        <v>666</v>
      </c>
      <c r="D43" s="391"/>
      <c r="E43" s="380"/>
      <c r="F43" s="380"/>
      <c r="G43" s="310"/>
      <c r="H43" s="311"/>
      <c r="I43" s="310"/>
      <c r="J43" s="366"/>
    </row>
    <row r="44" spans="1:10" s="371" customFormat="1" hidden="1" outlineLevel="1">
      <c r="A44" s="390"/>
      <c r="B44" s="349">
        <v>5</v>
      </c>
      <c r="C44" s="359" t="s">
        <v>667</v>
      </c>
      <c r="D44" s="391"/>
      <c r="E44" s="380"/>
      <c r="F44" s="380"/>
      <c r="G44" s="310"/>
      <c r="H44" s="311"/>
      <c r="I44" s="310"/>
      <c r="J44" s="366"/>
    </row>
    <row r="45" spans="1:10" s="371" customFormat="1" hidden="1" outlineLevel="1">
      <c r="A45" s="390"/>
      <c r="B45" s="349">
        <v>6</v>
      </c>
      <c r="C45" s="359" t="s">
        <v>632</v>
      </c>
      <c r="D45" s="391"/>
      <c r="E45" s="380"/>
      <c r="F45" s="380"/>
      <c r="G45" s="310"/>
      <c r="H45" s="311"/>
      <c r="I45" s="310"/>
      <c r="J45" s="366"/>
    </row>
    <row r="46" spans="1:10" s="371" customFormat="1" hidden="1" outlineLevel="1">
      <c r="A46" s="390"/>
      <c r="B46" s="354">
        <v>7</v>
      </c>
      <c r="C46" s="353" t="s">
        <v>662</v>
      </c>
      <c r="D46" s="391"/>
      <c r="E46" s="380"/>
      <c r="F46" s="380"/>
      <c r="G46" s="310"/>
      <c r="H46" s="311"/>
      <c r="I46" s="310"/>
      <c r="J46" s="366"/>
    </row>
    <row r="47" spans="1:10" s="371" customFormat="1" hidden="1" outlineLevel="1">
      <c r="A47" s="390"/>
      <c r="B47" s="354">
        <v>8</v>
      </c>
      <c r="C47" s="355" t="s">
        <v>659</v>
      </c>
      <c r="D47" s="391"/>
      <c r="E47" s="380"/>
      <c r="F47" s="380"/>
      <c r="G47" s="310"/>
      <c r="H47" s="311"/>
      <c r="I47" s="310"/>
      <c r="J47" s="366"/>
    </row>
    <row r="48" spans="1:10" s="371" customFormat="1" ht="76.5" hidden="1" customHeight="1" outlineLevel="1">
      <c r="A48" s="390"/>
      <c r="B48" s="382" t="s">
        <v>640</v>
      </c>
      <c r="C48" s="348" t="s">
        <v>674</v>
      </c>
      <c r="D48" s="391"/>
      <c r="E48" s="380"/>
      <c r="F48" s="380"/>
      <c r="G48" s="310"/>
      <c r="H48" s="311"/>
      <c r="I48" s="310"/>
      <c r="J48" s="366"/>
    </row>
    <row r="49" spans="1:11" s="371" customFormat="1" hidden="1" outlineLevel="1">
      <c r="A49" s="390"/>
      <c r="B49" s="354">
        <v>9</v>
      </c>
      <c r="C49" s="359" t="s">
        <v>630</v>
      </c>
      <c r="D49" s="391"/>
      <c r="E49" s="380"/>
      <c r="F49" s="380"/>
      <c r="G49" s="310"/>
      <c r="H49" s="311"/>
      <c r="I49" s="310"/>
      <c r="J49" s="366"/>
    </row>
    <row r="50" spans="1:11" s="371" customFormat="1" ht="45" hidden="1" customHeight="1" outlineLevel="1">
      <c r="A50" s="390"/>
      <c r="B50" s="358" t="s">
        <v>641</v>
      </c>
      <c r="C50" s="356" t="s">
        <v>631</v>
      </c>
      <c r="D50" s="391"/>
      <c r="E50" s="380"/>
      <c r="F50" s="380"/>
      <c r="G50" s="310"/>
      <c r="H50" s="311"/>
      <c r="I50" s="310"/>
      <c r="J50" s="366"/>
    </row>
    <row r="51" spans="1:11" s="371" customFormat="1" collapsed="1">
      <c r="A51" s="333" t="s">
        <v>23</v>
      </c>
      <c r="B51" s="333" t="s">
        <v>668</v>
      </c>
      <c r="C51" s="332" t="s">
        <v>669</v>
      </c>
      <c r="D51" s="334" t="s">
        <v>604</v>
      </c>
      <c r="E51" s="288" t="s">
        <v>596</v>
      </c>
      <c r="F51" s="334" t="str">
        <f>IF(H51&gt;0,"F",IF(I51&gt;0,"A",IF(G51&gt;0,"P","NT")))</f>
        <v>P</v>
      </c>
      <c r="G51" s="334">
        <f>COUNTA(G52:G65)</f>
        <v>1</v>
      </c>
      <c r="H51" s="334">
        <f>COUNTA(H52:H65)</f>
        <v>0</v>
      </c>
      <c r="I51" s="334">
        <f>COUNTA(I52:I65)</f>
        <v>0</v>
      </c>
      <c r="J51" s="365">
        <f>COUNTA(J52:J65)</f>
        <v>0</v>
      </c>
    </row>
    <row r="52" spans="1:11" s="371" customFormat="1" ht="30" hidden="1" outlineLevel="1">
      <c r="A52" s="290"/>
      <c r="B52" s="354" t="s">
        <v>446</v>
      </c>
      <c r="C52" s="348" t="s">
        <v>670</v>
      </c>
      <c r="D52" s="391"/>
      <c r="E52" s="392"/>
      <c r="F52" s="289"/>
      <c r="G52" s="314"/>
      <c r="H52" s="315"/>
      <c r="I52" s="316"/>
      <c r="J52" s="364"/>
    </row>
    <row r="53" spans="1:11" s="371" customFormat="1" hidden="1" outlineLevel="1">
      <c r="A53" s="290"/>
      <c r="B53" s="354">
        <v>1</v>
      </c>
      <c r="C53" s="353" t="s">
        <v>621</v>
      </c>
      <c r="D53" s="391"/>
      <c r="E53" s="392"/>
      <c r="F53" s="289"/>
      <c r="G53" s="314"/>
      <c r="H53" s="315"/>
      <c r="I53" s="316"/>
      <c r="J53" s="364"/>
      <c r="K53" s="287"/>
    </row>
    <row r="54" spans="1:11" s="371" customFormat="1" ht="30" hidden="1" outlineLevel="1">
      <c r="A54" s="290"/>
      <c r="B54" s="354">
        <v>2</v>
      </c>
      <c r="C54" s="353" t="s">
        <v>665</v>
      </c>
      <c r="D54" s="391"/>
      <c r="E54" s="392"/>
      <c r="F54" s="289"/>
      <c r="G54" s="314"/>
      <c r="H54" s="315"/>
      <c r="I54" s="316"/>
      <c r="J54" s="364"/>
      <c r="K54" s="287"/>
    </row>
    <row r="55" spans="1:11" s="371" customFormat="1" hidden="1" outlineLevel="1">
      <c r="A55" s="290"/>
      <c r="B55" s="354">
        <v>3</v>
      </c>
      <c r="C55" s="357" t="s">
        <v>663</v>
      </c>
      <c r="D55" s="391"/>
      <c r="E55" s="392"/>
      <c r="F55" s="289"/>
      <c r="G55" s="314" t="s">
        <v>603</v>
      </c>
      <c r="H55" s="315"/>
      <c r="I55" s="316"/>
      <c r="J55" s="364"/>
      <c r="K55" s="287"/>
    </row>
    <row r="56" spans="1:11" s="371" customFormat="1" hidden="1" outlineLevel="1">
      <c r="A56" s="390"/>
      <c r="B56" s="352">
        <v>5</v>
      </c>
      <c r="C56" s="353" t="s">
        <v>687</v>
      </c>
      <c r="D56" s="391"/>
      <c r="E56" s="380"/>
      <c r="F56" s="380"/>
      <c r="G56" s="310"/>
      <c r="H56" s="311"/>
      <c r="I56" s="310"/>
      <c r="J56" s="366"/>
    </row>
    <row r="57" spans="1:11" s="371" customFormat="1" hidden="1" outlineLevel="1">
      <c r="A57" s="290"/>
      <c r="B57" s="354">
        <v>6</v>
      </c>
      <c r="C57" s="348" t="s">
        <v>683</v>
      </c>
      <c r="D57" s="391"/>
      <c r="E57" s="392"/>
      <c r="F57" s="289"/>
      <c r="G57" s="314"/>
      <c r="H57" s="315"/>
      <c r="I57" s="316"/>
      <c r="J57" s="364"/>
      <c r="K57" s="287"/>
    </row>
    <row r="58" spans="1:11" s="371" customFormat="1" ht="55.5" hidden="1" customHeight="1" outlineLevel="1">
      <c r="A58" s="290"/>
      <c r="B58" s="349" t="s">
        <v>642</v>
      </c>
      <c r="C58" s="348" t="s">
        <v>846</v>
      </c>
      <c r="D58" s="391"/>
      <c r="E58" s="393"/>
      <c r="F58" s="375"/>
      <c r="G58" s="376"/>
      <c r="H58" s="377"/>
      <c r="I58" s="378"/>
      <c r="J58" s="364"/>
      <c r="K58" s="287"/>
    </row>
    <row r="59" spans="1:11" s="371" customFormat="1" hidden="1" outlineLevel="1">
      <c r="A59" s="290"/>
      <c r="B59" s="354">
        <v>7</v>
      </c>
      <c r="C59" s="348" t="s">
        <v>847</v>
      </c>
      <c r="D59" s="391"/>
      <c r="E59" s="392"/>
      <c r="F59" s="289"/>
      <c r="G59" s="314"/>
      <c r="H59" s="315"/>
      <c r="I59" s="316"/>
      <c r="J59" s="364"/>
      <c r="K59" s="287"/>
    </row>
    <row r="60" spans="1:11" s="371" customFormat="1" hidden="1" outlineLevel="1">
      <c r="A60" s="390"/>
      <c r="B60" s="349">
        <v>8</v>
      </c>
      <c r="C60" s="359" t="s">
        <v>632</v>
      </c>
      <c r="D60" s="391"/>
      <c r="E60" s="380"/>
      <c r="F60" s="380"/>
      <c r="G60" s="310"/>
      <c r="H60" s="311"/>
      <c r="I60" s="310"/>
      <c r="J60" s="366"/>
    </row>
    <row r="61" spans="1:11" s="371" customFormat="1" hidden="1" outlineLevel="1">
      <c r="A61" s="390"/>
      <c r="B61" s="352">
        <v>9</v>
      </c>
      <c r="C61" s="353" t="s">
        <v>662</v>
      </c>
      <c r="D61" s="391"/>
      <c r="E61" s="380"/>
      <c r="F61" s="380"/>
      <c r="G61" s="310"/>
      <c r="H61" s="311"/>
      <c r="I61" s="310"/>
      <c r="J61" s="366"/>
    </row>
    <row r="62" spans="1:11" s="371" customFormat="1" hidden="1" outlineLevel="1">
      <c r="A62" s="390"/>
      <c r="B62" s="352">
        <v>10</v>
      </c>
      <c r="C62" s="353" t="s">
        <v>659</v>
      </c>
      <c r="D62" s="391"/>
      <c r="E62" s="380"/>
      <c r="F62" s="380"/>
      <c r="G62" s="310"/>
      <c r="H62" s="311"/>
      <c r="I62" s="310"/>
      <c r="J62" s="366"/>
    </row>
    <row r="63" spans="1:11" s="371" customFormat="1" ht="76.5" hidden="1" customHeight="1" outlineLevel="1">
      <c r="A63" s="390"/>
      <c r="B63" s="384" t="s">
        <v>643</v>
      </c>
      <c r="C63" s="348" t="s">
        <v>848</v>
      </c>
      <c r="D63" s="391"/>
      <c r="E63" s="380"/>
      <c r="F63" s="380"/>
      <c r="G63" s="310"/>
      <c r="H63" s="311"/>
      <c r="I63" s="310"/>
      <c r="J63" s="366"/>
    </row>
    <row r="64" spans="1:11" s="371" customFormat="1" hidden="1" outlineLevel="1">
      <c r="A64" s="390"/>
      <c r="B64" s="354">
        <v>11</v>
      </c>
      <c r="C64" s="359" t="s">
        <v>630</v>
      </c>
      <c r="D64" s="391"/>
      <c r="E64" s="380"/>
      <c r="F64" s="380"/>
      <c r="G64" s="310"/>
      <c r="H64" s="311"/>
      <c r="I64" s="310"/>
      <c r="J64" s="366"/>
    </row>
    <row r="65" spans="1:11" s="371" customFormat="1" hidden="1" outlineLevel="1">
      <c r="A65" s="390"/>
      <c r="B65" s="358" t="s">
        <v>645</v>
      </c>
      <c r="C65" s="374" t="s">
        <v>631</v>
      </c>
      <c r="D65" s="391"/>
      <c r="E65" s="380"/>
      <c r="F65" s="380"/>
      <c r="G65" s="310"/>
      <c r="H65" s="311"/>
      <c r="I65" s="310"/>
      <c r="J65" s="366"/>
    </row>
    <row r="66" spans="1:11" s="371" customFormat="1" collapsed="1">
      <c r="A66" s="333" t="s">
        <v>23</v>
      </c>
      <c r="B66" s="333" t="s">
        <v>671</v>
      </c>
      <c r="C66" s="332" t="s">
        <v>672</v>
      </c>
      <c r="D66" s="334" t="s">
        <v>604</v>
      </c>
      <c r="E66" s="294" t="s">
        <v>596</v>
      </c>
      <c r="F66" s="334" t="str">
        <f>IF(H66&gt;0,"F",IF(I66&gt;0,"A",IF(G66&gt;0,"P","NT")))</f>
        <v>P</v>
      </c>
      <c r="G66" s="334">
        <f>COUNTA(G67:G74)</f>
        <v>1</v>
      </c>
      <c r="H66" s="334">
        <f>COUNTA(H67:H74)</f>
        <v>0</v>
      </c>
      <c r="I66" s="334">
        <f>COUNTA(I67:I74)</f>
        <v>0</v>
      </c>
      <c r="J66" s="365">
        <f>COUNTA(J67:J74)</f>
        <v>0</v>
      </c>
      <c r="K66" s="291"/>
    </row>
    <row r="67" spans="1:11" s="371" customFormat="1" ht="30" hidden="1" outlineLevel="1">
      <c r="A67" s="292"/>
      <c r="B67" s="354" t="s">
        <v>446</v>
      </c>
      <c r="C67" s="348" t="s">
        <v>664</v>
      </c>
      <c r="D67" s="391"/>
      <c r="E67" s="293"/>
      <c r="F67" s="293"/>
      <c r="G67" s="312"/>
      <c r="H67" s="312"/>
      <c r="I67" s="313"/>
      <c r="J67" s="345"/>
      <c r="K67" s="291"/>
    </row>
    <row r="68" spans="1:11" s="371" customFormat="1" hidden="1" outlineLevel="1">
      <c r="A68" s="292"/>
      <c r="B68" s="354">
        <v>1</v>
      </c>
      <c r="C68" s="353" t="s">
        <v>621</v>
      </c>
      <c r="D68" s="391"/>
      <c r="E68" s="293"/>
      <c r="F68" s="293"/>
      <c r="G68" s="312"/>
      <c r="H68" s="312"/>
      <c r="I68" s="313"/>
      <c r="J68" s="345"/>
      <c r="K68" s="291"/>
    </row>
    <row r="69" spans="1:11" s="371" customFormat="1" hidden="1" outlineLevel="1">
      <c r="A69" s="292"/>
      <c r="B69" s="354">
        <v>2</v>
      </c>
      <c r="C69" s="359" t="s">
        <v>673</v>
      </c>
      <c r="D69" s="391"/>
      <c r="E69" s="293"/>
      <c r="F69" s="293"/>
      <c r="G69" s="312"/>
      <c r="H69" s="312"/>
      <c r="I69" s="313"/>
      <c r="J69" s="345"/>
      <c r="K69" s="291"/>
    </row>
    <row r="70" spans="1:11" s="371" customFormat="1" hidden="1" outlineLevel="1">
      <c r="A70" s="390"/>
      <c r="B70" s="349">
        <v>3</v>
      </c>
      <c r="C70" s="359" t="s">
        <v>632</v>
      </c>
      <c r="D70" s="391"/>
      <c r="E70" s="380"/>
      <c r="F70" s="380"/>
      <c r="G70" s="310" t="s">
        <v>603</v>
      </c>
      <c r="H70" s="311"/>
      <c r="I70" s="310"/>
      <c r="J70" s="366"/>
    </row>
    <row r="71" spans="1:11" s="371" customFormat="1" hidden="1" outlineLevel="1">
      <c r="A71" s="292"/>
      <c r="B71" s="354">
        <v>4</v>
      </c>
      <c r="C71" s="353" t="s">
        <v>662</v>
      </c>
      <c r="D71" s="391"/>
      <c r="E71" s="293"/>
      <c r="F71" s="293"/>
      <c r="G71" s="312"/>
      <c r="H71" s="312"/>
      <c r="I71" s="313"/>
      <c r="J71" s="345"/>
      <c r="K71" s="291"/>
    </row>
    <row r="72" spans="1:11" s="371" customFormat="1" hidden="1" outlineLevel="1">
      <c r="A72" s="390"/>
      <c r="B72" s="352">
        <v>5</v>
      </c>
      <c r="C72" s="353" t="s">
        <v>659</v>
      </c>
      <c r="D72" s="391"/>
      <c r="E72" s="380"/>
      <c r="F72" s="380"/>
      <c r="G72" s="310"/>
      <c r="H72" s="311"/>
      <c r="I72" s="310"/>
      <c r="J72" s="366"/>
    </row>
    <row r="73" spans="1:11" s="371" customFormat="1" ht="76.5" hidden="1" customHeight="1" outlineLevel="1">
      <c r="A73" s="390"/>
      <c r="B73" s="382" t="s">
        <v>645</v>
      </c>
      <c r="C73" s="348" t="s">
        <v>849</v>
      </c>
      <c r="D73" s="391"/>
      <c r="E73" s="380"/>
      <c r="F73" s="380"/>
      <c r="G73" s="310"/>
      <c r="H73" s="311"/>
      <c r="I73" s="310"/>
      <c r="J73" s="366"/>
    </row>
    <row r="74" spans="1:11" s="371" customFormat="1" hidden="1" outlineLevel="1">
      <c r="A74" s="292"/>
      <c r="B74" s="349">
        <v>6</v>
      </c>
      <c r="C74" s="359" t="s">
        <v>630</v>
      </c>
      <c r="D74" s="391"/>
      <c r="E74" s="293"/>
      <c r="F74" s="293"/>
      <c r="G74" s="312"/>
      <c r="H74" s="312"/>
      <c r="I74" s="313"/>
      <c r="J74" s="345"/>
      <c r="K74" s="291"/>
    </row>
    <row r="75" spans="1:11" s="371" customFormat="1" ht="42" hidden="1" customHeight="1" outlineLevel="1">
      <c r="A75" s="390"/>
      <c r="B75" s="382" t="s">
        <v>646</v>
      </c>
      <c r="C75" s="348" t="s">
        <v>675</v>
      </c>
      <c r="D75" s="391"/>
      <c r="E75" s="380"/>
      <c r="F75" s="380"/>
      <c r="G75" s="310"/>
      <c r="H75" s="311"/>
      <c r="I75" s="310"/>
      <c r="J75" s="366"/>
    </row>
    <row r="76" spans="1:11" s="433" customFormat="1">
      <c r="A76" s="428"/>
      <c r="B76" s="429"/>
      <c r="C76" s="430"/>
      <c r="D76" s="431"/>
      <c r="E76" s="428"/>
      <c r="F76" s="428"/>
      <c r="G76" s="428"/>
      <c r="H76" s="428"/>
      <c r="I76" s="428"/>
      <c r="J76" s="432"/>
    </row>
  </sheetData>
  <mergeCells count="12">
    <mergeCell ref="A6:I6"/>
    <mergeCell ref="A7:B7"/>
    <mergeCell ref="C7:I7"/>
    <mergeCell ref="A8:I8"/>
    <mergeCell ref="D9:I9"/>
    <mergeCell ref="A5:B5"/>
    <mergeCell ref="C5:I5"/>
    <mergeCell ref="A1:I1"/>
    <mergeCell ref="A2:I2"/>
    <mergeCell ref="A3:B3"/>
    <mergeCell ref="C3:I3"/>
    <mergeCell ref="A4:I4"/>
  </mergeCells>
  <conditionalFormatting sqref="E10:E11 E76:E65530">
    <cfRule type="cellIs" dxfId="182" priority="51" operator="equal">
      <formula>"Ready to Test"</formula>
    </cfRule>
    <cfRule type="cellIs" dxfId="181" priority="52" operator="equal">
      <formula>"Do Not Test"</formula>
    </cfRule>
    <cfRule type="cellIs" dxfId="180" priority="53" operator="equal">
      <formula>"Ready for Retest"</formula>
    </cfRule>
    <cfRule type="cellIs" dxfId="179" priority="54" operator="equal">
      <formula>"Passed"</formula>
    </cfRule>
  </conditionalFormatting>
  <conditionalFormatting sqref="E67:E69 E74 E71">
    <cfRule type="cellIs" dxfId="178" priority="47" stopIfTrue="1" operator="equal">
      <formula>"Passed"</formula>
    </cfRule>
    <cfRule type="cellIs" dxfId="177" priority="48" stopIfTrue="1" operator="equal">
      <formula>"Do Not Test"</formula>
    </cfRule>
    <cfRule type="cellIs" dxfId="176" priority="49" stopIfTrue="1" operator="equal">
      <formula>"Ready for Retest"</formula>
    </cfRule>
    <cfRule type="cellIs" dxfId="175" priority="50" stopIfTrue="1" operator="equal">
      <formula>"Ready to Test"</formula>
    </cfRule>
  </conditionalFormatting>
  <conditionalFormatting sqref="E3 E7 E5">
    <cfRule type="cellIs" dxfId="174" priority="45" stopIfTrue="1" operator="equal">
      <formula>"Ready to Test"</formula>
    </cfRule>
    <cfRule type="cellIs" dxfId="173" priority="46" stopIfTrue="1" operator="equal">
      <formula>"Do Not Test"</formula>
    </cfRule>
  </conditionalFormatting>
  <conditionalFormatting sqref="E51 E66 E12 E38">
    <cfRule type="cellIs" dxfId="172" priority="44" stopIfTrue="1" operator="equal">
      <formula>"Do Not Test"</formula>
    </cfRule>
  </conditionalFormatting>
  <conditionalFormatting sqref="E51 E12 E66 E38">
    <cfRule type="cellIs" dxfId="171" priority="43" stopIfTrue="1" operator="equal">
      <formula>"Ready To Test"</formula>
    </cfRule>
  </conditionalFormatting>
  <conditionalFormatting sqref="I12:J75">
    <cfRule type="cellIs" dxfId="170" priority="42" operator="greaterThan">
      <formula>0</formula>
    </cfRule>
  </conditionalFormatting>
  <conditionalFormatting sqref="H11:H75">
    <cfRule type="cellIs" dxfId="169" priority="41" operator="greaterThan">
      <formula>0</formula>
    </cfRule>
  </conditionalFormatting>
  <conditionalFormatting sqref="G12:G75">
    <cfRule type="cellIs" dxfId="168" priority="40" operator="greaterThan">
      <formula>0</formula>
    </cfRule>
  </conditionalFormatting>
  <conditionalFormatting sqref="F12 F38 F51 F66">
    <cfRule type="cellIs" dxfId="167" priority="39" operator="equal">
      <formula>"A"</formula>
    </cfRule>
  </conditionalFormatting>
  <conditionalFormatting sqref="F12 F38 F51 F66">
    <cfRule type="cellIs" dxfId="166" priority="37" operator="equal">
      <formula>"F"</formula>
    </cfRule>
    <cfRule type="cellIs" dxfId="165" priority="38" operator="equal">
      <formula>"p"</formula>
    </cfRule>
  </conditionalFormatting>
  <hyperlinks>
    <hyperlink ref="C9" r:id="rId1"/>
  </hyperlinks>
  <pageMargins left="0.7" right="0.7" top="0.75" bottom="0.75" header="0.3" footer="0.3"/>
  <pageSetup orientation="portrait" r:id="rId2"/>
</worksheet>
</file>

<file path=xl/worksheets/sheet16.xml><?xml version="1.0" encoding="utf-8"?>
<worksheet xmlns="http://schemas.openxmlformats.org/spreadsheetml/2006/main" xmlns:r="http://schemas.openxmlformats.org/officeDocument/2006/relationships">
  <sheetPr>
    <tabColor theme="9"/>
    <outlinePr summaryBelow="0"/>
  </sheetPr>
  <dimension ref="A1:K80"/>
  <sheetViews>
    <sheetView zoomScaleNormal="100" workbookViewId="0">
      <selection sqref="A1:I1"/>
    </sheetView>
  </sheetViews>
  <sheetFormatPr defaultRowHeight="15" outlineLevelRow="1"/>
  <cols>
    <col min="1" max="1" width="8.7109375" style="320" bestFit="1" customWidth="1"/>
    <col min="2" max="2" width="20.85546875" style="324" customWidth="1"/>
    <col min="3" max="3" width="70.140625" style="328" customWidth="1"/>
    <col min="4" max="4" width="10.28515625" style="326" bestFit="1" customWidth="1"/>
    <col min="5" max="5" width="13.28515625" style="320" bestFit="1" customWidth="1"/>
    <col min="6" max="6" width="9.85546875" style="320" bestFit="1" customWidth="1"/>
    <col min="7" max="7" width="8.28515625" style="320" bestFit="1" customWidth="1"/>
    <col min="8" max="8" width="7.5703125" style="320" customWidth="1"/>
    <col min="9" max="9" width="10.5703125" style="320" bestFit="1" customWidth="1"/>
    <col min="10" max="10" width="55.85546875" style="369" customWidth="1"/>
    <col min="11" max="16384" width="9.140625" style="372"/>
  </cols>
  <sheetData>
    <row r="1" spans="1:10" s="397" customFormat="1">
      <c r="A1" s="529" t="s">
        <v>1491</v>
      </c>
      <c r="B1" s="529"/>
      <c r="C1" s="529"/>
      <c r="D1" s="529"/>
      <c r="E1" s="529"/>
      <c r="F1" s="529"/>
      <c r="G1" s="529"/>
      <c r="H1" s="529"/>
      <c r="I1" s="529"/>
      <c r="J1" s="330"/>
    </row>
    <row r="2" spans="1:10" s="398" customFormat="1">
      <c r="A2" s="530"/>
      <c r="B2" s="530"/>
      <c r="C2" s="531"/>
      <c r="D2" s="531"/>
      <c r="E2" s="531"/>
      <c r="F2" s="531"/>
      <c r="G2" s="531"/>
      <c r="H2" s="531"/>
      <c r="I2" s="531"/>
      <c r="J2" s="368"/>
    </row>
    <row r="3" spans="1:10" s="398" customFormat="1" ht="33.75" customHeight="1">
      <c r="A3" s="532" t="s">
        <v>1227</v>
      </c>
      <c r="B3" s="533"/>
      <c r="C3" s="521" t="s">
        <v>1228</v>
      </c>
      <c r="D3" s="522"/>
      <c r="E3" s="522"/>
      <c r="F3" s="522"/>
      <c r="G3" s="522"/>
      <c r="H3" s="522"/>
      <c r="I3" s="523"/>
      <c r="J3" s="409"/>
    </row>
    <row r="4" spans="1:10" s="398" customFormat="1">
      <c r="A4" s="534"/>
      <c r="B4" s="535"/>
      <c r="C4" s="536"/>
      <c r="D4" s="536"/>
      <c r="E4" s="536"/>
      <c r="F4" s="536"/>
      <c r="G4" s="536"/>
      <c r="H4" s="536"/>
      <c r="I4" s="536"/>
      <c r="J4" s="368"/>
    </row>
    <row r="5" spans="1:10" s="397" customFormat="1" ht="30" customHeight="1">
      <c r="A5" s="519" t="s">
        <v>594</v>
      </c>
      <c r="B5" s="520"/>
      <c r="C5" s="526" t="s">
        <v>794</v>
      </c>
      <c r="D5" s="527"/>
      <c r="E5" s="527"/>
      <c r="F5" s="527"/>
      <c r="G5" s="527"/>
      <c r="H5" s="527"/>
      <c r="I5" s="528"/>
      <c r="J5" s="330"/>
    </row>
    <row r="6" spans="1:10" s="397" customFormat="1">
      <c r="A6" s="516"/>
      <c r="B6" s="517"/>
      <c r="C6" s="518"/>
      <c r="D6" s="518"/>
      <c r="E6" s="518"/>
      <c r="F6" s="518"/>
      <c r="G6" s="518"/>
      <c r="H6" s="518"/>
      <c r="I6" s="518"/>
      <c r="J6" s="367"/>
    </row>
    <row r="7" spans="1:10" s="397" customFormat="1" ht="17.25" customHeight="1">
      <c r="A7" s="519" t="s">
        <v>1229</v>
      </c>
      <c r="B7" s="520"/>
      <c r="C7" s="521" t="s">
        <v>1424</v>
      </c>
      <c r="D7" s="522"/>
      <c r="E7" s="522"/>
      <c r="F7" s="522"/>
      <c r="G7" s="522"/>
      <c r="H7" s="522"/>
      <c r="I7" s="523"/>
      <c r="J7" s="330"/>
    </row>
    <row r="8" spans="1:10" s="399" customFormat="1">
      <c r="A8" s="524"/>
      <c r="B8" s="524"/>
      <c r="C8" s="524"/>
      <c r="D8" s="524"/>
      <c r="E8" s="524"/>
      <c r="F8" s="524"/>
      <c r="G8" s="524"/>
      <c r="H8" s="524"/>
      <c r="I8" s="524"/>
      <c r="J8" s="363"/>
    </row>
    <row r="9" spans="1:10" ht="27.75" customHeight="1">
      <c r="A9" s="410" t="s">
        <v>1231</v>
      </c>
      <c r="B9" s="411"/>
      <c r="C9" s="412" t="s">
        <v>1232</v>
      </c>
      <c r="D9" s="525"/>
      <c r="E9" s="525"/>
      <c r="F9" s="525"/>
      <c r="G9" s="525"/>
      <c r="H9" s="525"/>
      <c r="I9" s="525"/>
      <c r="J9" s="413"/>
    </row>
    <row r="10" spans="1:10">
      <c r="A10" s="321"/>
      <c r="B10" s="323"/>
      <c r="C10" s="327"/>
      <c r="D10" s="325"/>
      <c r="E10" s="322"/>
      <c r="F10" s="322"/>
      <c r="G10" s="322"/>
      <c r="H10" s="322"/>
      <c r="I10" s="322"/>
      <c r="J10" s="370"/>
    </row>
    <row r="11" spans="1:10" s="216" customFormat="1" ht="29.25" customHeight="1">
      <c r="A11" s="385" t="s">
        <v>0</v>
      </c>
      <c r="B11" s="379" t="s">
        <v>226</v>
      </c>
      <c r="C11" s="386" t="s">
        <v>540</v>
      </c>
      <c r="D11" s="386" t="s">
        <v>595</v>
      </c>
      <c r="E11" s="387" t="s">
        <v>214</v>
      </c>
      <c r="F11" s="387" t="s">
        <v>584</v>
      </c>
      <c r="G11" s="388" t="s">
        <v>2</v>
      </c>
      <c r="H11" s="389" t="s">
        <v>579</v>
      </c>
      <c r="I11" s="331" t="s">
        <v>583</v>
      </c>
      <c r="J11" s="331" t="s">
        <v>1</v>
      </c>
    </row>
    <row r="12" spans="1:10" s="276" customFormat="1" collapsed="1">
      <c r="A12" s="333" t="s">
        <v>23</v>
      </c>
      <c r="B12" s="333" t="s">
        <v>723</v>
      </c>
      <c r="C12" s="332" t="s">
        <v>727</v>
      </c>
      <c r="D12" s="334" t="s">
        <v>604</v>
      </c>
      <c r="E12" s="286" t="s">
        <v>596</v>
      </c>
      <c r="F12" s="334" t="str">
        <f>IF(H12&gt;0,"F",IF(I12&gt;0,"A",IF(G12&gt;0,"P","NT")))</f>
        <v>P</v>
      </c>
      <c r="G12" s="334">
        <f>COUNTA(G13:G39)</f>
        <v>1</v>
      </c>
      <c r="H12" s="334">
        <f>COUNTA(H13:H39)</f>
        <v>0</v>
      </c>
      <c r="I12" s="334">
        <f>COUNTA(I13:I39)</f>
        <v>0</v>
      </c>
      <c r="J12" s="365">
        <f>COUNTA(J13:J39)</f>
        <v>0</v>
      </c>
    </row>
    <row r="13" spans="1:10" s="371" customFormat="1" hidden="1" outlineLevel="1">
      <c r="A13" s="390"/>
      <c r="B13" s="351" t="s">
        <v>598</v>
      </c>
      <c r="C13" s="348" t="s">
        <v>730</v>
      </c>
      <c r="D13" s="391"/>
      <c r="E13" s="380"/>
      <c r="F13" s="380"/>
      <c r="G13" s="310"/>
      <c r="H13" s="311"/>
      <c r="I13" s="310"/>
      <c r="J13" s="366"/>
    </row>
    <row r="14" spans="1:10" s="371" customFormat="1" ht="30" hidden="1" customHeight="1" outlineLevel="1">
      <c r="A14" s="390"/>
      <c r="B14" s="351" t="s">
        <v>599</v>
      </c>
      <c r="C14" s="348" t="s">
        <v>833</v>
      </c>
      <c r="D14" s="391"/>
      <c r="E14" s="380"/>
      <c r="F14" s="380"/>
      <c r="G14" s="310"/>
      <c r="H14" s="311"/>
      <c r="I14" s="310"/>
      <c r="J14" s="366"/>
    </row>
    <row r="15" spans="1:10" s="371" customFormat="1" ht="30" hidden="1" customHeight="1" outlineLevel="1">
      <c r="A15" s="390"/>
      <c r="B15" s="382" t="s">
        <v>634</v>
      </c>
      <c r="C15" s="348" t="s">
        <v>648</v>
      </c>
      <c r="D15" s="391"/>
      <c r="E15" s="380"/>
      <c r="F15" s="380"/>
      <c r="G15" s="310"/>
      <c r="H15" s="311"/>
      <c r="I15" s="310"/>
      <c r="J15" s="366"/>
    </row>
    <row r="16" spans="1:10" s="371" customFormat="1" hidden="1" outlineLevel="1">
      <c r="A16" s="390"/>
      <c r="B16" s="352">
        <v>1</v>
      </c>
      <c r="C16" s="353" t="s">
        <v>621</v>
      </c>
      <c r="D16" s="391"/>
      <c r="E16" s="380"/>
      <c r="F16" s="380"/>
      <c r="G16" s="310"/>
      <c r="H16" s="311"/>
      <c r="I16" s="310"/>
      <c r="J16" s="366"/>
    </row>
    <row r="17" spans="1:10" s="371" customFormat="1" ht="30" hidden="1" outlineLevel="1">
      <c r="A17" s="390"/>
      <c r="B17" s="352">
        <v>2</v>
      </c>
      <c r="C17" s="353" t="s">
        <v>731</v>
      </c>
      <c r="D17" s="391"/>
      <c r="E17" s="380"/>
      <c r="F17" s="380"/>
      <c r="G17" s="310"/>
      <c r="H17" s="311"/>
      <c r="I17" s="310"/>
      <c r="J17" s="366"/>
    </row>
    <row r="18" spans="1:10" s="371" customFormat="1" ht="15.75" hidden="1" customHeight="1" outlineLevel="1">
      <c r="A18" s="390"/>
      <c r="B18" s="352">
        <v>3</v>
      </c>
      <c r="C18" s="353" t="s">
        <v>623</v>
      </c>
      <c r="D18" s="391"/>
      <c r="E18" s="380"/>
      <c r="F18" s="380"/>
      <c r="G18" s="310"/>
      <c r="H18" s="311"/>
      <c r="I18" s="310"/>
      <c r="J18" s="366"/>
    </row>
    <row r="19" spans="1:10" s="371" customFormat="1" ht="15.75" hidden="1" customHeight="1" outlineLevel="1">
      <c r="A19" s="390"/>
      <c r="B19" s="352">
        <v>4</v>
      </c>
      <c r="C19" s="353" t="s">
        <v>834</v>
      </c>
      <c r="D19" s="391"/>
      <c r="E19" s="380"/>
      <c r="F19" s="380"/>
      <c r="G19" s="310"/>
      <c r="H19" s="311"/>
      <c r="I19" s="310"/>
      <c r="J19" s="366"/>
    </row>
    <row r="20" spans="1:10" s="371" customFormat="1" hidden="1" outlineLevel="1">
      <c r="A20" s="390"/>
      <c r="B20" s="352">
        <v>5</v>
      </c>
      <c r="C20" s="353" t="s">
        <v>732</v>
      </c>
      <c r="D20" s="391"/>
      <c r="E20" s="380"/>
      <c r="F20" s="380"/>
      <c r="G20" s="310"/>
      <c r="H20" s="311"/>
      <c r="I20" s="310"/>
      <c r="J20" s="366"/>
    </row>
    <row r="21" spans="1:10" s="371" customFormat="1" ht="66" hidden="1" customHeight="1" outlineLevel="1">
      <c r="A21" s="390"/>
      <c r="B21" s="382" t="s">
        <v>635</v>
      </c>
      <c r="C21" s="348" t="s">
        <v>856</v>
      </c>
      <c r="D21" s="391"/>
      <c r="E21" s="380"/>
      <c r="F21" s="380"/>
      <c r="G21" s="310"/>
      <c r="H21" s="311"/>
      <c r="I21" s="310"/>
      <c r="J21" s="366"/>
    </row>
    <row r="22" spans="1:10" s="371" customFormat="1" ht="14.25" hidden="1" customHeight="1" outlineLevel="1">
      <c r="A22" s="390"/>
      <c r="B22" s="352">
        <v>6</v>
      </c>
      <c r="C22" s="353" t="s">
        <v>622</v>
      </c>
      <c r="D22" s="391"/>
      <c r="E22" s="380"/>
      <c r="F22" s="380"/>
      <c r="G22" s="310"/>
      <c r="H22" s="311"/>
      <c r="I22" s="310"/>
      <c r="J22" s="366"/>
    </row>
    <row r="23" spans="1:10" s="371" customFormat="1" ht="14.25" hidden="1" customHeight="1" outlineLevel="1">
      <c r="A23" s="390"/>
      <c r="B23" s="352">
        <v>7</v>
      </c>
      <c r="C23" s="353" t="s">
        <v>754</v>
      </c>
      <c r="D23" s="391"/>
      <c r="E23" s="380"/>
      <c r="F23" s="380"/>
      <c r="G23" s="310" t="s">
        <v>603</v>
      </c>
      <c r="H23" s="311"/>
      <c r="I23" s="310"/>
      <c r="J23" s="366"/>
    </row>
    <row r="24" spans="1:10" s="371" customFormat="1" hidden="1" outlineLevel="1">
      <c r="A24" s="390"/>
      <c r="B24" s="352">
        <v>8</v>
      </c>
      <c r="C24" s="353" t="s">
        <v>733</v>
      </c>
      <c r="D24" s="391"/>
      <c r="E24" s="380"/>
      <c r="F24" s="380"/>
      <c r="G24" s="310"/>
      <c r="H24" s="311"/>
      <c r="I24" s="310"/>
      <c r="J24" s="366"/>
    </row>
    <row r="25" spans="1:10" s="371" customFormat="1" ht="40.5" hidden="1" customHeight="1" outlineLevel="1">
      <c r="A25" s="390"/>
      <c r="B25" s="382" t="s">
        <v>636</v>
      </c>
      <c r="C25" s="381" t="s">
        <v>857</v>
      </c>
      <c r="D25" s="391"/>
      <c r="E25" s="380"/>
      <c r="F25" s="380"/>
      <c r="G25" s="310"/>
      <c r="H25" s="311"/>
      <c r="I25" s="310"/>
      <c r="J25" s="366"/>
    </row>
    <row r="26" spans="1:10" s="371" customFormat="1" hidden="1" outlineLevel="1">
      <c r="A26" s="390"/>
      <c r="B26" s="352">
        <v>9</v>
      </c>
      <c r="C26" s="353" t="s">
        <v>736</v>
      </c>
      <c r="D26" s="391"/>
      <c r="E26" s="380"/>
      <c r="F26" s="380"/>
      <c r="G26" s="310"/>
      <c r="H26" s="311"/>
      <c r="I26" s="310"/>
      <c r="J26" s="366"/>
    </row>
    <row r="27" spans="1:10" s="371" customFormat="1" hidden="1" outlineLevel="1">
      <c r="A27" s="390"/>
      <c r="B27" s="352">
        <v>10</v>
      </c>
      <c r="C27" s="353" t="s">
        <v>734</v>
      </c>
      <c r="D27" s="391"/>
      <c r="E27" s="380"/>
      <c r="F27" s="380"/>
      <c r="G27" s="310"/>
      <c r="H27" s="311"/>
      <c r="I27" s="310"/>
      <c r="J27" s="366"/>
    </row>
    <row r="28" spans="1:10" s="371" customFormat="1" hidden="1" outlineLevel="1">
      <c r="A28" s="390"/>
      <c r="B28" s="352">
        <v>11</v>
      </c>
      <c r="C28" s="353" t="s">
        <v>735</v>
      </c>
      <c r="D28" s="391"/>
      <c r="E28" s="380"/>
      <c r="F28" s="380"/>
      <c r="G28" s="310"/>
      <c r="H28" s="311"/>
      <c r="I28" s="310"/>
      <c r="J28" s="366"/>
    </row>
    <row r="29" spans="1:10" s="371" customFormat="1" hidden="1" outlineLevel="1">
      <c r="A29" s="390"/>
      <c r="B29" s="352">
        <v>12</v>
      </c>
      <c r="C29" s="353" t="s">
        <v>737</v>
      </c>
      <c r="D29" s="391"/>
      <c r="E29" s="380"/>
      <c r="F29" s="380"/>
      <c r="G29" s="310"/>
      <c r="H29" s="311"/>
      <c r="I29" s="310"/>
      <c r="J29" s="366"/>
    </row>
    <row r="30" spans="1:10" s="371" customFormat="1" hidden="1" outlineLevel="1">
      <c r="A30" s="390"/>
      <c r="B30" s="352">
        <v>13</v>
      </c>
      <c r="C30" s="353" t="s">
        <v>739</v>
      </c>
      <c r="D30" s="391"/>
      <c r="E30" s="380"/>
      <c r="F30" s="380"/>
      <c r="G30" s="310"/>
      <c r="H30" s="311"/>
      <c r="I30" s="310"/>
      <c r="J30" s="366"/>
    </row>
    <row r="31" spans="1:10" s="371" customFormat="1" hidden="1" outlineLevel="1">
      <c r="A31" s="390"/>
      <c r="B31" s="352">
        <v>14</v>
      </c>
      <c r="C31" s="353" t="s">
        <v>624</v>
      </c>
      <c r="D31" s="391"/>
      <c r="E31" s="380"/>
      <c r="F31" s="380"/>
      <c r="G31" s="310"/>
      <c r="H31" s="311"/>
      <c r="I31" s="310"/>
      <c r="J31" s="366"/>
    </row>
    <row r="32" spans="1:10" s="371" customFormat="1" ht="51.75" hidden="1" customHeight="1" outlineLevel="1">
      <c r="A32" s="390"/>
      <c r="B32" s="382" t="s">
        <v>637</v>
      </c>
      <c r="C32" s="348" t="s">
        <v>738</v>
      </c>
      <c r="D32" s="391"/>
      <c r="E32" s="380"/>
      <c r="F32" s="380"/>
      <c r="G32" s="310"/>
      <c r="H32" s="311"/>
      <c r="I32" s="310"/>
      <c r="J32" s="366"/>
    </row>
    <row r="33" spans="1:10" s="371" customFormat="1" hidden="1" outlineLevel="1">
      <c r="A33" s="390"/>
      <c r="B33" s="352">
        <v>15</v>
      </c>
      <c r="C33" s="353" t="s">
        <v>658</v>
      </c>
      <c r="D33" s="391"/>
      <c r="E33" s="380"/>
      <c r="F33" s="380"/>
      <c r="G33" s="310"/>
      <c r="H33" s="311"/>
      <c r="I33" s="310"/>
      <c r="J33" s="366"/>
    </row>
    <row r="34" spans="1:10" s="371" customFormat="1" hidden="1" outlineLevel="1">
      <c r="A34" s="390"/>
      <c r="B34" s="349">
        <v>16</v>
      </c>
      <c r="C34" s="359" t="s">
        <v>632</v>
      </c>
      <c r="D34" s="391"/>
      <c r="E34" s="380"/>
      <c r="F34" s="380"/>
      <c r="G34" s="310"/>
      <c r="H34" s="311"/>
      <c r="I34" s="310"/>
      <c r="J34" s="366"/>
    </row>
    <row r="35" spans="1:10" s="371" customFormat="1" hidden="1" outlineLevel="1">
      <c r="A35" s="390"/>
      <c r="B35" s="352">
        <v>17</v>
      </c>
      <c r="C35" s="353" t="s">
        <v>740</v>
      </c>
      <c r="D35" s="391"/>
      <c r="E35" s="380"/>
      <c r="F35" s="380"/>
      <c r="G35" s="310"/>
      <c r="H35" s="311"/>
      <c r="I35" s="310"/>
      <c r="J35" s="366"/>
    </row>
    <row r="36" spans="1:10" s="371" customFormat="1" hidden="1" outlineLevel="1">
      <c r="A36" s="390"/>
      <c r="B36" s="349">
        <v>18</v>
      </c>
      <c r="C36" s="353" t="s">
        <v>659</v>
      </c>
      <c r="D36" s="391"/>
      <c r="E36" s="380"/>
      <c r="F36" s="380"/>
      <c r="G36" s="310"/>
      <c r="H36" s="311"/>
      <c r="I36" s="310"/>
      <c r="J36" s="366"/>
    </row>
    <row r="37" spans="1:10" s="371" customFormat="1" ht="105" hidden="1" outlineLevel="1">
      <c r="A37" s="390"/>
      <c r="B37" s="382" t="s">
        <v>638</v>
      </c>
      <c r="C37" s="348" t="s">
        <v>858</v>
      </c>
      <c r="D37" s="391"/>
      <c r="E37" s="380"/>
      <c r="F37" s="380"/>
      <c r="G37" s="310"/>
      <c r="H37" s="311"/>
      <c r="I37" s="310"/>
      <c r="J37" s="366"/>
    </row>
    <row r="38" spans="1:10" s="371" customFormat="1" hidden="1" outlineLevel="1">
      <c r="A38" s="390"/>
      <c r="B38" s="354">
        <v>19</v>
      </c>
      <c r="C38" s="359" t="s">
        <v>630</v>
      </c>
      <c r="D38" s="391"/>
      <c r="E38" s="380"/>
      <c r="F38" s="380"/>
      <c r="G38" s="310"/>
      <c r="H38" s="311"/>
      <c r="I38" s="310"/>
      <c r="J38" s="366"/>
    </row>
    <row r="39" spans="1:10" s="371" customFormat="1" hidden="1" outlineLevel="1">
      <c r="A39" s="390"/>
      <c r="B39" s="352" t="s">
        <v>639</v>
      </c>
      <c r="C39" s="353" t="s">
        <v>631</v>
      </c>
      <c r="D39" s="391"/>
      <c r="E39" s="380"/>
      <c r="F39" s="380"/>
      <c r="G39" s="310"/>
      <c r="H39" s="311"/>
      <c r="I39" s="310"/>
      <c r="J39" s="366"/>
    </row>
    <row r="40" spans="1:10" s="276" customFormat="1" collapsed="1">
      <c r="A40" s="333" t="s">
        <v>23</v>
      </c>
      <c r="B40" s="333" t="s">
        <v>724</v>
      </c>
      <c r="C40" s="332" t="s">
        <v>755</v>
      </c>
      <c r="D40" s="334" t="s">
        <v>604</v>
      </c>
      <c r="E40" s="286" t="s">
        <v>596</v>
      </c>
      <c r="F40" s="334" t="str">
        <f>IF(H40&gt;0,"F",IF(I40&gt;0,"A",IF(G40&gt;0,"P","NT")))</f>
        <v>P</v>
      </c>
      <c r="G40" s="334">
        <f>COUNTA(G41:G53)</f>
        <v>1</v>
      </c>
      <c r="H40" s="334">
        <f>COUNTA(H41:H53)</f>
        <v>0</v>
      </c>
      <c r="I40" s="334">
        <f>COUNTA(I41:I53)</f>
        <v>0</v>
      </c>
      <c r="J40" s="365">
        <f>COUNTA(J41:J53)</f>
        <v>0</v>
      </c>
    </row>
    <row r="41" spans="1:10" s="371" customFormat="1" ht="44.25" hidden="1" customHeight="1" outlineLevel="1">
      <c r="A41" s="390"/>
      <c r="B41" s="382" t="s">
        <v>646</v>
      </c>
      <c r="C41" s="348" t="s">
        <v>756</v>
      </c>
      <c r="D41" s="391"/>
      <c r="E41" s="380"/>
      <c r="F41" s="380"/>
      <c r="G41" s="310"/>
      <c r="H41" s="311"/>
      <c r="I41" s="310"/>
      <c r="J41" s="366"/>
    </row>
    <row r="42" spans="1:10" s="371" customFormat="1" ht="45" hidden="1" customHeight="1" outlineLevel="1">
      <c r="A42" s="390"/>
      <c r="B42" s="354">
        <v>1</v>
      </c>
      <c r="C42" s="353" t="s">
        <v>621</v>
      </c>
      <c r="D42" s="391"/>
      <c r="E42" s="380"/>
      <c r="F42" s="380"/>
      <c r="G42" s="310"/>
      <c r="H42" s="311"/>
      <c r="I42" s="310"/>
      <c r="J42" s="366"/>
    </row>
    <row r="43" spans="1:10" s="371" customFormat="1" ht="45" hidden="1" customHeight="1" outlineLevel="1">
      <c r="A43" s="390"/>
      <c r="B43" s="354">
        <v>2</v>
      </c>
      <c r="C43" s="353" t="s">
        <v>742</v>
      </c>
      <c r="D43" s="391"/>
      <c r="E43" s="380"/>
      <c r="F43" s="380"/>
      <c r="G43" s="310"/>
      <c r="H43" s="311"/>
      <c r="I43" s="310"/>
      <c r="J43" s="366"/>
    </row>
    <row r="44" spans="1:10" s="371" customFormat="1" ht="45" hidden="1" customHeight="1" outlineLevel="1">
      <c r="A44" s="390"/>
      <c r="B44" s="354">
        <v>3</v>
      </c>
      <c r="C44" s="357" t="s">
        <v>743</v>
      </c>
      <c r="D44" s="391"/>
      <c r="E44" s="380"/>
      <c r="F44" s="380"/>
      <c r="G44" s="310"/>
      <c r="H44" s="311"/>
      <c r="I44" s="310"/>
      <c r="J44" s="366"/>
    </row>
    <row r="45" spans="1:10" s="371" customFormat="1" hidden="1" outlineLevel="1">
      <c r="A45" s="390"/>
      <c r="B45" s="354">
        <v>4</v>
      </c>
      <c r="C45" s="359" t="s">
        <v>744</v>
      </c>
      <c r="D45" s="391"/>
      <c r="E45" s="380"/>
      <c r="F45" s="380"/>
      <c r="G45" s="310"/>
      <c r="H45" s="311"/>
      <c r="I45" s="310"/>
      <c r="J45" s="366"/>
    </row>
    <row r="46" spans="1:10" s="371" customFormat="1" ht="30" hidden="1" outlineLevel="1">
      <c r="A46" s="390"/>
      <c r="B46" s="349" t="s">
        <v>859</v>
      </c>
      <c r="C46" s="359" t="s">
        <v>860</v>
      </c>
      <c r="D46" s="391"/>
      <c r="E46" s="380"/>
      <c r="F46" s="380"/>
      <c r="G46" s="310"/>
      <c r="H46" s="311"/>
      <c r="I46" s="310"/>
      <c r="J46" s="366"/>
    </row>
    <row r="47" spans="1:10" s="371" customFormat="1" hidden="1" outlineLevel="1">
      <c r="A47" s="390"/>
      <c r="B47" s="349">
        <v>5</v>
      </c>
      <c r="C47" s="359" t="s">
        <v>745</v>
      </c>
      <c r="D47" s="391"/>
      <c r="E47" s="380"/>
      <c r="F47" s="380"/>
      <c r="G47" s="310"/>
      <c r="H47" s="311"/>
      <c r="I47" s="310"/>
      <c r="J47" s="366"/>
    </row>
    <row r="48" spans="1:10" s="371" customFormat="1" hidden="1" outlineLevel="1">
      <c r="A48" s="390"/>
      <c r="B48" s="349">
        <v>6</v>
      </c>
      <c r="C48" s="359" t="s">
        <v>632</v>
      </c>
      <c r="D48" s="391"/>
      <c r="E48" s="380"/>
      <c r="F48" s="380"/>
      <c r="G48" s="310"/>
      <c r="H48" s="311"/>
      <c r="I48" s="310"/>
      <c r="J48" s="366"/>
    </row>
    <row r="49" spans="1:11" s="371" customFormat="1" hidden="1" outlineLevel="1">
      <c r="A49" s="390"/>
      <c r="B49" s="354">
        <v>7</v>
      </c>
      <c r="C49" s="353" t="s">
        <v>740</v>
      </c>
      <c r="D49" s="391"/>
      <c r="E49" s="380"/>
      <c r="F49" s="380"/>
      <c r="G49" s="310" t="s">
        <v>603</v>
      </c>
      <c r="H49" s="311"/>
      <c r="I49" s="310"/>
      <c r="J49" s="366"/>
    </row>
    <row r="50" spans="1:11" s="371" customFormat="1" hidden="1" outlineLevel="1">
      <c r="A50" s="390"/>
      <c r="B50" s="354">
        <v>8</v>
      </c>
      <c r="C50" s="355" t="s">
        <v>659</v>
      </c>
      <c r="D50" s="391"/>
      <c r="E50" s="380"/>
      <c r="F50" s="380"/>
      <c r="G50" s="310"/>
      <c r="H50" s="311"/>
      <c r="I50" s="310"/>
      <c r="J50" s="366"/>
    </row>
    <row r="51" spans="1:11" s="371" customFormat="1" ht="76.5" hidden="1" customHeight="1" outlineLevel="1">
      <c r="A51" s="390"/>
      <c r="B51" s="384" t="s">
        <v>717</v>
      </c>
      <c r="C51" s="348" t="s">
        <v>674</v>
      </c>
      <c r="D51" s="391"/>
      <c r="E51" s="380"/>
      <c r="F51" s="380"/>
      <c r="G51" s="310"/>
      <c r="H51" s="311"/>
      <c r="I51" s="310"/>
      <c r="J51" s="366"/>
    </row>
    <row r="52" spans="1:11" s="371" customFormat="1" hidden="1" outlineLevel="1">
      <c r="A52" s="390"/>
      <c r="B52" s="354">
        <v>9</v>
      </c>
      <c r="C52" s="359" t="s">
        <v>630</v>
      </c>
      <c r="D52" s="391"/>
      <c r="E52" s="380"/>
      <c r="F52" s="380"/>
      <c r="G52" s="310"/>
      <c r="H52" s="311"/>
      <c r="I52" s="310"/>
      <c r="J52" s="366"/>
    </row>
    <row r="53" spans="1:11" s="371" customFormat="1" ht="45" hidden="1" customHeight="1" outlineLevel="1">
      <c r="A53" s="390"/>
      <c r="B53" s="358" t="s">
        <v>717</v>
      </c>
      <c r="C53" s="374" t="s">
        <v>631</v>
      </c>
      <c r="D53" s="391"/>
      <c r="E53" s="380"/>
      <c r="F53" s="380"/>
      <c r="G53" s="310"/>
      <c r="H53" s="311"/>
      <c r="I53" s="310"/>
      <c r="J53" s="366"/>
    </row>
    <row r="54" spans="1:11" s="371" customFormat="1" collapsed="1">
      <c r="A54" s="333" t="s">
        <v>23</v>
      </c>
      <c r="B54" s="333" t="s">
        <v>725</v>
      </c>
      <c r="C54" s="332" t="s">
        <v>728</v>
      </c>
      <c r="D54" s="334" t="s">
        <v>604</v>
      </c>
      <c r="E54" s="288" t="s">
        <v>596</v>
      </c>
      <c r="F54" s="334" t="str">
        <f>IF(H54&gt;0,"F",IF(I54&gt;0,"A",IF(G54&gt;0,"P","NT")))</f>
        <v>P</v>
      </c>
      <c r="G54" s="334">
        <f>COUNTA(G55:G69)</f>
        <v>1</v>
      </c>
      <c r="H54" s="334">
        <f>COUNTA(H55:H69)</f>
        <v>0</v>
      </c>
      <c r="I54" s="334">
        <f>COUNTA(I55:I69)</f>
        <v>0</v>
      </c>
      <c r="J54" s="365">
        <f>COUNTA(J55:J69)</f>
        <v>0</v>
      </c>
    </row>
    <row r="55" spans="1:11" s="371" customFormat="1" ht="30" hidden="1" outlineLevel="1">
      <c r="A55" s="290"/>
      <c r="B55" s="354" t="s">
        <v>446</v>
      </c>
      <c r="C55" s="348" t="s">
        <v>746</v>
      </c>
      <c r="D55" s="391"/>
      <c r="E55" s="392"/>
      <c r="F55" s="289"/>
      <c r="G55" s="314"/>
      <c r="H55" s="315"/>
      <c r="I55" s="316"/>
      <c r="J55" s="364"/>
    </row>
    <row r="56" spans="1:11" s="371" customFormat="1" hidden="1" outlineLevel="1">
      <c r="A56" s="290"/>
      <c r="B56" s="354">
        <v>1</v>
      </c>
      <c r="C56" s="353" t="s">
        <v>621</v>
      </c>
      <c r="D56" s="391"/>
      <c r="E56" s="392"/>
      <c r="F56" s="289"/>
      <c r="G56" s="314"/>
      <c r="H56" s="315"/>
      <c r="I56" s="316"/>
      <c r="J56" s="364"/>
      <c r="K56" s="287"/>
    </row>
    <row r="57" spans="1:11" s="371" customFormat="1" hidden="1" outlineLevel="1">
      <c r="A57" s="290"/>
      <c r="B57" s="354">
        <v>2</v>
      </c>
      <c r="C57" s="353" t="s">
        <v>742</v>
      </c>
      <c r="D57" s="391"/>
      <c r="E57" s="392"/>
      <c r="F57" s="289"/>
      <c r="G57" s="314"/>
      <c r="H57" s="315"/>
      <c r="I57" s="316"/>
      <c r="J57" s="364"/>
      <c r="K57" s="287"/>
    </row>
    <row r="58" spans="1:11" s="371" customFormat="1" hidden="1" outlineLevel="1">
      <c r="A58" s="290"/>
      <c r="B58" s="354">
        <v>3</v>
      </c>
      <c r="C58" s="357" t="s">
        <v>743</v>
      </c>
      <c r="D58" s="391"/>
      <c r="E58" s="392"/>
      <c r="F58" s="289"/>
      <c r="G58" s="314" t="s">
        <v>603</v>
      </c>
      <c r="H58" s="315"/>
      <c r="I58" s="316"/>
      <c r="J58" s="364"/>
      <c r="K58" s="287"/>
    </row>
    <row r="59" spans="1:11" s="371" customFormat="1" hidden="1" outlineLevel="1">
      <c r="A59" s="390"/>
      <c r="B59" s="352">
        <v>4</v>
      </c>
      <c r="C59" s="353" t="s">
        <v>747</v>
      </c>
      <c r="D59" s="391"/>
      <c r="E59" s="380"/>
      <c r="F59" s="380"/>
      <c r="G59" s="310"/>
      <c r="H59" s="311"/>
      <c r="I59" s="310"/>
      <c r="J59" s="366"/>
    </row>
    <row r="60" spans="1:11" s="371" customFormat="1" hidden="1" outlineLevel="1">
      <c r="A60" s="290"/>
      <c r="B60" s="354">
        <v>5</v>
      </c>
      <c r="C60" s="348" t="s">
        <v>748</v>
      </c>
      <c r="D60" s="391"/>
      <c r="E60" s="392"/>
      <c r="F60" s="289"/>
      <c r="G60" s="314"/>
      <c r="H60" s="315"/>
      <c r="I60" s="316"/>
      <c r="J60" s="364"/>
      <c r="K60" s="287"/>
    </row>
    <row r="61" spans="1:11" s="371" customFormat="1" ht="55.5" hidden="1" customHeight="1" outlineLevel="1">
      <c r="A61" s="290"/>
      <c r="B61" s="349" t="s">
        <v>757</v>
      </c>
      <c r="C61" s="348" t="s">
        <v>861</v>
      </c>
      <c r="D61" s="391"/>
      <c r="E61" s="393"/>
      <c r="F61" s="375"/>
      <c r="G61" s="376"/>
      <c r="H61" s="377"/>
      <c r="I61" s="378"/>
      <c r="J61" s="364"/>
      <c r="K61" s="287"/>
    </row>
    <row r="62" spans="1:11" s="371" customFormat="1" hidden="1" outlineLevel="1">
      <c r="A62" s="290"/>
      <c r="B62" s="354">
        <v>6</v>
      </c>
      <c r="C62" s="348" t="s">
        <v>749</v>
      </c>
      <c r="D62" s="391"/>
      <c r="E62" s="392"/>
      <c r="F62" s="289"/>
      <c r="G62" s="314"/>
      <c r="H62" s="315"/>
      <c r="I62" s="316"/>
      <c r="J62" s="364"/>
      <c r="K62" s="287"/>
    </row>
    <row r="63" spans="1:11" s="371" customFormat="1" ht="24" hidden="1" customHeight="1" outlineLevel="1">
      <c r="A63" s="290"/>
      <c r="B63" s="349" t="s">
        <v>719</v>
      </c>
      <c r="C63" s="348" t="s">
        <v>709</v>
      </c>
      <c r="D63" s="391"/>
      <c r="E63" s="393"/>
      <c r="F63" s="375"/>
      <c r="G63" s="376"/>
      <c r="H63" s="377"/>
      <c r="I63" s="378"/>
      <c r="J63" s="364"/>
      <c r="K63" s="287"/>
    </row>
    <row r="64" spans="1:11" s="371" customFormat="1" hidden="1" outlineLevel="1">
      <c r="A64" s="390"/>
      <c r="B64" s="349">
        <v>7</v>
      </c>
      <c r="C64" s="359" t="s">
        <v>632</v>
      </c>
      <c r="D64" s="391"/>
      <c r="E64" s="380"/>
      <c r="F64" s="380"/>
      <c r="G64" s="310"/>
      <c r="H64" s="311"/>
      <c r="I64" s="310"/>
      <c r="J64" s="366"/>
    </row>
    <row r="65" spans="1:11" s="371" customFormat="1" hidden="1" outlineLevel="1">
      <c r="A65" s="390"/>
      <c r="B65" s="352">
        <v>8</v>
      </c>
      <c r="C65" s="353" t="s">
        <v>740</v>
      </c>
      <c r="D65" s="391"/>
      <c r="E65" s="380"/>
      <c r="F65" s="380"/>
      <c r="G65" s="310"/>
      <c r="H65" s="311"/>
      <c r="I65" s="310"/>
      <c r="J65" s="366"/>
    </row>
    <row r="66" spans="1:11" s="371" customFormat="1" hidden="1" outlineLevel="1">
      <c r="A66" s="390"/>
      <c r="B66" s="352">
        <v>9</v>
      </c>
      <c r="C66" s="353" t="s">
        <v>659</v>
      </c>
      <c r="D66" s="391"/>
      <c r="E66" s="380"/>
      <c r="F66" s="380"/>
      <c r="G66" s="310"/>
      <c r="H66" s="311"/>
      <c r="I66" s="310"/>
      <c r="J66" s="366"/>
    </row>
    <row r="67" spans="1:11" s="371" customFormat="1" ht="76.5" hidden="1" customHeight="1" outlineLevel="1">
      <c r="A67" s="390"/>
      <c r="B67" s="382" t="s">
        <v>646</v>
      </c>
      <c r="C67" s="348" t="s">
        <v>710</v>
      </c>
      <c r="D67" s="391"/>
      <c r="E67" s="380"/>
      <c r="F67" s="380"/>
      <c r="G67" s="310"/>
      <c r="H67" s="311"/>
      <c r="I67" s="310"/>
      <c r="J67" s="366"/>
    </row>
    <row r="68" spans="1:11" s="371" customFormat="1" hidden="1" outlineLevel="1">
      <c r="A68" s="390"/>
      <c r="B68" s="354">
        <v>10</v>
      </c>
      <c r="C68" s="359" t="s">
        <v>630</v>
      </c>
      <c r="D68" s="391"/>
      <c r="E68" s="380"/>
      <c r="F68" s="380"/>
      <c r="G68" s="310"/>
      <c r="H68" s="311"/>
      <c r="I68" s="310"/>
      <c r="J68" s="366"/>
    </row>
    <row r="69" spans="1:11" s="371" customFormat="1" hidden="1" outlineLevel="1">
      <c r="A69" s="390"/>
      <c r="B69" s="358" t="s">
        <v>720</v>
      </c>
      <c r="C69" s="374" t="s">
        <v>631</v>
      </c>
      <c r="D69" s="391"/>
      <c r="E69" s="380"/>
      <c r="F69" s="380"/>
      <c r="G69" s="310"/>
      <c r="H69" s="311"/>
      <c r="I69" s="310"/>
      <c r="J69" s="366"/>
    </row>
    <row r="70" spans="1:11" s="371" customFormat="1" collapsed="1">
      <c r="A70" s="333" t="s">
        <v>23</v>
      </c>
      <c r="B70" s="333" t="s">
        <v>726</v>
      </c>
      <c r="C70" s="332" t="s">
        <v>729</v>
      </c>
      <c r="D70" s="334" t="s">
        <v>604</v>
      </c>
      <c r="E70" s="294" t="s">
        <v>596</v>
      </c>
      <c r="F70" s="334" t="str">
        <f>IF(H70&gt;0,"F",IF(I70&gt;0,"A",IF(G70&gt;0,"P","NT")))</f>
        <v>P</v>
      </c>
      <c r="G70" s="334">
        <f>COUNTA(G71:G78)</f>
        <v>1</v>
      </c>
      <c r="H70" s="334">
        <f>COUNTA(H71:H78)</f>
        <v>0</v>
      </c>
      <c r="I70" s="334">
        <f>COUNTA(I71:I78)</f>
        <v>0</v>
      </c>
      <c r="J70" s="365">
        <f>COUNTA(J71:J78)</f>
        <v>0</v>
      </c>
      <c r="K70" s="291"/>
    </row>
    <row r="71" spans="1:11" s="371" customFormat="1" ht="30" hidden="1" outlineLevel="1">
      <c r="A71" s="292"/>
      <c r="B71" s="354" t="s">
        <v>446</v>
      </c>
      <c r="C71" s="348" t="s">
        <v>741</v>
      </c>
      <c r="D71" s="391"/>
      <c r="E71" s="293"/>
      <c r="F71" s="293"/>
      <c r="G71" s="312"/>
      <c r="H71" s="312"/>
      <c r="I71" s="313"/>
      <c r="J71" s="345"/>
      <c r="K71" s="291"/>
    </row>
    <row r="72" spans="1:11" s="371" customFormat="1" hidden="1" outlineLevel="1">
      <c r="A72" s="292"/>
      <c r="B72" s="354">
        <v>1</v>
      </c>
      <c r="C72" s="353" t="s">
        <v>621</v>
      </c>
      <c r="D72" s="391"/>
      <c r="E72" s="293"/>
      <c r="F72" s="293"/>
      <c r="G72" s="312"/>
      <c r="H72" s="312"/>
      <c r="I72" s="313"/>
      <c r="J72" s="345"/>
      <c r="K72" s="291"/>
    </row>
    <row r="73" spans="1:11" s="371" customFormat="1" hidden="1" outlineLevel="1">
      <c r="A73" s="292"/>
      <c r="B73" s="354">
        <v>2</v>
      </c>
      <c r="C73" s="359" t="s">
        <v>750</v>
      </c>
      <c r="D73" s="391"/>
      <c r="E73" s="293"/>
      <c r="F73" s="293"/>
      <c r="G73" s="312"/>
      <c r="H73" s="312"/>
      <c r="I73" s="313"/>
      <c r="J73" s="345"/>
      <c r="K73" s="291"/>
    </row>
    <row r="74" spans="1:11" s="371" customFormat="1" hidden="1" outlineLevel="1">
      <c r="A74" s="390"/>
      <c r="B74" s="349">
        <v>3</v>
      </c>
      <c r="C74" s="359" t="s">
        <v>632</v>
      </c>
      <c r="D74" s="391"/>
      <c r="E74" s="380"/>
      <c r="F74" s="380"/>
      <c r="G74" s="310"/>
      <c r="H74" s="311"/>
      <c r="I74" s="310"/>
      <c r="J74" s="366"/>
    </row>
    <row r="75" spans="1:11" s="371" customFormat="1" hidden="1" outlineLevel="1">
      <c r="A75" s="390"/>
      <c r="B75" s="349" t="s">
        <v>758</v>
      </c>
      <c r="C75" s="359" t="s">
        <v>752</v>
      </c>
      <c r="D75" s="391"/>
      <c r="E75" s="380"/>
      <c r="F75" s="380"/>
      <c r="G75" s="310" t="s">
        <v>603</v>
      </c>
      <c r="H75" s="311"/>
      <c r="I75" s="310"/>
      <c r="J75" s="366"/>
    </row>
    <row r="76" spans="1:11" s="371" customFormat="1" hidden="1" outlineLevel="1">
      <c r="A76" s="390"/>
      <c r="B76" s="352">
        <v>4</v>
      </c>
      <c r="C76" s="353" t="s">
        <v>659</v>
      </c>
      <c r="D76" s="391"/>
      <c r="E76" s="380"/>
      <c r="F76" s="380"/>
      <c r="G76" s="310"/>
      <c r="H76" s="311"/>
      <c r="I76" s="310"/>
      <c r="J76" s="366"/>
    </row>
    <row r="77" spans="1:11" s="371" customFormat="1" ht="96.75" hidden="1" customHeight="1" outlineLevel="1">
      <c r="A77" s="390"/>
      <c r="B77" s="382" t="s">
        <v>759</v>
      </c>
      <c r="C77" s="348" t="s">
        <v>862</v>
      </c>
      <c r="D77" s="391"/>
      <c r="E77" s="380"/>
      <c r="F77" s="380"/>
      <c r="G77" s="310"/>
      <c r="H77" s="311"/>
      <c r="I77" s="310"/>
      <c r="J77" s="366"/>
    </row>
    <row r="78" spans="1:11" s="371" customFormat="1" hidden="1" outlineLevel="1">
      <c r="A78" s="292"/>
      <c r="B78" s="349">
        <v>5</v>
      </c>
      <c r="C78" s="359" t="s">
        <v>630</v>
      </c>
      <c r="D78" s="391"/>
      <c r="E78" s="293"/>
      <c r="F78" s="293"/>
      <c r="G78" s="312"/>
      <c r="H78" s="312"/>
      <c r="I78" s="313"/>
      <c r="J78" s="345"/>
      <c r="K78" s="291"/>
    </row>
    <row r="79" spans="1:11" s="371" customFormat="1" ht="108.75" hidden="1" customHeight="1" outlineLevel="1">
      <c r="A79" s="390"/>
      <c r="B79" s="382" t="s">
        <v>760</v>
      </c>
      <c r="C79" s="348" t="s">
        <v>751</v>
      </c>
      <c r="D79" s="391"/>
      <c r="E79" s="380"/>
      <c r="F79" s="380"/>
      <c r="G79" s="310"/>
      <c r="H79" s="311"/>
      <c r="I79" s="310"/>
      <c r="J79" s="366"/>
    </row>
    <row r="80" spans="1:11" s="433" customFormat="1">
      <c r="A80" s="428"/>
      <c r="B80" s="429"/>
      <c r="C80" s="430"/>
      <c r="D80" s="431"/>
      <c r="E80" s="428"/>
      <c r="F80" s="428"/>
      <c r="G80" s="428"/>
      <c r="H80" s="428"/>
      <c r="I80" s="428"/>
      <c r="J80" s="432"/>
    </row>
  </sheetData>
  <mergeCells count="12">
    <mergeCell ref="A6:I6"/>
    <mergeCell ref="A7:B7"/>
    <mergeCell ref="C7:I7"/>
    <mergeCell ref="A8:I8"/>
    <mergeCell ref="D9:I9"/>
    <mergeCell ref="A5:B5"/>
    <mergeCell ref="C5:I5"/>
    <mergeCell ref="A1:I1"/>
    <mergeCell ref="A2:I2"/>
    <mergeCell ref="A3:B3"/>
    <mergeCell ref="C3:I3"/>
    <mergeCell ref="A4:I4"/>
  </mergeCells>
  <conditionalFormatting sqref="E10:E11 E80:E65537">
    <cfRule type="cellIs" dxfId="164" priority="181" operator="equal">
      <formula>"Ready to Test"</formula>
    </cfRule>
    <cfRule type="cellIs" dxfId="163" priority="182" operator="equal">
      <formula>"Do Not Test"</formula>
    </cfRule>
    <cfRule type="cellIs" dxfId="162" priority="183" operator="equal">
      <formula>"Ready for Retest"</formula>
    </cfRule>
    <cfRule type="cellIs" dxfId="161" priority="184" operator="equal">
      <formula>"Passed"</formula>
    </cfRule>
  </conditionalFormatting>
  <conditionalFormatting sqref="E3 E7 E5">
    <cfRule type="cellIs" dxfId="160" priority="179" stopIfTrue="1" operator="equal">
      <formula>"Ready to Test"</formula>
    </cfRule>
    <cfRule type="cellIs" dxfId="159" priority="180" stopIfTrue="1" operator="equal">
      <formula>"Do Not Test"</formula>
    </cfRule>
  </conditionalFormatting>
  <conditionalFormatting sqref="I12:J80">
    <cfRule type="cellIs" dxfId="158" priority="178" operator="greaterThan">
      <formula>0</formula>
    </cfRule>
  </conditionalFormatting>
  <conditionalFormatting sqref="H11:H80">
    <cfRule type="cellIs" dxfId="157" priority="177" operator="greaterThan">
      <formula>0</formula>
    </cfRule>
  </conditionalFormatting>
  <conditionalFormatting sqref="G12:G80">
    <cfRule type="cellIs" dxfId="156" priority="176" operator="greaterThan">
      <formula>0</formula>
    </cfRule>
  </conditionalFormatting>
  <conditionalFormatting sqref="E78 E71:E73">
    <cfRule type="cellIs" dxfId="155" priority="171" stopIfTrue="1" operator="equal">
      <formula>"Passed"</formula>
    </cfRule>
    <cfRule type="cellIs" dxfId="154" priority="172" stopIfTrue="1" operator="equal">
      <formula>"Do Not Test"</formula>
    </cfRule>
    <cfRule type="cellIs" dxfId="153" priority="173" stopIfTrue="1" operator="equal">
      <formula>"Ready for Retest"</formula>
    </cfRule>
    <cfRule type="cellIs" dxfId="152" priority="174" stopIfTrue="1" operator="equal">
      <formula>"Ready to Test"</formula>
    </cfRule>
  </conditionalFormatting>
  <conditionalFormatting sqref="E54 E70 E12 E40">
    <cfRule type="cellIs" dxfId="151" priority="170" stopIfTrue="1" operator="equal">
      <formula>"Do Not Test"</formula>
    </cfRule>
  </conditionalFormatting>
  <conditionalFormatting sqref="E54 E12 E70 E40">
    <cfRule type="cellIs" dxfId="150" priority="169" stopIfTrue="1" operator="equal">
      <formula>"Ready To Test"</formula>
    </cfRule>
  </conditionalFormatting>
  <conditionalFormatting sqref="F12 F40 F54 F70">
    <cfRule type="cellIs" dxfId="149" priority="163" operator="equal">
      <formula>"A"</formula>
    </cfRule>
  </conditionalFormatting>
  <conditionalFormatting sqref="F12 F40 F54 F70">
    <cfRule type="cellIs" dxfId="148" priority="161" operator="equal">
      <formula>"F"</formula>
    </cfRule>
    <cfRule type="cellIs" dxfId="147" priority="162" operator="equal">
      <formula>"p"</formula>
    </cfRule>
  </conditionalFormatting>
  <hyperlinks>
    <hyperlink ref="C9" r:id="rId1"/>
  </hyperlink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sheetPr>
    <tabColor theme="9"/>
    <outlinePr summaryBelow="0"/>
  </sheetPr>
  <dimension ref="A1:K49"/>
  <sheetViews>
    <sheetView zoomScaleNormal="100" workbookViewId="0">
      <selection sqref="A1:I1"/>
    </sheetView>
  </sheetViews>
  <sheetFormatPr defaultRowHeight="15" outlineLevelRow="1"/>
  <cols>
    <col min="1" max="1" width="8.7109375" style="320" bestFit="1" customWidth="1"/>
    <col min="2" max="2" width="20.85546875" style="324" customWidth="1"/>
    <col min="3" max="3" width="70.140625" style="328" customWidth="1"/>
    <col min="4" max="4" width="10.28515625" style="326" bestFit="1" customWidth="1"/>
    <col min="5" max="5" width="13.28515625" style="320" bestFit="1" customWidth="1"/>
    <col min="6" max="6" width="9.85546875" style="320" bestFit="1" customWidth="1"/>
    <col min="7" max="7" width="8.28515625" style="320" bestFit="1" customWidth="1"/>
    <col min="8" max="8" width="7.5703125" style="320" customWidth="1"/>
    <col min="9" max="9" width="10.5703125" style="320" bestFit="1" customWidth="1"/>
    <col min="10" max="10" width="55.85546875" style="369" customWidth="1"/>
    <col min="11" max="16384" width="9.140625" style="372"/>
  </cols>
  <sheetData>
    <row r="1" spans="1:10" s="397" customFormat="1">
      <c r="A1" s="529" t="s">
        <v>1492</v>
      </c>
      <c r="B1" s="529"/>
      <c r="C1" s="529"/>
      <c r="D1" s="529"/>
      <c r="E1" s="529"/>
      <c r="F1" s="529"/>
      <c r="G1" s="529"/>
      <c r="H1" s="529"/>
      <c r="I1" s="529"/>
      <c r="J1" s="330"/>
    </row>
    <row r="2" spans="1:10" s="398" customFormat="1">
      <c r="A2" s="530"/>
      <c r="B2" s="530"/>
      <c r="C2" s="531"/>
      <c r="D2" s="531"/>
      <c r="E2" s="531"/>
      <c r="F2" s="531"/>
      <c r="G2" s="531"/>
      <c r="H2" s="531"/>
      <c r="I2" s="531"/>
      <c r="J2" s="368"/>
    </row>
    <row r="3" spans="1:10" s="398" customFormat="1" ht="33.75" customHeight="1">
      <c r="A3" s="532" t="s">
        <v>1227</v>
      </c>
      <c r="B3" s="533"/>
      <c r="C3" s="521" t="s">
        <v>1288</v>
      </c>
      <c r="D3" s="522"/>
      <c r="E3" s="522"/>
      <c r="F3" s="522"/>
      <c r="G3" s="522"/>
      <c r="H3" s="522"/>
      <c r="I3" s="523"/>
      <c r="J3" s="409"/>
    </row>
    <row r="4" spans="1:10" s="398" customFormat="1">
      <c r="A4" s="534"/>
      <c r="B4" s="535"/>
      <c r="C4" s="536"/>
      <c r="D4" s="536"/>
      <c r="E4" s="536"/>
      <c r="F4" s="536"/>
      <c r="G4" s="536"/>
      <c r="H4" s="536"/>
      <c r="I4" s="536"/>
      <c r="J4" s="368"/>
    </row>
    <row r="5" spans="1:10" s="397" customFormat="1" ht="30" customHeight="1">
      <c r="A5" s="519" t="s">
        <v>594</v>
      </c>
      <c r="B5" s="520"/>
      <c r="C5" s="526" t="s">
        <v>795</v>
      </c>
      <c r="D5" s="527"/>
      <c r="E5" s="527"/>
      <c r="F5" s="527"/>
      <c r="G5" s="527"/>
      <c r="H5" s="527"/>
      <c r="I5" s="528"/>
      <c r="J5" s="330"/>
    </row>
    <row r="6" spans="1:10" s="397" customFormat="1">
      <c r="A6" s="516"/>
      <c r="B6" s="517"/>
      <c r="C6" s="518"/>
      <c r="D6" s="518"/>
      <c r="E6" s="518"/>
      <c r="F6" s="518"/>
      <c r="G6" s="518"/>
      <c r="H6" s="518"/>
      <c r="I6" s="518"/>
      <c r="J6" s="367"/>
    </row>
    <row r="7" spans="1:10" s="397" customFormat="1" ht="17.25" customHeight="1">
      <c r="A7" s="519" t="s">
        <v>1229</v>
      </c>
      <c r="B7" s="520"/>
      <c r="C7" s="521" t="s">
        <v>1425</v>
      </c>
      <c r="D7" s="522"/>
      <c r="E7" s="522"/>
      <c r="F7" s="522"/>
      <c r="G7" s="522"/>
      <c r="H7" s="522"/>
      <c r="I7" s="523"/>
      <c r="J7" s="330"/>
    </row>
    <row r="8" spans="1:10" s="399" customFormat="1">
      <c r="A8" s="524"/>
      <c r="B8" s="524"/>
      <c r="C8" s="524"/>
      <c r="D8" s="524"/>
      <c r="E8" s="524"/>
      <c r="F8" s="524"/>
      <c r="G8" s="524"/>
      <c r="H8" s="524"/>
      <c r="I8" s="524"/>
      <c r="J8" s="363"/>
    </row>
    <row r="9" spans="1:10" ht="27.75" customHeight="1">
      <c r="A9" s="410" t="s">
        <v>1231</v>
      </c>
      <c r="B9" s="411"/>
      <c r="C9" s="412" t="s">
        <v>1232</v>
      </c>
      <c r="D9" s="525"/>
      <c r="E9" s="525"/>
      <c r="F9" s="525"/>
      <c r="G9" s="525"/>
      <c r="H9" s="525"/>
      <c r="I9" s="525"/>
      <c r="J9" s="413"/>
    </row>
    <row r="10" spans="1:10">
      <c r="A10" s="321"/>
      <c r="B10" s="323"/>
      <c r="C10" s="327"/>
      <c r="D10" s="325"/>
      <c r="E10" s="322"/>
      <c r="F10" s="322"/>
      <c r="G10" s="322"/>
      <c r="H10" s="322"/>
      <c r="I10" s="322"/>
      <c r="J10" s="370"/>
    </row>
    <row r="11" spans="1:10" s="216" customFormat="1" ht="29.25" customHeight="1">
      <c r="A11" s="385" t="s">
        <v>0</v>
      </c>
      <c r="B11" s="379" t="s">
        <v>226</v>
      </c>
      <c r="C11" s="386" t="s">
        <v>540</v>
      </c>
      <c r="D11" s="386" t="s">
        <v>595</v>
      </c>
      <c r="E11" s="387" t="s">
        <v>214</v>
      </c>
      <c r="F11" s="387" t="s">
        <v>584</v>
      </c>
      <c r="G11" s="388" t="s">
        <v>2</v>
      </c>
      <c r="H11" s="389" t="s">
        <v>579</v>
      </c>
      <c r="I11" s="331" t="s">
        <v>583</v>
      </c>
      <c r="J11" s="331" t="s">
        <v>1</v>
      </c>
    </row>
    <row r="12" spans="1:10" s="276" customFormat="1" collapsed="1">
      <c r="A12" s="333" t="s">
        <v>23</v>
      </c>
      <c r="B12" s="333" t="s">
        <v>781</v>
      </c>
      <c r="C12" s="332" t="s">
        <v>782</v>
      </c>
      <c r="D12" s="334" t="s">
        <v>604</v>
      </c>
      <c r="E12" s="286" t="s">
        <v>596</v>
      </c>
      <c r="F12" s="334" t="str">
        <f>IF(H12&gt;0,"F",IF(I12&gt;0,"A",IF(G12&gt;0,"P","NT")))</f>
        <v>P</v>
      </c>
      <c r="G12" s="334">
        <f>COUNTA(G21:G27)</f>
        <v>1</v>
      </c>
      <c r="H12" s="334">
        <f>COUNTA(H21:H27)</f>
        <v>0</v>
      </c>
      <c r="I12" s="334">
        <f>COUNTA(I21:I27)</f>
        <v>0</v>
      </c>
      <c r="J12" s="365">
        <f>COUNTA(J21:J27)</f>
        <v>0</v>
      </c>
    </row>
    <row r="13" spans="1:10" s="371" customFormat="1" hidden="1" outlineLevel="1">
      <c r="A13" s="390"/>
      <c r="B13" s="351" t="s">
        <v>598</v>
      </c>
      <c r="C13" s="348" t="s">
        <v>779</v>
      </c>
      <c r="D13" s="391"/>
      <c r="E13" s="380"/>
      <c r="F13" s="380"/>
      <c r="G13" s="310"/>
      <c r="H13" s="311"/>
      <c r="I13" s="310"/>
      <c r="J13" s="366"/>
    </row>
    <row r="14" spans="1:10" s="371" customFormat="1" hidden="1" outlineLevel="1">
      <c r="A14" s="390"/>
      <c r="B14" s="351" t="s">
        <v>599</v>
      </c>
      <c r="C14" s="348" t="s">
        <v>753</v>
      </c>
      <c r="D14" s="391"/>
      <c r="E14" s="380"/>
      <c r="F14" s="380"/>
      <c r="G14" s="310"/>
      <c r="H14" s="311"/>
      <c r="I14" s="310"/>
      <c r="J14" s="366"/>
    </row>
    <row r="15" spans="1:10" s="371" customFormat="1" hidden="1" outlineLevel="1">
      <c r="A15" s="390"/>
      <c r="B15" s="382" t="s">
        <v>634</v>
      </c>
      <c r="C15" s="348" t="s">
        <v>648</v>
      </c>
      <c r="D15" s="391"/>
      <c r="E15" s="380"/>
      <c r="F15" s="380"/>
      <c r="G15" s="310"/>
      <c r="H15" s="311"/>
      <c r="I15" s="310"/>
      <c r="J15" s="366"/>
    </row>
    <row r="16" spans="1:10" s="371" customFormat="1" hidden="1" outlineLevel="1">
      <c r="A16" s="390"/>
      <c r="B16" s="352">
        <v>1</v>
      </c>
      <c r="C16" s="353" t="s">
        <v>621</v>
      </c>
      <c r="D16" s="391"/>
      <c r="E16" s="380"/>
      <c r="F16" s="380"/>
      <c r="G16" s="310"/>
      <c r="H16" s="311"/>
      <c r="I16" s="310"/>
      <c r="J16" s="366"/>
    </row>
    <row r="17" spans="1:11" s="371" customFormat="1" ht="30" hidden="1" outlineLevel="1">
      <c r="A17" s="390"/>
      <c r="B17" s="352">
        <v>2</v>
      </c>
      <c r="C17" s="353" t="s">
        <v>780</v>
      </c>
      <c r="D17" s="391"/>
      <c r="E17" s="380"/>
      <c r="F17" s="380"/>
      <c r="G17" s="310"/>
      <c r="H17" s="311"/>
      <c r="I17" s="310"/>
      <c r="J17" s="366"/>
    </row>
    <row r="18" spans="1:11" s="371" customFormat="1" hidden="1" outlineLevel="1">
      <c r="A18" s="390"/>
      <c r="B18" s="352">
        <v>3</v>
      </c>
      <c r="C18" s="353" t="s">
        <v>623</v>
      </c>
      <c r="D18" s="391"/>
      <c r="E18" s="380"/>
      <c r="F18" s="380"/>
      <c r="G18" s="310"/>
      <c r="H18" s="311"/>
      <c r="I18" s="310"/>
      <c r="J18" s="366"/>
    </row>
    <row r="19" spans="1:11" s="371" customFormat="1" hidden="1" outlineLevel="1">
      <c r="A19" s="390"/>
      <c r="B19" s="352">
        <v>4</v>
      </c>
      <c r="C19" s="353" t="s">
        <v>622</v>
      </c>
      <c r="D19" s="391"/>
      <c r="E19" s="380"/>
      <c r="F19" s="380"/>
      <c r="G19" s="310" t="s">
        <v>603</v>
      </c>
      <c r="H19" s="311"/>
      <c r="I19" s="310"/>
      <c r="J19" s="366"/>
    </row>
    <row r="20" spans="1:11" s="371" customFormat="1" hidden="1" outlineLevel="1">
      <c r="A20" s="390"/>
      <c r="B20" s="352">
        <v>5</v>
      </c>
      <c r="C20" s="373" t="s">
        <v>764</v>
      </c>
      <c r="D20" s="391"/>
      <c r="E20" s="380"/>
      <c r="F20" s="380"/>
      <c r="G20" s="310"/>
      <c r="H20" s="311"/>
      <c r="I20" s="310"/>
      <c r="J20" s="366"/>
    </row>
    <row r="21" spans="1:11" s="371" customFormat="1" hidden="1" outlineLevel="1">
      <c r="A21" s="390"/>
      <c r="B21" s="354">
        <v>6</v>
      </c>
      <c r="C21" s="348" t="s">
        <v>766</v>
      </c>
      <c r="D21" s="391"/>
      <c r="E21" s="380"/>
      <c r="F21" s="380"/>
      <c r="G21" s="310" t="s">
        <v>603</v>
      </c>
      <c r="H21" s="311"/>
      <c r="I21" s="310"/>
      <c r="J21" s="366"/>
    </row>
    <row r="22" spans="1:11" s="371" customFormat="1" hidden="1" outlineLevel="1">
      <c r="A22" s="390"/>
      <c r="B22" s="352">
        <v>7</v>
      </c>
      <c r="C22" s="353" t="s">
        <v>765</v>
      </c>
      <c r="D22" s="391"/>
      <c r="E22" s="380"/>
      <c r="F22" s="380"/>
      <c r="G22" s="310"/>
      <c r="H22" s="311"/>
      <c r="I22" s="310"/>
      <c r="J22" s="366"/>
    </row>
    <row r="23" spans="1:11" s="371" customFormat="1" hidden="1" outlineLevel="1">
      <c r="A23" s="390"/>
      <c r="B23" s="354">
        <v>8</v>
      </c>
      <c r="C23" s="353" t="s">
        <v>783</v>
      </c>
      <c r="D23" s="391"/>
      <c r="E23" s="380"/>
      <c r="F23" s="380"/>
      <c r="G23" s="310"/>
      <c r="H23" s="311"/>
      <c r="I23" s="310"/>
      <c r="J23" s="366"/>
    </row>
    <row r="24" spans="1:11" s="371" customFormat="1" hidden="1" outlineLevel="1">
      <c r="A24" s="390"/>
      <c r="B24" s="354">
        <v>9</v>
      </c>
      <c r="C24" s="355" t="s">
        <v>659</v>
      </c>
      <c r="D24" s="391"/>
      <c r="E24" s="380"/>
      <c r="F24" s="380"/>
      <c r="G24" s="310"/>
      <c r="H24" s="311"/>
      <c r="I24" s="310"/>
      <c r="J24" s="366"/>
    </row>
    <row r="25" spans="1:11" s="371" customFormat="1" ht="76.5" hidden="1" customHeight="1" outlineLevel="1">
      <c r="A25" s="390"/>
      <c r="B25" s="382" t="s">
        <v>635</v>
      </c>
      <c r="C25" s="348" t="s">
        <v>768</v>
      </c>
      <c r="D25" s="391"/>
      <c r="E25" s="380"/>
      <c r="F25" s="380"/>
      <c r="G25" s="310"/>
      <c r="H25" s="311"/>
      <c r="I25" s="310"/>
      <c r="J25" s="366"/>
    </row>
    <row r="26" spans="1:11" s="371" customFormat="1" hidden="1" outlineLevel="1">
      <c r="A26" s="390"/>
      <c r="B26" s="354">
        <v>10</v>
      </c>
      <c r="C26" s="359" t="s">
        <v>630</v>
      </c>
      <c r="D26" s="391"/>
      <c r="E26" s="380"/>
      <c r="F26" s="380"/>
      <c r="G26" s="310"/>
      <c r="H26" s="311"/>
      <c r="I26" s="310"/>
      <c r="J26" s="366"/>
    </row>
    <row r="27" spans="1:11" s="371" customFormat="1" ht="24" hidden="1" customHeight="1" outlineLevel="1">
      <c r="A27" s="390"/>
      <c r="B27" s="358" t="s">
        <v>636</v>
      </c>
      <c r="C27" s="374" t="s">
        <v>631</v>
      </c>
      <c r="D27" s="391"/>
      <c r="E27" s="380"/>
      <c r="F27" s="380"/>
      <c r="G27" s="310"/>
      <c r="H27" s="311"/>
      <c r="I27" s="310"/>
      <c r="J27" s="366"/>
    </row>
    <row r="28" spans="1:11" s="371" customFormat="1" collapsed="1">
      <c r="A28" s="333" t="s">
        <v>23</v>
      </c>
      <c r="B28" s="333" t="s">
        <v>784</v>
      </c>
      <c r="C28" s="332" t="s">
        <v>785</v>
      </c>
      <c r="D28" s="334" t="s">
        <v>604</v>
      </c>
      <c r="E28" s="288" t="s">
        <v>596</v>
      </c>
      <c r="F28" s="334" t="str">
        <f>IF(H28&gt;0,"F",IF(I28&gt;0,"A",IF(G28&gt;0,"P","NT")))</f>
        <v>P</v>
      </c>
      <c r="G28" s="334">
        <f>COUNTA(G29:G39)</f>
        <v>1</v>
      </c>
      <c r="H28" s="334">
        <f>COUNTA(H29:H39)</f>
        <v>0</v>
      </c>
      <c r="I28" s="334">
        <f>COUNTA(I29:I39)</f>
        <v>0</v>
      </c>
      <c r="J28" s="365">
        <f>COUNTA(J29:J39)</f>
        <v>0</v>
      </c>
    </row>
    <row r="29" spans="1:11" s="371" customFormat="1" ht="30" hidden="1" outlineLevel="1">
      <c r="A29" s="290"/>
      <c r="B29" s="354" t="s">
        <v>446</v>
      </c>
      <c r="C29" s="348" t="s">
        <v>786</v>
      </c>
      <c r="D29" s="391"/>
      <c r="E29" s="392"/>
      <c r="F29" s="289"/>
      <c r="G29" s="314"/>
      <c r="H29" s="315"/>
      <c r="I29" s="316"/>
      <c r="J29" s="364"/>
    </row>
    <row r="30" spans="1:11" s="371" customFormat="1" hidden="1" outlineLevel="1">
      <c r="A30" s="290"/>
      <c r="B30" s="354">
        <v>1</v>
      </c>
      <c r="C30" s="353" t="s">
        <v>621</v>
      </c>
      <c r="D30" s="391"/>
      <c r="E30" s="392"/>
      <c r="F30" s="289"/>
      <c r="G30" s="314"/>
      <c r="H30" s="315"/>
      <c r="I30" s="316"/>
      <c r="J30" s="364"/>
      <c r="K30" s="287"/>
    </row>
    <row r="31" spans="1:11" s="371" customFormat="1" ht="30" hidden="1" outlineLevel="1">
      <c r="A31" s="290"/>
      <c r="B31" s="354">
        <v>2</v>
      </c>
      <c r="C31" s="353" t="s">
        <v>787</v>
      </c>
      <c r="D31" s="391"/>
      <c r="E31" s="392"/>
      <c r="F31" s="289"/>
      <c r="G31" s="314"/>
      <c r="H31" s="315"/>
      <c r="I31" s="316"/>
      <c r="J31" s="364"/>
      <c r="K31" s="287"/>
    </row>
    <row r="32" spans="1:11" s="371" customFormat="1" hidden="1" outlineLevel="1">
      <c r="A32" s="290"/>
      <c r="B32" s="354">
        <v>3</v>
      </c>
      <c r="C32" s="357" t="s">
        <v>791</v>
      </c>
      <c r="D32" s="391"/>
      <c r="E32" s="392"/>
      <c r="F32" s="289"/>
      <c r="G32" s="314"/>
      <c r="H32" s="315"/>
      <c r="I32" s="316"/>
      <c r="J32" s="364"/>
      <c r="K32" s="287"/>
    </row>
    <row r="33" spans="1:11" s="371" customFormat="1" hidden="1" outlineLevel="1">
      <c r="A33" s="390"/>
      <c r="B33" s="352">
        <v>4</v>
      </c>
      <c r="C33" s="353" t="s">
        <v>776</v>
      </c>
      <c r="D33" s="391"/>
      <c r="E33" s="380"/>
      <c r="F33" s="380"/>
      <c r="G33" s="310"/>
      <c r="H33" s="311"/>
      <c r="I33" s="310"/>
      <c r="J33" s="366"/>
    </row>
    <row r="34" spans="1:11" s="371" customFormat="1" hidden="1" outlineLevel="1">
      <c r="A34" s="390"/>
      <c r="B34" s="352">
        <v>5</v>
      </c>
      <c r="C34" s="353" t="s">
        <v>765</v>
      </c>
      <c r="D34" s="391"/>
      <c r="E34" s="380"/>
      <c r="F34" s="380"/>
      <c r="G34" s="310" t="s">
        <v>603</v>
      </c>
      <c r="H34" s="311"/>
      <c r="I34" s="310"/>
      <c r="J34" s="366"/>
    </row>
    <row r="35" spans="1:11" s="371" customFormat="1" hidden="1" outlineLevel="1">
      <c r="A35" s="390"/>
      <c r="B35" s="352">
        <v>6</v>
      </c>
      <c r="C35" s="353" t="s">
        <v>783</v>
      </c>
      <c r="D35" s="391"/>
      <c r="E35" s="380"/>
      <c r="F35" s="380"/>
      <c r="G35" s="310"/>
      <c r="H35" s="311"/>
      <c r="I35" s="310"/>
      <c r="J35" s="366"/>
    </row>
    <row r="36" spans="1:11" s="371" customFormat="1" hidden="1" outlineLevel="1">
      <c r="A36" s="390"/>
      <c r="B36" s="352">
        <v>7</v>
      </c>
      <c r="C36" s="353" t="s">
        <v>659</v>
      </c>
      <c r="D36" s="391"/>
      <c r="E36" s="380"/>
      <c r="F36" s="380"/>
      <c r="G36" s="310"/>
      <c r="H36" s="311"/>
      <c r="I36" s="310"/>
      <c r="J36" s="366"/>
    </row>
    <row r="37" spans="1:11" s="371" customFormat="1" ht="76.5" hidden="1" customHeight="1" outlineLevel="1">
      <c r="A37" s="390"/>
      <c r="B37" s="382" t="s">
        <v>637</v>
      </c>
      <c r="C37" s="348" t="s">
        <v>777</v>
      </c>
      <c r="D37" s="391"/>
      <c r="E37" s="380"/>
      <c r="F37" s="380"/>
      <c r="G37" s="310"/>
      <c r="H37" s="311"/>
      <c r="I37" s="310"/>
      <c r="J37" s="366"/>
    </row>
    <row r="38" spans="1:11" s="371" customFormat="1" hidden="1" outlineLevel="1">
      <c r="A38" s="390"/>
      <c r="B38" s="354">
        <v>8</v>
      </c>
      <c r="C38" s="359" t="s">
        <v>630</v>
      </c>
      <c r="D38" s="391"/>
      <c r="E38" s="380"/>
      <c r="F38" s="380"/>
      <c r="G38" s="310"/>
      <c r="H38" s="311"/>
      <c r="I38" s="310"/>
      <c r="J38" s="366"/>
    </row>
    <row r="39" spans="1:11" s="371" customFormat="1" hidden="1" outlineLevel="1">
      <c r="A39" s="390"/>
      <c r="B39" s="358" t="s">
        <v>638</v>
      </c>
      <c r="C39" s="374" t="s">
        <v>631</v>
      </c>
      <c r="D39" s="391"/>
      <c r="E39" s="380"/>
      <c r="F39" s="380"/>
      <c r="G39" s="310"/>
      <c r="H39" s="311"/>
      <c r="I39" s="310"/>
      <c r="J39" s="366"/>
    </row>
    <row r="40" spans="1:11" s="371" customFormat="1" collapsed="1">
      <c r="A40" s="333" t="s">
        <v>23</v>
      </c>
      <c r="B40" s="333" t="s">
        <v>788</v>
      </c>
      <c r="C40" s="332" t="s">
        <v>789</v>
      </c>
      <c r="D40" s="334" t="s">
        <v>604</v>
      </c>
      <c r="E40" s="294" t="s">
        <v>596</v>
      </c>
      <c r="F40" s="334" t="str">
        <f>IF(H40&gt;0,"F",IF(I40&gt;0,"A",IF(G40&gt;0,"P","NT")))</f>
        <v>P</v>
      </c>
      <c r="G40" s="334">
        <f>COUNTA(G41:G48)</f>
        <v>1</v>
      </c>
      <c r="H40" s="334">
        <f>COUNTA(H41:H48)</f>
        <v>0</v>
      </c>
      <c r="I40" s="334">
        <f>COUNTA(I41:I48)</f>
        <v>0</v>
      </c>
      <c r="J40" s="365">
        <f>COUNTA(J41:J48)</f>
        <v>0</v>
      </c>
      <c r="K40" s="291"/>
    </row>
    <row r="41" spans="1:11" s="371" customFormat="1" ht="30" hidden="1" outlineLevel="1">
      <c r="A41" s="292"/>
      <c r="B41" s="354" t="s">
        <v>446</v>
      </c>
      <c r="C41" s="348" t="s">
        <v>790</v>
      </c>
      <c r="D41" s="391"/>
      <c r="E41" s="293"/>
      <c r="F41" s="293"/>
      <c r="G41" s="312"/>
      <c r="H41" s="312"/>
      <c r="I41" s="313"/>
      <c r="J41" s="345"/>
      <c r="K41" s="291"/>
    </row>
    <row r="42" spans="1:11" s="371" customFormat="1" hidden="1" outlineLevel="1">
      <c r="A42" s="292"/>
      <c r="B42" s="354">
        <v>1</v>
      </c>
      <c r="C42" s="353" t="s">
        <v>621</v>
      </c>
      <c r="D42" s="391"/>
      <c r="E42" s="293"/>
      <c r="F42" s="293"/>
      <c r="G42" s="312"/>
      <c r="H42" s="312"/>
      <c r="I42" s="313"/>
      <c r="J42" s="345"/>
      <c r="K42" s="291"/>
    </row>
    <row r="43" spans="1:11" s="371" customFormat="1" ht="30" hidden="1" outlineLevel="1">
      <c r="A43" s="290"/>
      <c r="B43" s="354">
        <v>2</v>
      </c>
      <c r="C43" s="353" t="s">
        <v>787</v>
      </c>
      <c r="D43" s="391"/>
      <c r="E43" s="392"/>
      <c r="F43" s="289"/>
      <c r="G43" s="314"/>
      <c r="H43" s="315"/>
      <c r="I43" s="316"/>
      <c r="J43" s="364"/>
      <c r="K43" s="287"/>
    </row>
    <row r="44" spans="1:11" s="371" customFormat="1" hidden="1" outlineLevel="1">
      <c r="A44" s="290"/>
      <c r="B44" s="354">
        <v>3</v>
      </c>
      <c r="C44" s="357" t="s">
        <v>791</v>
      </c>
      <c r="D44" s="391"/>
      <c r="E44" s="392"/>
      <c r="F44" s="289"/>
      <c r="G44" s="314"/>
      <c r="H44" s="315"/>
      <c r="I44" s="316"/>
      <c r="J44" s="364"/>
      <c r="K44" s="287"/>
    </row>
    <row r="45" spans="1:11" s="371" customFormat="1" hidden="1" outlineLevel="1">
      <c r="A45" s="292"/>
      <c r="B45" s="354">
        <v>4</v>
      </c>
      <c r="C45" s="353" t="s">
        <v>783</v>
      </c>
      <c r="D45" s="391"/>
      <c r="E45" s="293"/>
      <c r="F45" s="293"/>
      <c r="G45" s="312"/>
      <c r="H45" s="312"/>
      <c r="I45" s="313"/>
      <c r="J45" s="345"/>
      <c r="K45" s="291"/>
    </row>
    <row r="46" spans="1:11" s="371" customFormat="1" hidden="1" outlineLevel="1">
      <c r="A46" s="390"/>
      <c r="B46" s="352">
        <v>5</v>
      </c>
      <c r="C46" s="353" t="s">
        <v>659</v>
      </c>
      <c r="D46" s="391"/>
      <c r="E46" s="380"/>
      <c r="F46" s="380"/>
      <c r="G46" s="310" t="s">
        <v>603</v>
      </c>
      <c r="H46" s="311"/>
      <c r="I46" s="310"/>
      <c r="J46" s="366"/>
    </row>
    <row r="47" spans="1:11" s="371" customFormat="1" ht="76.5" hidden="1" customHeight="1" outlineLevel="1">
      <c r="A47" s="390"/>
      <c r="B47" s="382" t="s">
        <v>638</v>
      </c>
      <c r="C47" s="348" t="s">
        <v>832</v>
      </c>
      <c r="D47" s="391"/>
      <c r="E47" s="380"/>
      <c r="F47" s="380"/>
      <c r="G47" s="310"/>
      <c r="H47" s="311"/>
      <c r="I47" s="310"/>
      <c r="J47" s="366"/>
    </row>
    <row r="48" spans="1:11" s="371" customFormat="1" hidden="1" outlineLevel="1">
      <c r="A48" s="292"/>
      <c r="B48" s="349">
        <v>6</v>
      </c>
      <c r="C48" s="359" t="s">
        <v>630</v>
      </c>
      <c r="D48" s="391"/>
      <c r="E48" s="293"/>
      <c r="F48" s="293"/>
      <c r="G48" s="312"/>
      <c r="H48" s="312"/>
      <c r="I48" s="313"/>
      <c r="J48" s="345"/>
      <c r="K48" s="291"/>
    </row>
    <row r="49" spans="1:10" s="433" customFormat="1">
      <c r="A49" s="428"/>
      <c r="B49" s="429"/>
      <c r="C49" s="430"/>
      <c r="D49" s="431"/>
      <c r="E49" s="428"/>
      <c r="F49" s="428"/>
      <c r="G49" s="428"/>
      <c r="H49" s="428"/>
      <c r="I49" s="428"/>
      <c r="J49" s="432"/>
    </row>
  </sheetData>
  <mergeCells count="12">
    <mergeCell ref="A6:I6"/>
    <mergeCell ref="A7:B7"/>
    <mergeCell ref="C7:I7"/>
    <mergeCell ref="A8:I8"/>
    <mergeCell ref="D9:I9"/>
    <mergeCell ref="A5:B5"/>
    <mergeCell ref="C5:I5"/>
    <mergeCell ref="A1:I1"/>
    <mergeCell ref="A2:I2"/>
    <mergeCell ref="A3:B3"/>
    <mergeCell ref="C3:I3"/>
    <mergeCell ref="A4:I4"/>
  </mergeCells>
  <conditionalFormatting sqref="E10:E11 E49:E65537">
    <cfRule type="cellIs" dxfId="146" priority="120" operator="equal">
      <formula>"Ready to Test"</formula>
    </cfRule>
    <cfRule type="cellIs" dxfId="145" priority="121" operator="equal">
      <formula>"Do Not Test"</formula>
    </cfRule>
    <cfRule type="cellIs" dxfId="144" priority="122" operator="equal">
      <formula>"Ready for Retest"</formula>
    </cfRule>
    <cfRule type="cellIs" dxfId="143" priority="123" operator="equal">
      <formula>"Passed"</formula>
    </cfRule>
  </conditionalFormatting>
  <conditionalFormatting sqref="E3 E7 E5">
    <cfRule type="cellIs" dxfId="142" priority="118" stopIfTrue="1" operator="equal">
      <formula>"Ready to Test"</formula>
    </cfRule>
    <cfRule type="cellIs" dxfId="141" priority="119" stopIfTrue="1" operator="equal">
      <formula>"Do Not Test"</formula>
    </cfRule>
  </conditionalFormatting>
  <conditionalFormatting sqref="I12:J49">
    <cfRule type="cellIs" dxfId="140" priority="117" operator="greaterThan">
      <formula>0</formula>
    </cfRule>
  </conditionalFormatting>
  <conditionalFormatting sqref="H11:H49">
    <cfRule type="cellIs" dxfId="139" priority="116" operator="greaterThan">
      <formula>0</formula>
    </cfRule>
  </conditionalFormatting>
  <conditionalFormatting sqref="G12:G49">
    <cfRule type="cellIs" dxfId="138" priority="115" operator="greaterThan">
      <formula>0</formula>
    </cfRule>
  </conditionalFormatting>
  <conditionalFormatting sqref="E48:E49 E41:E42 E45">
    <cfRule type="cellIs" dxfId="137" priority="109" stopIfTrue="1" operator="equal">
      <formula>"Passed"</formula>
    </cfRule>
    <cfRule type="cellIs" dxfId="136" priority="110" stopIfTrue="1" operator="equal">
      <formula>"Do Not Test"</formula>
    </cfRule>
    <cfRule type="cellIs" dxfId="135" priority="111" stopIfTrue="1" operator="equal">
      <formula>"Ready for Retest"</formula>
    </cfRule>
    <cfRule type="cellIs" dxfId="134" priority="112" stopIfTrue="1" operator="equal">
      <formula>"Ready to Test"</formula>
    </cfRule>
  </conditionalFormatting>
  <conditionalFormatting sqref="E28 E40 E12">
    <cfRule type="cellIs" dxfId="133" priority="108" stopIfTrue="1" operator="equal">
      <formula>"Do Not Test"</formula>
    </cfRule>
  </conditionalFormatting>
  <conditionalFormatting sqref="E28 E40 E12">
    <cfRule type="cellIs" dxfId="132" priority="107" stopIfTrue="1" operator="equal">
      <formula>"Ready To Test"</formula>
    </cfRule>
  </conditionalFormatting>
  <conditionalFormatting sqref="F12 F28 F40">
    <cfRule type="cellIs" dxfId="131" priority="102" operator="equal">
      <formula>"A"</formula>
    </cfRule>
  </conditionalFormatting>
  <conditionalFormatting sqref="F12 F28 F40">
    <cfRule type="cellIs" dxfId="130" priority="100" operator="equal">
      <formula>"F"</formula>
    </cfRule>
    <cfRule type="cellIs" dxfId="129" priority="101" operator="equal">
      <formula>"p"</formula>
    </cfRule>
  </conditionalFormatting>
  <hyperlinks>
    <hyperlink ref="C9" r:id="rId1"/>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sheetPr>
    <tabColor theme="9"/>
    <outlinePr summaryBelow="0"/>
  </sheetPr>
  <dimension ref="A1:K49"/>
  <sheetViews>
    <sheetView zoomScaleNormal="100" workbookViewId="0">
      <selection sqref="A1:I1"/>
    </sheetView>
  </sheetViews>
  <sheetFormatPr defaultRowHeight="15" outlineLevelRow="1"/>
  <cols>
    <col min="1" max="1" width="8.7109375" style="320" bestFit="1" customWidth="1"/>
    <col min="2" max="2" width="20.85546875" style="324" customWidth="1"/>
    <col min="3" max="3" width="70.140625" style="328" customWidth="1"/>
    <col min="4" max="4" width="10.28515625" style="326" bestFit="1" customWidth="1"/>
    <col min="5" max="5" width="13.28515625" style="320" bestFit="1" customWidth="1"/>
    <col min="6" max="6" width="9.85546875" style="320" bestFit="1" customWidth="1"/>
    <col min="7" max="7" width="8.28515625" style="320" bestFit="1" customWidth="1"/>
    <col min="8" max="8" width="7.5703125" style="320" customWidth="1"/>
    <col min="9" max="9" width="10.5703125" style="320" bestFit="1" customWidth="1"/>
    <col min="10" max="10" width="55.85546875" style="369" customWidth="1"/>
    <col min="11" max="16384" width="9.140625" style="372"/>
  </cols>
  <sheetData>
    <row r="1" spans="1:10" s="397" customFormat="1">
      <c r="A1" s="529" t="s">
        <v>1493</v>
      </c>
      <c r="B1" s="529"/>
      <c r="C1" s="529"/>
      <c r="D1" s="529"/>
      <c r="E1" s="529"/>
      <c r="F1" s="529"/>
      <c r="G1" s="529"/>
      <c r="H1" s="529"/>
      <c r="I1" s="529"/>
      <c r="J1" s="330"/>
    </row>
    <row r="2" spans="1:10" s="398" customFormat="1">
      <c r="A2" s="530"/>
      <c r="B2" s="530"/>
      <c r="C2" s="531"/>
      <c r="D2" s="531"/>
      <c r="E2" s="531"/>
      <c r="F2" s="531"/>
      <c r="G2" s="531"/>
      <c r="H2" s="531"/>
      <c r="I2" s="531"/>
      <c r="J2" s="368"/>
    </row>
    <row r="3" spans="1:10" s="398" customFormat="1" ht="33.75" customHeight="1">
      <c r="A3" s="532" t="s">
        <v>1227</v>
      </c>
      <c r="B3" s="533"/>
      <c r="C3" s="521" t="s">
        <v>1288</v>
      </c>
      <c r="D3" s="522"/>
      <c r="E3" s="522"/>
      <c r="F3" s="522"/>
      <c r="G3" s="522"/>
      <c r="H3" s="522"/>
      <c r="I3" s="523"/>
      <c r="J3" s="409"/>
    </row>
    <row r="4" spans="1:10" s="398" customFormat="1">
      <c r="A4" s="534"/>
      <c r="B4" s="535"/>
      <c r="C4" s="536"/>
      <c r="D4" s="536"/>
      <c r="E4" s="536"/>
      <c r="F4" s="536"/>
      <c r="G4" s="536"/>
      <c r="H4" s="536"/>
      <c r="I4" s="536"/>
      <c r="J4" s="368"/>
    </row>
    <row r="5" spans="1:10" s="397" customFormat="1" ht="30" customHeight="1">
      <c r="A5" s="519" t="s">
        <v>594</v>
      </c>
      <c r="B5" s="520"/>
      <c r="C5" s="526" t="s">
        <v>796</v>
      </c>
      <c r="D5" s="527"/>
      <c r="E5" s="527"/>
      <c r="F5" s="527"/>
      <c r="G5" s="527"/>
      <c r="H5" s="527"/>
      <c r="I5" s="528"/>
      <c r="J5" s="330"/>
    </row>
    <row r="6" spans="1:10" s="397" customFormat="1">
      <c r="A6" s="516"/>
      <c r="B6" s="517"/>
      <c r="C6" s="518"/>
      <c r="D6" s="518"/>
      <c r="E6" s="518"/>
      <c r="F6" s="518"/>
      <c r="G6" s="518"/>
      <c r="H6" s="518"/>
      <c r="I6" s="518"/>
      <c r="J6" s="367"/>
    </row>
    <row r="7" spans="1:10" s="397" customFormat="1" ht="17.25" customHeight="1">
      <c r="A7" s="519" t="s">
        <v>1229</v>
      </c>
      <c r="B7" s="520"/>
      <c r="C7" s="521" t="s">
        <v>1426</v>
      </c>
      <c r="D7" s="522"/>
      <c r="E7" s="522"/>
      <c r="F7" s="522"/>
      <c r="G7" s="522"/>
      <c r="H7" s="522"/>
      <c r="I7" s="523"/>
      <c r="J7" s="330"/>
    </row>
    <row r="8" spans="1:10" s="399" customFormat="1">
      <c r="A8" s="524"/>
      <c r="B8" s="524"/>
      <c r="C8" s="524"/>
      <c r="D8" s="524"/>
      <c r="E8" s="524"/>
      <c r="F8" s="524"/>
      <c r="G8" s="524"/>
      <c r="H8" s="524"/>
      <c r="I8" s="524"/>
      <c r="J8" s="363"/>
    </row>
    <row r="9" spans="1:10" ht="27.75" customHeight="1">
      <c r="A9" s="410" t="s">
        <v>1231</v>
      </c>
      <c r="B9" s="411"/>
      <c r="C9" s="412" t="s">
        <v>1232</v>
      </c>
      <c r="D9" s="525"/>
      <c r="E9" s="525"/>
      <c r="F9" s="525"/>
      <c r="G9" s="525"/>
      <c r="H9" s="525"/>
      <c r="I9" s="525"/>
      <c r="J9" s="413"/>
    </row>
    <row r="10" spans="1:10">
      <c r="A10" s="321"/>
      <c r="B10" s="323"/>
      <c r="C10" s="327"/>
      <c r="D10" s="325"/>
      <c r="E10" s="322"/>
      <c r="F10" s="322"/>
      <c r="G10" s="322"/>
      <c r="H10" s="322"/>
      <c r="I10" s="322"/>
      <c r="J10" s="370"/>
    </row>
    <row r="11" spans="1:10" s="216" customFormat="1" ht="29.25" customHeight="1">
      <c r="A11" s="385" t="s">
        <v>0</v>
      </c>
      <c r="B11" s="379" t="s">
        <v>226</v>
      </c>
      <c r="C11" s="386" t="s">
        <v>540</v>
      </c>
      <c r="D11" s="386" t="s">
        <v>595</v>
      </c>
      <c r="E11" s="387" t="s">
        <v>214</v>
      </c>
      <c r="F11" s="387" t="s">
        <v>584</v>
      </c>
      <c r="G11" s="388" t="s">
        <v>2</v>
      </c>
      <c r="H11" s="389" t="s">
        <v>579</v>
      </c>
      <c r="I11" s="331" t="s">
        <v>583</v>
      </c>
      <c r="J11" s="331" t="s">
        <v>1</v>
      </c>
    </row>
    <row r="12" spans="1:10" s="276" customFormat="1" collapsed="1">
      <c r="A12" s="333" t="s">
        <v>23</v>
      </c>
      <c r="B12" s="333" t="s">
        <v>761</v>
      </c>
      <c r="C12" s="332" t="s">
        <v>762</v>
      </c>
      <c r="D12" s="334" t="s">
        <v>604</v>
      </c>
      <c r="E12" s="286" t="s">
        <v>596</v>
      </c>
      <c r="F12" s="334" t="str">
        <f>IF(H12&gt;0,"F",IF(I12&gt;0,"A",IF(G12&gt;0,"P","NT")))</f>
        <v>P</v>
      </c>
      <c r="G12" s="334">
        <f>COUNTA(G21:G27)</f>
        <v>1</v>
      </c>
      <c r="H12" s="334">
        <f>COUNTA(H21:H27)</f>
        <v>0</v>
      </c>
      <c r="I12" s="334">
        <f>COUNTA(I21:I27)</f>
        <v>0</v>
      </c>
      <c r="J12" s="365">
        <f>COUNTA(J21:J27)</f>
        <v>0</v>
      </c>
    </row>
    <row r="13" spans="1:10" s="371" customFormat="1" hidden="1" outlineLevel="1">
      <c r="A13" s="390"/>
      <c r="B13" s="351" t="s">
        <v>598</v>
      </c>
      <c r="C13" s="348" t="s">
        <v>763</v>
      </c>
      <c r="D13" s="391"/>
      <c r="E13" s="380"/>
      <c r="F13" s="380"/>
      <c r="G13" s="310"/>
      <c r="H13" s="311"/>
      <c r="I13" s="310"/>
      <c r="J13" s="366"/>
    </row>
    <row r="14" spans="1:10" s="371" customFormat="1" hidden="1" outlineLevel="1">
      <c r="A14" s="390"/>
      <c r="B14" s="351" t="s">
        <v>599</v>
      </c>
      <c r="C14" s="348" t="s">
        <v>753</v>
      </c>
      <c r="D14" s="391"/>
      <c r="E14" s="380"/>
      <c r="F14" s="380"/>
      <c r="G14" s="310"/>
      <c r="H14" s="311"/>
      <c r="I14" s="310"/>
      <c r="J14" s="366"/>
    </row>
    <row r="15" spans="1:10" s="371" customFormat="1" hidden="1" outlineLevel="1">
      <c r="A15" s="390"/>
      <c r="B15" s="382" t="s">
        <v>634</v>
      </c>
      <c r="C15" s="348" t="s">
        <v>648</v>
      </c>
      <c r="D15" s="391"/>
      <c r="E15" s="380"/>
      <c r="F15" s="380"/>
      <c r="G15" s="310"/>
      <c r="H15" s="311"/>
      <c r="I15" s="310"/>
      <c r="J15" s="366"/>
    </row>
    <row r="16" spans="1:10" s="371" customFormat="1" hidden="1" outlineLevel="1">
      <c r="A16" s="390"/>
      <c r="B16" s="352">
        <v>1</v>
      </c>
      <c r="C16" s="353" t="s">
        <v>621</v>
      </c>
      <c r="D16" s="391"/>
      <c r="E16" s="380"/>
      <c r="F16" s="380"/>
      <c r="G16" s="310"/>
      <c r="H16" s="311"/>
      <c r="I16" s="310"/>
      <c r="J16" s="366"/>
    </row>
    <row r="17" spans="1:11" s="371" customFormat="1" ht="30" hidden="1" outlineLevel="1">
      <c r="A17" s="390"/>
      <c r="B17" s="352">
        <v>2</v>
      </c>
      <c r="C17" s="353" t="s">
        <v>830</v>
      </c>
      <c r="D17" s="391"/>
      <c r="E17" s="380"/>
      <c r="F17" s="380"/>
      <c r="G17" s="310"/>
      <c r="H17" s="311"/>
      <c r="I17" s="310"/>
      <c r="J17" s="366"/>
    </row>
    <row r="18" spans="1:11" s="371" customFormat="1" hidden="1" outlineLevel="1">
      <c r="A18" s="390"/>
      <c r="B18" s="352">
        <v>3</v>
      </c>
      <c r="C18" s="353" t="s">
        <v>623</v>
      </c>
      <c r="D18" s="391"/>
      <c r="E18" s="380"/>
      <c r="F18" s="380"/>
      <c r="G18" s="310"/>
      <c r="H18" s="311"/>
      <c r="I18" s="310"/>
      <c r="J18" s="366"/>
    </row>
    <row r="19" spans="1:11" s="371" customFormat="1" hidden="1" outlineLevel="1">
      <c r="A19" s="390"/>
      <c r="B19" s="352">
        <v>4</v>
      </c>
      <c r="C19" s="353" t="s">
        <v>622</v>
      </c>
      <c r="D19" s="391"/>
      <c r="E19" s="380"/>
      <c r="F19" s="380"/>
      <c r="G19" s="310"/>
      <c r="H19" s="311"/>
      <c r="I19" s="310"/>
      <c r="J19" s="366"/>
    </row>
    <row r="20" spans="1:11" s="371" customFormat="1" hidden="1" outlineLevel="1">
      <c r="A20" s="390"/>
      <c r="B20" s="352">
        <v>5</v>
      </c>
      <c r="C20" s="373" t="s">
        <v>764</v>
      </c>
      <c r="D20" s="391"/>
      <c r="E20" s="380"/>
      <c r="F20" s="380"/>
      <c r="G20" s="310"/>
      <c r="H20" s="311"/>
      <c r="I20" s="310"/>
      <c r="J20" s="366"/>
    </row>
    <row r="21" spans="1:11" s="371" customFormat="1" hidden="1" outlineLevel="1">
      <c r="A21" s="390"/>
      <c r="B21" s="354">
        <v>6</v>
      </c>
      <c r="C21" s="348" t="s">
        <v>766</v>
      </c>
      <c r="D21" s="391"/>
      <c r="E21" s="380"/>
      <c r="F21" s="380"/>
      <c r="G21" s="310"/>
      <c r="H21" s="311"/>
      <c r="I21" s="310"/>
      <c r="J21" s="366"/>
    </row>
    <row r="22" spans="1:11" s="371" customFormat="1" hidden="1" outlineLevel="1">
      <c r="A22" s="390"/>
      <c r="B22" s="352">
        <v>7</v>
      </c>
      <c r="C22" s="353" t="s">
        <v>831</v>
      </c>
      <c r="D22" s="391"/>
      <c r="E22" s="380"/>
      <c r="F22" s="380"/>
      <c r="G22" s="310"/>
      <c r="H22" s="311"/>
      <c r="I22" s="310"/>
      <c r="J22" s="366"/>
    </row>
    <row r="23" spans="1:11" s="371" customFormat="1" hidden="1" outlineLevel="1">
      <c r="A23" s="390"/>
      <c r="B23" s="354">
        <v>8</v>
      </c>
      <c r="C23" s="353" t="s">
        <v>767</v>
      </c>
      <c r="D23" s="391"/>
      <c r="E23" s="380"/>
      <c r="F23" s="380"/>
      <c r="G23" s="310"/>
      <c r="H23" s="311"/>
      <c r="I23" s="310"/>
      <c r="J23" s="366"/>
    </row>
    <row r="24" spans="1:11" s="371" customFormat="1" hidden="1" outlineLevel="1">
      <c r="A24" s="390"/>
      <c r="B24" s="354">
        <v>9</v>
      </c>
      <c r="C24" s="355" t="s">
        <v>659</v>
      </c>
      <c r="D24" s="391"/>
      <c r="E24" s="380"/>
      <c r="F24" s="380"/>
      <c r="G24" s="310" t="s">
        <v>603</v>
      </c>
      <c r="H24" s="311"/>
      <c r="I24" s="310"/>
      <c r="J24" s="366"/>
    </row>
    <row r="25" spans="1:11" s="371" customFormat="1" ht="76.5" hidden="1" customHeight="1" outlineLevel="1">
      <c r="A25" s="390"/>
      <c r="B25" s="382" t="s">
        <v>635</v>
      </c>
      <c r="C25" s="348" t="s">
        <v>768</v>
      </c>
      <c r="D25" s="391"/>
      <c r="E25" s="380"/>
      <c r="F25" s="380"/>
      <c r="G25" s="310"/>
      <c r="H25" s="311"/>
      <c r="I25" s="310"/>
      <c r="J25" s="366"/>
    </row>
    <row r="26" spans="1:11" s="371" customFormat="1" hidden="1" outlineLevel="1">
      <c r="A26" s="390"/>
      <c r="B26" s="354">
        <v>10</v>
      </c>
      <c r="C26" s="359" t="s">
        <v>630</v>
      </c>
      <c r="D26" s="391"/>
      <c r="E26" s="380"/>
      <c r="F26" s="380"/>
      <c r="G26" s="310"/>
      <c r="H26" s="311"/>
      <c r="I26" s="310"/>
      <c r="J26" s="366"/>
    </row>
    <row r="27" spans="1:11" s="371" customFormat="1" ht="24" hidden="1" customHeight="1" outlineLevel="1">
      <c r="A27" s="390"/>
      <c r="B27" s="358" t="s">
        <v>636</v>
      </c>
      <c r="C27" s="374" t="s">
        <v>631</v>
      </c>
      <c r="D27" s="391"/>
      <c r="E27" s="380"/>
      <c r="F27" s="380"/>
      <c r="G27" s="310"/>
      <c r="H27" s="311"/>
      <c r="I27" s="310"/>
      <c r="J27" s="366"/>
    </row>
    <row r="28" spans="1:11" s="371" customFormat="1" collapsed="1">
      <c r="A28" s="333" t="s">
        <v>23</v>
      </c>
      <c r="B28" s="333" t="s">
        <v>769</v>
      </c>
      <c r="C28" s="332" t="s">
        <v>770</v>
      </c>
      <c r="D28" s="334" t="s">
        <v>604</v>
      </c>
      <c r="E28" s="288" t="s">
        <v>596</v>
      </c>
      <c r="F28" s="334" t="str">
        <f>IF(H28&gt;0,"F",IF(I28&gt;0,"A",IF(G28&gt;0,"P","NT")))</f>
        <v>P</v>
      </c>
      <c r="G28" s="334">
        <f>COUNTA(G29:G39)</f>
        <v>1</v>
      </c>
      <c r="H28" s="334">
        <f>COUNTA(H29:H39)</f>
        <v>0</v>
      </c>
      <c r="I28" s="334">
        <f>COUNTA(I29:I39)</f>
        <v>0</v>
      </c>
      <c r="J28" s="365">
        <f>COUNTA(J29:J39)</f>
        <v>0</v>
      </c>
    </row>
    <row r="29" spans="1:11" s="371" customFormat="1" ht="30" hidden="1" outlineLevel="1">
      <c r="A29" s="290"/>
      <c r="B29" s="354" t="s">
        <v>446</v>
      </c>
      <c r="C29" s="348" t="s">
        <v>773</v>
      </c>
      <c r="D29" s="391"/>
      <c r="E29" s="392"/>
      <c r="F29" s="289"/>
      <c r="G29" s="314"/>
      <c r="H29" s="315"/>
      <c r="I29" s="316"/>
      <c r="J29" s="364"/>
    </row>
    <row r="30" spans="1:11" s="371" customFormat="1" hidden="1" outlineLevel="1">
      <c r="A30" s="290"/>
      <c r="B30" s="354">
        <v>1</v>
      </c>
      <c r="C30" s="353" t="s">
        <v>621</v>
      </c>
      <c r="D30" s="391"/>
      <c r="E30" s="392"/>
      <c r="F30" s="289"/>
      <c r="G30" s="314"/>
      <c r="H30" s="315"/>
      <c r="I30" s="316"/>
      <c r="J30" s="364"/>
      <c r="K30" s="287"/>
    </row>
    <row r="31" spans="1:11" s="371" customFormat="1" hidden="1" outlineLevel="1">
      <c r="A31" s="290"/>
      <c r="B31" s="354">
        <v>2</v>
      </c>
      <c r="C31" s="353" t="s">
        <v>774</v>
      </c>
      <c r="D31" s="391"/>
      <c r="E31" s="392"/>
      <c r="F31" s="289"/>
      <c r="G31" s="314"/>
      <c r="H31" s="315"/>
      <c r="I31" s="316"/>
      <c r="J31" s="364"/>
      <c r="K31" s="287"/>
    </row>
    <row r="32" spans="1:11" s="371" customFormat="1" hidden="1" outlineLevel="1">
      <c r="A32" s="290"/>
      <c r="B32" s="354">
        <v>3</v>
      </c>
      <c r="C32" s="357" t="s">
        <v>775</v>
      </c>
      <c r="D32" s="391"/>
      <c r="E32" s="392"/>
      <c r="F32" s="289"/>
      <c r="G32" s="314"/>
      <c r="H32" s="315"/>
      <c r="I32" s="316"/>
      <c r="J32" s="364"/>
      <c r="K32" s="287"/>
    </row>
    <row r="33" spans="1:11" s="371" customFormat="1" hidden="1" outlineLevel="1">
      <c r="A33" s="390"/>
      <c r="B33" s="352">
        <v>4</v>
      </c>
      <c r="C33" s="353" t="s">
        <v>776</v>
      </c>
      <c r="D33" s="391"/>
      <c r="E33" s="380"/>
      <c r="F33" s="380"/>
      <c r="G33" s="310" t="s">
        <v>603</v>
      </c>
      <c r="H33" s="311"/>
      <c r="I33" s="310"/>
      <c r="J33" s="366"/>
    </row>
    <row r="34" spans="1:11" s="371" customFormat="1" hidden="1" outlineLevel="1">
      <c r="A34" s="390"/>
      <c r="B34" s="352">
        <v>5</v>
      </c>
      <c r="C34" s="353" t="s">
        <v>765</v>
      </c>
      <c r="D34" s="391"/>
      <c r="E34" s="380"/>
      <c r="F34" s="380"/>
      <c r="G34" s="310"/>
      <c r="H34" s="311"/>
      <c r="I34" s="310"/>
      <c r="J34" s="366"/>
    </row>
    <row r="35" spans="1:11" s="371" customFormat="1" hidden="1" outlineLevel="1">
      <c r="A35" s="390"/>
      <c r="B35" s="352">
        <v>6</v>
      </c>
      <c r="C35" s="353" t="s">
        <v>767</v>
      </c>
      <c r="D35" s="391"/>
      <c r="E35" s="380"/>
      <c r="F35" s="380"/>
      <c r="G35" s="310"/>
      <c r="H35" s="311"/>
      <c r="I35" s="310"/>
      <c r="J35" s="366"/>
    </row>
    <row r="36" spans="1:11" s="371" customFormat="1" hidden="1" outlineLevel="1">
      <c r="A36" s="390"/>
      <c r="B36" s="352">
        <v>7</v>
      </c>
      <c r="C36" s="353" t="s">
        <v>659</v>
      </c>
      <c r="D36" s="391"/>
      <c r="E36" s="380"/>
      <c r="F36" s="380"/>
      <c r="G36" s="310"/>
      <c r="H36" s="311"/>
      <c r="I36" s="310"/>
      <c r="J36" s="366"/>
    </row>
    <row r="37" spans="1:11" s="371" customFormat="1" ht="76.5" hidden="1" customHeight="1" outlineLevel="1">
      <c r="A37" s="390"/>
      <c r="B37" s="382" t="s">
        <v>637</v>
      </c>
      <c r="C37" s="348" t="s">
        <v>777</v>
      </c>
      <c r="D37" s="391"/>
      <c r="E37" s="380"/>
      <c r="F37" s="380"/>
      <c r="G37" s="310"/>
      <c r="H37" s="311"/>
      <c r="I37" s="310"/>
      <c r="J37" s="366"/>
    </row>
    <row r="38" spans="1:11" s="371" customFormat="1" hidden="1" outlineLevel="1">
      <c r="A38" s="390"/>
      <c r="B38" s="354">
        <v>8</v>
      </c>
      <c r="C38" s="359" t="s">
        <v>630</v>
      </c>
      <c r="D38" s="391"/>
      <c r="E38" s="380"/>
      <c r="F38" s="380"/>
      <c r="G38" s="310"/>
      <c r="H38" s="311"/>
      <c r="I38" s="310"/>
      <c r="J38" s="366"/>
    </row>
    <row r="39" spans="1:11" s="371" customFormat="1" hidden="1" outlineLevel="1">
      <c r="A39" s="390"/>
      <c r="B39" s="358" t="s">
        <v>638</v>
      </c>
      <c r="C39" s="374" t="s">
        <v>631</v>
      </c>
      <c r="D39" s="391"/>
      <c r="E39" s="380"/>
      <c r="F39" s="380"/>
      <c r="G39" s="310"/>
      <c r="H39" s="311"/>
      <c r="I39" s="310"/>
      <c r="J39" s="366"/>
    </row>
    <row r="40" spans="1:11" s="371" customFormat="1" collapsed="1">
      <c r="A40" s="333" t="s">
        <v>23</v>
      </c>
      <c r="B40" s="333" t="s">
        <v>772</v>
      </c>
      <c r="C40" s="332" t="s">
        <v>771</v>
      </c>
      <c r="D40" s="334" t="s">
        <v>604</v>
      </c>
      <c r="E40" s="294" t="s">
        <v>596</v>
      </c>
      <c r="F40" s="334" t="str">
        <f>IF(H40&gt;0,"F",IF(I40&gt;0,"A",IF(G40&gt;0,"P","NT")))</f>
        <v>P</v>
      </c>
      <c r="G40" s="334">
        <f>COUNTA(G41:G48)</f>
        <v>1</v>
      </c>
      <c r="H40" s="334">
        <f>COUNTA(H41:H48)</f>
        <v>0</v>
      </c>
      <c r="I40" s="334">
        <f>COUNTA(I41:I48)</f>
        <v>0</v>
      </c>
      <c r="J40" s="365">
        <f>COUNTA(J41:J48)</f>
        <v>0</v>
      </c>
      <c r="K40" s="291"/>
    </row>
    <row r="41" spans="1:11" s="371" customFormat="1" ht="30" hidden="1" outlineLevel="1">
      <c r="A41" s="292"/>
      <c r="B41" s="354" t="s">
        <v>446</v>
      </c>
      <c r="C41" s="348" t="s">
        <v>778</v>
      </c>
      <c r="D41" s="391"/>
      <c r="E41" s="293"/>
      <c r="F41" s="293"/>
      <c r="G41" s="312"/>
      <c r="H41" s="312"/>
      <c r="I41" s="313"/>
      <c r="J41" s="345"/>
      <c r="K41" s="291"/>
    </row>
    <row r="42" spans="1:11" s="371" customFormat="1" hidden="1" outlineLevel="1">
      <c r="A42" s="292"/>
      <c r="B42" s="354">
        <v>1</v>
      </c>
      <c r="C42" s="353" t="s">
        <v>621</v>
      </c>
      <c r="D42" s="391"/>
      <c r="E42" s="293"/>
      <c r="F42" s="293"/>
      <c r="G42" s="312"/>
      <c r="H42" s="312"/>
      <c r="I42" s="313"/>
      <c r="J42" s="345"/>
      <c r="K42" s="291"/>
    </row>
    <row r="43" spans="1:11" s="371" customFormat="1" hidden="1" outlineLevel="1">
      <c r="A43" s="290"/>
      <c r="B43" s="354">
        <v>2</v>
      </c>
      <c r="C43" s="353" t="s">
        <v>774</v>
      </c>
      <c r="D43" s="391"/>
      <c r="E43" s="392"/>
      <c r="F43" s="289"/>
      <c r="G43" s="314"/>
      <c r="H43" s="315"/>
      <c r="I43" s="316"/>
      <c r="J43" s="364"/>
      <c r="K43" s="287"/>
    </row>
    <row r="44" spans="1:11" s="371" customFormat="1" hidden="1" outlineLevel="1">
      <c r="A44" s="290"/>
      <c r="B44" s="354">
        <v>3</v>
      </c>
      <c r="C44" s="357" t="s">
        <v>775</v>
      </c>
      <c r="D44" s="391"/>
      <c r="E44" s="392"/>
      <c r="F44" s="289"/>
      <c r="G44" s="314" t="s">
        <v>603</v>
      </c>
      <c r="H44" s="315"/>
      <c r="I44" s="316"/>
      <c r="J44" s="364"/>
      <c r="K44" s="287"/>
    </row>
    <row r="45" spans="1:11" s="371" customFormat="1" hidden="1" outlineLevel="1">
      <c r="A45" s="292"/>
      <c r="B45" s="354">
        <v>4</v>
      </c>
      <c r="C45" s="353" t="s">
        <v>767</v>
      </c>
      <c r="D45" s="391"/>
      <c r="E45" s="293"/>
      <c r="F45" s="293"/>
      <c r="G45" s="312"/>
      <c r="H45" s="312"/>
      <c r="I45" s="313"/>
      <c r="J45" s="345"/>
      <c r="K45" s="291"/>
    </row>
    <row r="46" spans="1:11" s="371" customFormat="1" hidden="1" outlineLevel="1">
      <c r="A46" s="390"/>
      <c r="B46" s="352">
        <v>5</v>
      </c>
      <c r="C46" s="353" t="s">
        <v>659</v>
      </c>
      <c r="D46" s="391"/>
      <c r="E46" s="380"/>
      <c r="F46" s="380"/>
      <c r="G46" s="310"/>
      <c r="H46" s="311"/>
      <c r="I46" s="310"/>
      <c r="J46" s="366"/>
    </row>
    <row r="47" spans="1:11" s="371" customFormat="1" ht="76.5" hidden="1" customHeight="1" outlineLevel="1">
      <c r="A47" s="390"/>
      <c r="B47" s="382" t="s">
        <v>638</v>
      </c>
      <c r="C47" s="348" t="s">
        <v>832</v>
      </c>
      <c r="D47" s="391"/>
      <c r="E47" s="380"/>
      <c r="F47" s="380"/>
      <c r="G47" s="310"/>
      <c r="H47" s="311"/>
      <c r="I47" s="310"/>
      <c r="J47" s="366"/>
    </row>
    <row r="48" spans="1:11" s="371" customFormat="1" hidden="1" outlineLevel="1">
      <c r="A48" s="292"/>
      <c r="B48" s="349">
        <v>6</v>
      </c>
      <c r="C48" s="359" t="s">
        <v>630</v>
      </c>
      <c r="D48" s="391"/>
      <c r="E48" s="293"/>
      <c r="F48" s="293"/>
      <c r="G48" s="312"/>
      <c r="H48" s="312"/>
      <c r="I48" s="313"/>
      <c r="J48" s="345"/>
      <c r="K48" s="291"/>
    </row>
    <row r="49" spans="1:10" s="433" customFormat="1">
      <c r="A49" s="428"/>
      <c r="B49" s="429"/>
      <c r="C49" s="430"/>
      <c r="D49" s="431"/>
      <c r="E49" s="428"/>
      <c r="F49" s="428"/>
      <c r="G49" s="428"/>
      <c r="H49" s="428"/>
      <c r="I49" s="428"/>
      <c r="J49" s="432"/>
    </row>
  </sheetData>
  <mergeCells count="12">
    <mergeCell ref="A6:I6"/>
    <mergeCell ref="A7:B7"/>
    <mergeCell ref="C7:I7"/>
    <mergeCell ref="A8:I8"/>
    <mergeCell ref="D9:I9"/>
    <mergeCell ref="A5:B5"/>
    <mergeCell ref="C5:I5"/>
    <mergeCell ref="A1:I1"/>
    <mergeCell ref="A2:I2"/>
    <mergeCell ref="A3:B3"/>
    <mergeCell ref="C3:I3"/>
    <mergeCell ref="A4:I4"/>
  </mergeCells>
  <conditionalFormatting sqref="E10:E11 E49:E65537">
    <cfRule type="cellIs" dxfId="128" priority="127" operator="equal">
      <formula>"Ready to Test"</formula>
    </cfRule>
    <cfRule type="cellIs" dxfId="127" priority="128" operator="equal">
      <formula>"Do Not Test"</formula>
    </cfRule>
    <cfRule type="cellIs" dxfId="126" priority="129" operator="equal">
      <formula>"Ready for Retest"</formula>
    </cfRule>
    <cfRule type="cellIs" dxfId="125" priority="130" operator="equal">
      <formula>"Passed"</formula>
    </cfRule>
  </conditionalFormatting>
  <conditionalFormatting sqref="E3 E7 E5">
    <cfRule type="cellIs" dxfId="124" priority="125" stopIfTrue="1" operator="equal">
      <formula>"Ready to Test"</formula>
    </cfRule>
    <cfRule type="cellIs" dxfId="123" priority="126" stopIfTrue="1" operator="equal">
      <formula>"Do Not Test"</formula>
    </cfRule>
  </conditionalFormatting>
  <conditionalFormatting sqref="I12:J49">
    <cfRule type="cellIs" dxfId="122" priority="124" operator="greaterThan">
      <formula>0</formula>
    </cfRule>
  </conditionalFormatting>
  <conditionalFormatting sqref="H11:H49">
    <cfRule type="cellIs" dxfId="121" priority="123" operator="greaterThan">
      <formula>0</formula>
    </cfRule>
  </conditionalFormatting>
  <conditionalFormatting sqref="G12:G49">
    <cfRule type="cellIs" dxfId="120" priority="122" operator="greaterThan">
      <formula>0</formula>
    </cfRule>
  </conditionalFormatting>
  <conditionalFormatting sqref="E41:E42 E45 E48:E49">
    <cfRule type="cellIs" dxfId="119" priority="116" stopIfTrue="1" operator="equal">
      <formula>"Passed"</formula>
    </cfRule>
    <cfRule type="cellIs" dxfId="118" priority="117" stopIfTrue="1" operator="equal">
      <formula>"Do Not Test"</formula>
    </cfRule>
    <cfRule type="cellIs" dxfId="117" priority="118" stopIfTrue="1" operator="equal">
      <formula>"Ready for Retest"</formula>
    </cfRule>
    <cfRule type="cellIs" dxfId="116" priority="119" stopIfTrue="1" operator="equal">
      <formula>"Ready to Test"</formula>
    </cfRule>
  </conditionalFormatting>
  <conditionalFormatting sqref="E28 E40 E12">
    <cfRule type="cellIs" dxfId="115" priority="115" stopIfTrue="1" operator="equal">
      <formula>"Do Not Test"</formula>
    </cfRule>
  </conditionalFormatting>
  <conditionalFormatting sqref="E28 E40 E12">
    <cfRule type="cellIs" dxfId="114" priority="114" stopIfTrue="1" operator="equal">
      <formula>"Ready To Test"</formula>
    </cfRule>
  </conditionalFormatting>
  <conditionalFormatting sqref="F12 F28 F40">
    <cfRule type="cellIs" dxfId="113" priority="109" operator="equal">
      <formula>"A"</formula>
    </cfRule>
  </conditionalFormatting>
  <conditionalFormatting sqref="F12 F28 F40">
    <cfRule type="cellIs" dxfId="112" priority="107" operator="equal">
      <formula>"F"</formula>
    </cfRule>
    <cfRule type="cellIs" dxfId="111" priority="108" operator="equal">
      <formula>"p"</formula>
    </cfRule>
  </conditionalFormatting>
  <hyperlinks>
    <hyperlink ref="C9" r:id="rId1"/>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sheetPr>
    <tabColor theme="9"/>
    <outlinePr summaryBelow="0"/>
  </sheetPr>
  <dimension ref="A1:J48"/>
  <sheetViews>
    <sheetView zoomScaleNormal="100" workbookViewId="0">
      <selection sqref="A1:I1"/>
    </sheetView>
  </sheetViews>
  <sheetFormatPr defaultRowHeight="15" outlineLevelRow="1"/>
  <cols>
    <col min="1" max="1" width="8.7109375" style="320" bestFit="1" customWidth="1"/>
    <col min="2" max="2" width="20.85546875" style="324" customWidth="1"/>
    <col min="3" max="3" width="70.140625" style="328" customWidth="1"/>
    <col min="4" max="4" width="10.28515625" style="326" bestFit="1" customWidth="1"/>
    <col min="5" max="5" width="13.28515625" style="320" bestFit="1" customWidth="1"/>
    <col min="6" max="6" width="9.85546875" style="320" bestFit="1" customWidth="1"/>
    <col min="7" max="7" width="8.28515625" style="320" bestFit="1" customWidth="1"/>
    <col min="8" max="8" width="7.5703125" style="320" customWidth="1"/>
    <col min="9" max="9" width="10.5703125" style="320" bestFit="1" customWidth="1"/>
    <col min="10" max="10" width="55.85546875" style="369" customWidth="1"/>
    <col min="11" max="16384" width="9.140625" style="372"/>
  </cols>
  <sheetData>
    <row r="1" spans="1:10" s="397" customFormat="1">
      <c r="A1" s="529" t="s">
        <v>1494</v>
      </c>
      <c r="B1" s="529"/>
      <c r="C1" s="529"/>
      <c r="D1" s="529"/>
      <c r="E1" s="529"/>
      <c r="F1" s="529"/>
      <c r="G1" s="529"/>
      <c r="H1" s="529"/>
      <c r="I1" s="529"/>
      <c r="J1" s="330"/>
    </row>
    <row r="2" spans="1:10" s="398" customFormat="1">
      <c r="A2" s="530"/>
      <c r="B2" s="530"/>
      <c r="C2" s="531"/>
      <c r="D2" s="531"/>
      <c r="E2" s="531"/>
      <c r="F2" s="531"/>
      <c r="G2" s="531"/>
      <c r="H2" s="531"/>
      <c r="I2" s="531"/>
      <c r="J2" s="368"/>
    </row>
    <row r="3" spans="1:10" s="398" customFormat="1" ht="33.75" customHeight="1">
      <c r="A3" s="532" t="s">
        <v>1227</v>
      </c>
      <c r="B3" s="533"/>
      <c r="C3" s="521" t="s">
        <v>1427</v>
      </c>
      <c r="D3" s="522"/>
      <c r="E3" s="522"/>
      <c r="F3" s="522"/>
      <c r="G3" s="522"/>
      <c r="H3" s="522"/>
      <c r="I3" s="523"/>
      <c r="J3" s="409"/>
    </row>
    <row r="4" spans="1:10" s="398" customFormat="1">
      <c r="A4" s="534"/>
      <c r="B4" s="535"/>
      <c r="C4" s="536"/>
      <c r="D4" s="536"/>
      <c r="E4" s="536"/>
      <c r="F4" s="536"/>
      <c r="G4" s="536"/>
      <c r="H4" s="536"/>
      <c r="I4" s="536"/>
      <c r="J4" s="368"/>
    </row>
    <row r="5" spans="1:10" s="397" customFormat="1" ht="30" customHeight="1">
      <c r="A5" s="519" t="s">
        <v>594</v>
      </c>
      <c r="B5" s="520"/>
      <c r="C5" s="526" t="s">
        <v>1428</v>
      </c>
      <c r="D5" s="527"/>
      <c r="E5" s="527"/>
      <c r="F5" s="527"/>
      <c r="G5" s="527"/>
      <c r="H5" s="527"/>
      <c r="I5" s="528"/>
      <c r="J5" s="330"/>
    </row>
    <row r="6" spans="1:10" s="397" customFormat="1">
      <c r="A6" s="516"/>
      <c r="B6" s="517"/>
      <c r="C6" s="518"/>
      <c r="D6" s="518"/>
      <c r="E6" s="518"/>
      <c r="F6" s="518"/>
      <c r="G6" s="518"/>
      <c r="H6" s="518"/>
      <c r="I6" s="518"/>
      <c r="J6" s="367"/>
    </row>
    <row r="7" spans="1:10" s="397" customFormat="1" ht="17.25" customHeight="1">
      <c r="A7" s="519" t="s">
        <v>1229</v>
      </c>
      <c r="B7" s="520"/>
      <c r="C7" s="521" t="s">
        <v>1429</v>
      </c>
      <c r="D7" s="522"/>
      <c r="E7" s="522"/>
      <c r="F7" s="522"/>
      <c r="G7" s="522"/>
      <c r="H7" s="522"/>
      <c r="I7" s="523"/>
      <c r="J7" s="330"/>
    </row>
    <row r="8" spans="1:10" s="399" customFormat="1">
      <c r="A8" s="524"/>
      <c r="B8" s="524"/>
      <c r="C8" s="524"/>
      <c r="D8" s="524"/>
      <c r="E8" s="524"/>
      <c r="F8" s="524"/>
      <c r="G8" s="524"/>
      <c r="H8" s="524"/>
      <c r="I8" s="524"/>
      <c r="J8" s="363"/>
    </row>
    <row r="9" spans="1:10" ht="27.75" customHeight="1">
      <c r="A9" s="410" t="s">
        <v>1231</v>
      </c>
      <c r="B9" s="411"/>
      <c r="C9" s="412" t="s">
        <v>1232</v>
      </c>
      <c r="D9" s="525"/>
      <c r="E9" s="525"/>
      <c r="F9" s="525"/>
      <c r="G9" s="525"/>
      <c r="H9" s="525"/>
      <c r="I9" s="525"/>
      <c r="J9" s="413"/>
    </row>
    <row r="10" spans="1:10">
      <c r="A10" s="321"/>
      <c r="B10" s="323"/>
      <c r="C10" s="327"/>
      <c r="D10" s="325"/>
      <c r="E10" s="322"/>
      <c r="F10" s="322"/>
      <c r="G10" s="322"/>
      <c r="H10" s="322"/>
      <c r="I10" s="322"/>
      <c r="J10" s="370"/>
    </row>
    <row r="11" spans="1:10" s="216" customFormat="1" ht="29.25" customHeight="1">
      <c r="A11" s="385" t="s">
        <v>0</v>
      </c>
      <c r="B11" s="379" t="s">
        <v>226</v>
      </c>
      <c r="C11" s="386" t="s">
        <v>540</v>
      </c>
      <c r="D11" s="386" t="s">
        <v>595</v>
      </c>
      <c r="E11" s="387" t="s">
        <v>214</v>
      </c>
      <c r="F11" s="387" t="s">
        <v>584</v>
      </c>
      <c r="G11" s="388" t="s">
        <v>2</v>
      </c>
      <c r="H11" s="389" t="s">
        <v>579</v>
      </c>
      <c r="I11" s="331" t="s">
        <v>583</v>
      </c>
      <c r="J11" s="331" t="s">
        <v>1</v>
      </c>
    </row>
    <row r="12" spans="1:10" s="276" customFormat="1" collapsed="1">
      <c r="A12" s="333" t="s">
        <v>23</v>
      </c>
      <c r="B12" s="333" t="s">
        <v>1430</v>
      </c>
      <c r="C12" s="332" t="s">
        <v>1431</v>
      </c>
      <c r="D12" s="334" t="s">
        <v>604</v>
      </c>
      <c r="E12" s="286" t="s">
        <v>596</v>
      </c>
      <c r="F12" s="334" t="str">
        <f>IF(H12&gt;0,"F",IF(I12&gt;0,"A",IF(G12&gt;0,"P","NT")))</f>
        <v>P</v>
      </c>
      <c r="G12" s="334">
        <f>COUNTA(G23:G47)</f>
        <v>2</v>
      </c>
      <c r="H12" s="334">
        <f>COUNTA(H23:H47)</f>
        <v>0</v>
      </c>
      <c r="I12" s="334">
        <f>COUNTA(I23:I47)</f>
        <v>0</v>
      </c>
      <c r="J12" s="365">
        <f>COUNTA(J23:J47)</f>
        <v>0</v>
      </c>
    </row>
    <row r="13" spans="1:10" s="371" customFormat="1" hidden="1" outlineLevel="1">
      <c r="A13" s="390"/>
      <c r="B13" s="351" t="s">
        <v>598</v>
      </c>
      <c r="C13" s="348" t="s">
        <v>1432</v>
      </c>
      <c r="D13" s="391"/>
      <c r="E13" s="380"/>
      <c r="F13" s="380"/>
      <c r="G13" s="310"/>
      <c r="H13" s="311"/>
      <c r="I13" s="310"/>
      <c r="J13" s="366"/>
    </row>
    <row r="14" spans="1:10" s="371" customFormat="1" hidden="1" outlineLevel="1">
      <c r="A14" s="390"/>
      <c r="B14" s="351" t="s">
        <v>599</v>
      </c>
      <c r="C14" s="348" t="s">
        <v>753</v>
      </c>
      <c r="D14" s="391"/>
      <c r="E14" s="380"/>
      <c r="F14" s="380"/>
      <c r="G14" s="310"/>
      <c r="H14" s="311"/>
      <c r="I14" s="310"/>
      <c r="J14" s="366"/>
    </row>
    <row r="15" spans="1:10" s="371" customFormat="1" hidden="1" outlineLevel="1">
      <c r="A15" s="390"/>
      <c r="B15" s="382" t="s">
        <v>634</v>
      </c>
      <c r="C15" s="348" t="s">
        <v>648</v>
      </c>
      <c r="D15" s="391"/>
      <c r="E15" s="380"/>
      <c r="F15" s="380"/>
      <c r="G15" s="310"/>
      <c r="H15" s="311"/>
      <c r="I15" s="310"/>
      <c r="J15" s="366"/>
    </row>
    <row r="16" spans="1:10" s="371" customFormat="1" hidden="1" outlineLevel="1">
      <c r="A16" s="390"/>
      <c r="B16" s="352">
        <v>1</v>
      </c>
      <c r="C16" s="353" t="s">
        <v>621</v>
      </c>
      <c r="D16" s="391"/>
      <c r="E16" s="380"/>
      <c r="F16" s="380"/>
      <c r="G16" s="310"/>
      <c r="H16" s="311"/>
      <c r="I16" s="310"/>
      <c r="J16" s="366"/>
    </row>
    <row r="17" spans="1:10" s="371" customFormat="1" ht="30" hidden="1" outlineLevel="1">
      <c r="A17" s="390"/>
      <c r="B17" s="352">
        <v>2</v>
      </c>
      <c r="C17" s="353" t="s">
        <v>1433</v>
      </c>
      <c r="D17" s="391"/>
      <c r="E17" s="380"/>
      <c r="F17" s="380"/>
      <c r="G17" s="310"/>
      <c r="H17" s="311"/>
      <c r="I17" s="310"/>
      <c r="J17" s="366"/>
    </row>
    <row r="18" spans="1:10" s="371" customFormat="1" hidden="1" outlineLevel="1">
      <c r="A18" s="390"/>
      <c r="B18" s="352">
        <v>3</v>
      </c>
      <c r="C18" s="353" t="s">
        <v>623</v>
      </c>
      <c r="D18" s="391"/>
      <c r="E18" s="380"/>
      <c r="F18" s="380"/>
      <c r="G18" s="310"/>
      <c r="H18" s="311"/>
      <c r="I18" s="310"/>
      <c r="J18" s="366"/>
    </row>
    <row r="19" spans="1:10" s="371" customFormat="1" hidden="1" outlineLevel="1">
      <c r="A19" s="390"/>
      <c r="B19" s="352"/>
      <c r="C19" s="353" t="s">
        <v>1434</v>
      </c>
      <c r="D19" s="391"/>
      <c r="E19" s="380"/>
      <c r="F19" s="380"/>
      <c r="G19" s="310" t="s">
        <v>603</v>
      </c>
      <c r="H19" s="311"/>
      <c r="I19" s="310"/>
      <c r="J19" s="366"/>
    </row>
    <row r="20" spans="1:10" s="371" customFormat="1" ht="47.25" hidden="1" customHeight="1" outlineLevel="1">
      <c r="A20" s="390"/>
      <c r="B20" s="382" t="s">
        <v>635</v>
      </c>
      <c r="C20" s="348" t="s">
        <v>1435</v>
      </c>
      <c r="D20" s="391"/>
      <c r="E20" s="380"/>
      <c r="F20" s="380"/>
      <c r="G20" s="310"/>
      <c r="H20" s="311"/>
      <c r="I20" s="310"/>
      <c r="J20" s="366"/>
    </row>
    <row r="21" spans="1:10" s="371" customFormat="1" hidden="1" outlineLevel="1">
      <c r="A21" s="390"/>
      <c r="B21" s="352">
        <v>4</v>
      </c>
      <c r="C21" s="353" t="s">
        <v>622</v>
      </c>
      <c r="D21" s="391"/>
      <c r="E21" s="380"/>
      <c r="F21" s="380"/>
      <c r="G21" s="310"/>
      <c r="H21" s="311"/>
      <c r="I21" s="310"/>
      <c r="J21" s="366"/>
    </row>
    <row r="22" spans="1:10" s="371" customFormat="1" hidden="1" outlineLevel="1">
      <c r="A22" s="390"/>
      <c r="B22" s="352">
        <v>5</v>
      </c>
      <c r="C22" s="373" t="s">
        <v>764</v>
      </c>
      <c r="D22" s="391"/>
      <c r="E22" s="380"/>
      <c r="F22" s="380"/>
      <c r="G22" s="310" t="s">
        <v>603</v>
      </c>
      <c r="H22" s="311"/>
      <c r="I22" s="310"/>
      <c r="J22" s="366"/>
    </row>
    <row r="23" spans="1:10" s="371" customFormat="1" hidden="1" outlineLevel="1">
      <c r="A23" s="390"/>
      <c r="B23" s="354">
        <v>6</v>
      </c>
      <c r="C23" s="348" t="s">
        <v>1436</v>
      </c>
      <c r="D23" s="391"/>
      <c r="E23" s="380"/>
      <c r="F23" s="380"/>
      <c r="G23" s="310"/>
      <c r="H23" s="311"/>
      <c r="I23" s="310"/>
      <c r="J23" s="366"/>
    </row>
    <row r="24" spans="1:10" s="371" customFormat="1" ht="47.25" hidden="1" customHeight="1" outlineLevel="1">
      <c r="A24" s="390"/>
      <c r="B24" s="382" t="s">
        <v>636</v>
      </c>
      <c r="C24" s="348" t="s">
        <v>1437</v>
      </c>
      <c r="D24" s="391"/>
      <c r="E24" s="380"/>
      <c r="F24" s="380"/>
      <c r="G24" s="310" t="s">
        <v>603</v>
      </c>
      <c r="H24" s="311"/>
      <c r="I24" s="310"/>
      <c r="J24" s="366"/>
    </row>
    <row r="25" spans="1:10" s="371" customFormat="1" hidden="1" outlineLevel="1">
      <c r="A25" s="390"/>
      <c r="B25" s="354">
        <v>7</v>
      </c>
      <c r="C25" s="348" t="s">
        <v>1438</v>
      </c>
      <c r="D25" s="391"/>
      <c r="E25" s="380"/>
      <c r="F25" s="380"/>
      <c r="G25" s="310"/>
      <c r="H25" s="311"/>
      <c r="I25" s="310"/>
      <c r="J25" s="366"/>
    </row>
    <row r="26" spans="1:10" s="371" customFormat="1" ht="62.25" hidden="1" customHeight="1" outlineLevel="1">
      <c r="A26" s="390"/>
      <c r="B26" s="382" t="s">
        <v>637</v>
      </c>
      <c r="C26" s="348" t="s">
        <v>1439</v>
      </c>
      <c r="D26" s="391"/>
      <c r="E26" s="380"/>
      <c r="F26" s="380"/>
      <c r="G26" s="310" t="s">
        <v>603</v>
      </c>
      <c r="H26" s="311"/>
      <c r="I26" s="310"/>
      <c r="J26" s="366"/>
    </row>
    <row r="27" spans="1:10" s="371" customFormat="1" hidden="1" outlineLevel="1">
      <c r="A27" s="390"/>
      <c r="B27" s="354">
        <v>8</v>
      </c>
      <c r="C27" s="348" t="s">
        <v>1440</v>
      </c>
      <c r="D27" s="391"/>
      <c r="E27" s="380"/>
      <c r="F27" s="380"/>
      <c r="G27" s="310"/>
      <c r="H27" s="311"/>
      <c r="I27" s="310"/>
      <c r="J27" s="366"/>
    </row>
    <row r="28" spans="1:10" s="371" customFormat="1" ht="62.25" hidden="1" customHeight="1" outlineLevel="1">
      <c r="A28" s="390"/>
      <c r="B28" s="382" t="s">
        <v>638</v>
      </c>
      <c r="C28" s="348" t="s">
        <v>1441</v>
      </c>
      <c r="D28" s="391"/>
      <c r="E28" s="380"/>
      <c r="F28" s="380"/>
      <c r="G28" s="310"/>
      <c r="H28" s="311"/>
      <c r="I28" s="310"/>
      <c r="J28" s="366"/>
    </row>
    <row r="29" spans="1:10" s="371" customFormat="1" hidden="1" outlineLevel="1">
      <c r="A29" s="390"/>
      <c r="B29" s="354">
        <v>9</v>
      </c>
      <c r="C29" s="348" t="s">
        <v>1442</v>
      </c>
      <c r="D29" s="391"/>
      <c r="E29" s="380"/>
      <c r="F29" s="380"/>
      <c r="G29" s="310"/>
      <c r="H29" s="311"/>
      <c r="I29" s="310"/>
      <c r="J29" s="366"/>
    </row>
    <row r="30" spans="1:10" s="371" customFormat="1" ht="30" hidden="1" outlineLevel="1">
      <c r="A30" s="390"/>
      <c r="B30" s="354">
        <v>10</v>
      </c>
      <c r="C30" s="348" t="s">
        <v>1443</v>
      </c>
      <c r="D30" s="391"/>
      <c r="E30" s="380"/>
      <c r="F30" s="380"/>
      <c r="G30" s="310"/>
      <c r="H30" s="311"/>
      <c r="I30" s="310"/>
      <c r="J30" s="366"/>
    </row>
    <row r="31" spans="1:10" s="371" customFormat="1" ht="30" hidden="1" outlineLevel="1">
      <c r="A31" s="390"/>
      <c r="B31" s="354">
        <v>11</v>
      </c>
      <c r="C31" s="348" t="s">
        <v>1444</v>
      </c>
      <c r="D31" s="391"/>
      <c r="E31" s="380"/>
      <c r="F31" s="380"/>
      <c r="G31" s="310"/>
      <c r="H31" s="311"/>
      <c r="I31" s="310"/>
      <c r="J31" s="366"/>
    </row>
    <row r="32" spans="1:10" s="371" customFormat="1" ht="30" hidden="1" outlineLevel="1">
      <c r="A32" s="390"/>
      <c r="B32" s="354">
        <v>12</v>
      </c>
      <c r="C32" s="348" t="s">
        <v>1445</v>
      </c>
      <c r="D32" s="391"/>
      <c r="E32" s="380"/>
      <c r="F32" s="380"/>
      <c r="G32" s="310"/>
      <c r="H32" s="311"/>
      <c r="I32" s="310"/>
      <c r="J32" s="366"/>
    </row>
    <row r="33" spans="1:10" s="371" customFormat="1" ht="30" hidden="1" outlineLevel="1">
      <c r="A33" s="390"/>
      <c r="B33" s="354">
        <v>13</v>
      </c>
      <c r="C33" s="348" t="s">
        <v>1446</v>
      </c>
      <c r="D33" s="391"/>
      <c r="E33" s="380"/>
      <c r="F33" s="380"/>
      <c r="G33" s="310"/>
      <c r="H33" s="311"/>
      <c r="I33" s="310"/>
      <c r="J33" s="366"/>
    </row>
    <row r="34" spans="1:10" s="371" customFormat="1" hidden="1" outlineLevel="1">
      <c r="A34" s="390"/>
      <c r="B34" s="354">
        <v>14</v>
      </c>
      <c r="C34" s="348" t="s">
        <v>1447</v>
      </c>
      <c r="D34" s="391"/>
      <c r="E34" s="380"/>
      <c r="F34" s="380"/>
      <c r="G34" s="310"/>
      <c r="H34" s="311"/>
      <c r="I34" s="310"/>
      <c r="J34" s="366"/>
    </row>
    <row r="35" spans="1:10" s="371" customFormat="1" hidden="1" outlineLevel="1">
      <c r="A35" s="390"/>
      <c r="B35" s="354">
        <v>15</v>
      </c>
      <c r="C35" s="348" t="s">
        <v>1448</v>
      </c>
      <c r="D35" s="391"/>
      <c r="E35" s="380"/>
      <c r="F35" s="380"/>
      <c r="G35" s="310"/>
      <c r="H35" s="311"/>
      <c r="I35" s="310"/>
      <c r="J35" s="366"/>
    </row>
    <row r="36" spans="1:10" s="371" customFormat="1" ht="25.5" hidden="1" customHeight="1" outlineLevel="1">
      <c r="A36" s="390"/>
      <c r="B36" s="382" t="s">
        <v>639</v>
      </c>
      <c r="C36" s="381" t="s">
        <v>1449</v>
      </c>
      <c r="D36" s="391"/>
      <c r="E36" s="380"/>
      <c r="F36" s="380"/>
      <c r="G36" s="310"/>
      <c r="H36" s="311"/>
      <c r="I36" s="310"/>
      <c r="J36" s="366"/>
    </row>
    <row r="37" spans="1:10" s="371" customFormat="1" ht="30" hidden="1" outlineLevel="1">
      <c r="A37" s="390"/>
      <c r="B37" s="354">
        <v>16</v>
      </c>
      <c r="C37" s="348" t="s">
        <v>1450</v>
      </c>
      <c r="D37" s="391"/>
      <c r="E37" s="380"/>
      <c r="F37" s="380"/>
      <c r="G37" s="310"/>
      <c r="H37" s="311"/>
      <c r="I37" s="310"/>
      <c r="J37" s="366"/>
    </row>
    <row r="38" spans="1:10" s="371" customFormat="1" ht="25.5" hidden="1" customHeight="1" outlineLevel="1">
      <c r="A38" s="390"/>
      <c r="B38" s="382">
        <v>17</v>
      </c>
      <c r="C38" s="381" t="s">
        <v>1451</v>
      </c>
      <c r="D38" s="391"/>
      <c r="E38" s="380"/>
      <c r="F38" s="380"/>
      <c r="G38" s="310"/>
      <c r="H38" s="311"/>
      <c r="I38" s="310"/>
      <c r="J38" s="366"/>
    </row>
    <row r="39" spans="1:10" s="371" customFormat="1" hidden="1" outlineLevel="1">
      <c r="A39" s="390"/>
      <c r="B39" s="354">
        <v>18</v>
      </c>
      <c r="C39" s="348" t="s">
        <v>1452</v>
      </c>
      <c r="D39" s="391"/>
      <c r="E39" s="380"/>
      <c r="F39" s="380"/>
      <c r="G39" s="310"/>
      <c r="H39" s="311"/>
      <c r="I39" s="310"/>
      <c r="J39" s="366"/>
    </row>
    <row r="40" spans="1:10" s="371" customFormat="1" hidden="1" outlineLevel="1">
      <c r="A40" s="390"/>
      <c r="B40" s="352">
        <v>19</v>
      </c>
      <c r="C40" s="353" t="s">
        <v>1453</v>
      </c>
      <c r="D40" s="391"/>
      <c r="E40" s="380"/>
      <c r="F40" s="380"/>
      <c r="G40" s="310"/>
      <c r="H40" s="311"/>
      <c r="I40" s="310"/>
      <c r="J40" s="366"/>
    </row>
    <row r="41" spans="1:10" s="371" customFormat="1" hidden="1" outlineLevel="1">
      <c r="A41" s="390"/>
      <c r="B41" s="354">
        <v>20</v>
      </c>
      <c r="C41" s="353" t="s">
        <v>1454</v>
      </c>
      <c r="D41" s="391"/>
      <c r="E41" s="380"/>
      <c r="F41" s="380"/>
      <c r="G41" s="310"/>
      <c r="H41" s="311"/>
      <c r="I41" s="310"/>
      <c r="J41" s="366"/>
    </row>
    <row r="42" spans="1:10" s="371" customFormat="1" hidden="1" outlineLevel="1">
      <c r="A42" s="390"/>
      <c r="B42" s="354">
        <v>21</v>
      </c>
      <c r="C42" s="355" t="s">
        <v>659</v>
      </c>
      <c r="D42" s="391"/>
      <c r="E42" s="380"/>
      <c r="F42" s="380"/>
      <c r="G42" s="310"/>
      <c r="H42" s="311"/>
      <c r="I42" s="310"/>
      <c r="J42" s="366"/>
    </row>
    <row r="43" spans="1:10" s="371" customFormat="1" ht="76.5" hidden="1" customHeight="1" outlineLevel="1">
      <c r="A43" s="390"/>
      <c r="B43" s="382" t="s">
        <v>640</v>
      </c>
      <c r="C43" s="348" t="s">
        <v>1455</v>
      </c>
      <c r="D43" s="391"/>
      <c r="E43" s="380"/>
      <c r="F43" s="380"/>
      <c r="G43" s="310"/>
      <c r="H43" s="311"/>
      <c r="I43" s="310"/>
      <c r="J43" s="366"/>
    </row>
    <row r="44" spans="1:10" s="371" customFormat="1" ht="83.25" hidden="1" customHeight="1" outlineLevel="1">
      <c r="A44" s="390"/>
      <c r="B44" s="382" t="s">
        <v>641</v>
      </c>
      <c r="C44" s="348" t="s">
        <v>1456</v>
      </c>
      <c r="D44" s="391"/>
      <c r="E44" s="380"/>
      <c r="F44" s="380"/>
      <c r="G44" s="310"/>
      <c r="H44" s="311"/>
      <c r="I44" s="310"/>
      <c r="J44" s="366"/>
    </row>
    <row r="45" spans="1:10" s="371" customFormat="1" ht="83.25" hidden="1" customHeight="1" outlineLevel="1">
      <c r="A45" s="390"/>
      <c r="B45" s="382" t="s">
        <v>642</v>
      </c>
      <c r="C45" s="348" t="s">
        <v>1457</v>
      </c>
      <c r="D45" s="391"/>
      <c r="E45" s="380"/>
      <c r="F45" s="380"/>
      <c r="G45" s="310"/>
      <c r="H45" s="311"/>
      <c r="I45" s="310"/>
      <c r="J45" s="366"/>
    </row>
    <row r="46" spans="1:10" s="371" customFormat="1" hidden="1" outlineLevel="1">
      <c r="A46" s="390"/>
      <c r="B46" s="354">
        <v>22</v>
      </c>
      <c r="C46" s="359" t="s">
        <v>630</v>
      </c>
      <c r="D46" s="391"/>
      <c r="E46" s="380"/>
      <c r="F46" s="380"/>
      <c r="G46" s="310"/>
      <c r="H46" s="311"/>
      <c r="I46" s="310"/>
      <c r="J46" s="366"/>
    </row>
    <row r="47" spans="1:10" s="371" customFormat="1" ht="24" hidden="1" customHeight="1" outlineLevel="1">
      <c r="A47" s="390"/>
      <c r="B47" s="358" t="s">
        <v>643</v>
      </c>
      <c r="C47" s="374" t="s">
        <v>631</v>
      </c>
      <c r="D47" s="391"/>
      <c r="E47" s="380"/>
      <c r="F47" s="380"/>
      <c r="G47" s="310"/>
      <c r="H47" s="311"/>
      <c r="I47" s="310"/>
      <c r="J47" s="366"/>
    </row>
    <row r="48" spans="1:10" s="433" customFormat="1">
      <c r="A48" s="428"/>
      <c r="B48" s="429"/>
      <c r="C48" s="430"/>
      <c r="D48" s="431"/>
      <c r="E48" s="428"/>
      <c r="F48" s="428"/>
      <c r="G48" s="428"/>
      <c r="H48" s="428"/>
      <c r="I48" s="428"/>
      <c r="J48" s="432"/>
    </row>
  </sheetData>
  <mergeCells count="12">
    <mergeCell ref="A6:I6"/>
    <mergeCell ref="A7:B7"/>
    <mergeCell ref="C7:I7"/>
    <mergeCell ref="A8:I8"/>
    <mergeCell ref="D9:I9"/>
    <mergeCell ref="A5:B5"/>
    <mergeCell ref="C5:I5"/>
    <mergeCell ref="A1:I1"/>
    <mergeCell ref="A2:I2"/>
    <mergeCell ref="A3:B3"/>
    <mergeCell ref="C3:I3"/>
    <mergeCell ref="A4:I4"/>
  </mergeCells>
  <conditionalFormatting sqref="E10:E11 E48:E65537">
    <cfRule type="cellIs" dxfId="110" priority="152" operator="equal">
      <formula>"Ready to Test"</formula>
    </cfRule>
    <cfRule type="cellIs" dxfId="109" priority="153" operator="equal">
      <formula>"Do Not Test"</formula>
    </cfRule>
    <cfRule type="cellIs" dxfId="108" priority="154" operator="equal">
      <formula>"Ready for Retest"</formula>
    </cfRule>
    <cfRule type="cellIs" dxfId="107" priority="155" operator="equal">
      <formula>"Passed"</formula>
    </cfRule>
  </conditionalFormatting>
  <conditionalFormatting sqref="E3 E7 E5">
    <cfRule type="cellIs" dxfId="106" priority="150" stopIfTrue="1" operator="equal">
      <formula>"Ready to Test"</formula>
    </cfRule>
    <cfRule type="cellIs" dxfId="105" priority="151" stopIfTrue="1" operator="equal">
      <formula>"Do Not Test"</formula>
    </cfRule>
  </conditionalFormatting>
  <conditionalFormatting sqref="I12:J48">
    <cfRule type="cellIs" dxfId="104" priority="149" operator="greaterThan">
      <formula>0</formula>
    </cfRule>
  </conditionalFormatting>
  <conditionalFormatting sqref="H11:H48">
    <cfRule type="cellIs" dxfId="103" priority="148" operator="greaterThan">
      <formula>0</formula>
    </cfRule>
  </conditionalFormatting>
  <conditionalFormatting sqref="G12:G48">
    <cfRule type="cellIs" dxfId="102" priority="147" operator="greaterThan">
      <formula>0</formula>
    </cfRule>
  </conditionalFormatting>
  <conditionalFormatting sqref="E12">
    <cfRule type="cellIs" dxfId="101" priority="143" stopIfTrue="1" operator="equal">
      <formula>"Do Not Test"</formula>
    </cfRule>
  </conditionalFormatting>
  <conditionalFormatting sqref="E12">
    <cfRule type="cellIs" dxfId="100" priority="142" stopIfTrue="1" operator="equal">
      <formula>"Ready To Test"</formula>
    </cfRule>
  </conditionalFormatting>
  <conditionalFormatting sqref="F12">
    <cfRule type="cellIs" dxfId="99" priority="141" operator="equal">
      <formula>"A"</formula>
    </cfRule>
  </conditionalFormatting>
  <conditionalFormatting sqref="F12">
    <cfRule type="cellIs" dxfId="98" priority="139" operator="equal">
      <formula>"F"</formula>
    </cfRule>
    <cfRule type="cellIs" dxfId="97" priority="140" operator="equal">
      <formula>"p"</formula>
    </cfRule>
  </conditionalFormatting>
  <conditionalFormatting sqref="E48">
    <cfRule type="cellIs" dxfId="96" priority="53" stopIfTrue="1" operator="equal">
      <formula>"Passed"</formula>
    </cfRule>
    <cfRule type="cellIs" dxfId="95" priority="54" stopIfTrue="1" operator="equal">
      <formula>"Do Not Test"</formula>
    </cfRule>
    <cfRule type="cellIs" dxfId="94" priority="55" stopIfTrue="1" operator="equal">
      <formula>"Ready for Retest"</formula>
    </cfRule>
    <cfRule type="cellIs" dxfId="93" priority="56" stopIfTrue="1" operator="equal">
      <formula>"Ready to Test"</formula>
    </cfRule>
  </conditionalFormatting>
  <hyperlinks>
    <hyperlink ref="C9" r:id="rId1"/>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sheetPr>
    <tabColor theme="9"/>
    <outlinePr summaryBelow="0"/>
  </sheetPr>
  <dimension ref="A1:J45"/>
  <sheetViews>
    <sheetView zoomScale="110" zoomScaleNormal="110" workbookViewId="0">
      <selection sqref="A1:I1"/>
    </sheetView>
  </sheetViews>
  <sheetFormatPr defaultRowHeight="15" outlineLevelRow="1"/>
  <cols>
    <col min="1" max="1" width="8.7109375" style="320" bestFit="1" customWidth="1"/>
    <col min="2" max="2" width="20.85546875" style="324" customWidth="1"/>
    <col min="3" max="3" width="70.140625" style="328" customWidth="1"/>
    <col min="4" max="4" width="10.28515625" style="326" bestFit="1" customWidth="1"/>
    <col min="5" max="5" width="13.28515625" style="320" bestFit="1" customWidth="1"/>
    <col min="6" max="6" width="9.85546875" style="320" bestFit="1" customWidth="1"/>
    <col min="7" max="7" width="8.28515625" style="320" bestFit="1" customWidth="1"/>
    <col min="8" max="8" width="7.5703125" style="320" customWidth="1"/>
    <col min="9" max="9" width="10.5703125" style="320" bestFit="1" customWidth="1"/>
    <col min="10" max="10" width="55.85546875" style="369" customWidth="1"/>
    <col min="11" max="16384" width="9.140625" style="372"/>
  </cols>
  <sheetData>
    <row r="1" spans="1:10" s="397" customFormat="1">
      <c r="A1" s="529" t="s">
        <v>1495</v>
      </c>
      <c r="B1" s="529"/>
      <c r="C1" s="529"/>
      <c r="D1" s="529"/>
      <c r="E1" s="529"/>
      <c r="F1" s="529"/>
      <c r="G1" s="529"/>
      <c r="H1" s="529"/>
      <c r="I1" s="529"/>
      <c r="J1" s="330"/>
    </row>
    <row r="2" spans="1:10" s="398" customFormat="1">
      <c r="A2" s="530"/>
      <c r="B2" s="530"/>
      <c r="C2" s="531"/>
      <c r="D2" s="531"/>
      <c r="E2" s="531"/>
      <c r="F2" s="531"/>
      <c r="G2" s="531"/>
      <c r="H2" s="531"/>
      <c r="I2" s="531"/>
      <c r="J2" s="368"/>
    </row>
    <row r="3" spans="1:10" s="398" customFormat="1" ht="33.75" customHeight="1">
      <c r="A3" s="532" t="s">
        <v>1227</v>
      </c>
      <c r="B3" s="533"/>
      <c r="C3" s="521" t="s">
        <v>1458</v>
      </c>
      <c r="D3" s="522"/>
      <c r="E3" s="522"/>
      <c r="F3" s="522"/>
      <c r="G3" s="522"/>
      <c r="H3" s="522"/>
      <c r="I3" s="523"/>
      <c r="J3" s="409"/>
    </row>
    <row r="4" spans="1:10" s="398" customFormat="1">
      <c r="A4" s="534"/>
      <c r="B4" s="535"/>
      <c r="C4" s="536"/>
      <c r="D4" s="536"/>
      <c r="E4" s="536"/>
      <c r="F4" s="536"/>
      <c r="G4" s="536"/>
      <c r="H4" s="536"/>
      <c r="I4" s="536"/>
      <c r="J4" s="368"/>
    </row>
    <row r="5" spans="1:10" s="397" customFormat="1" ht="30" customHeight="1">
      <c r="A5" s="519" t="s">
        <v>594</v>
      </c>
      <c r="B5" s="520"/>
      <c r="C5" s="526" t="s">
        <v>802</v>
      </c>
      <c r="D5" s="527"/>
      <c r="E5" s="527"/>
      <c r="F5" s="527"/>
      <c r="G5" s="527"/>
      <c r="H5" s="527"/>
      <c r="I5" s="528"/>
      <c r="J5" s="330"/>
    </row>
    <row r="6" spans="1:10" s="397" customFormat="1">
      <c r="A6" s="516"/>
      <c r="B6" s="517"/>
      <c r="C6" s="518"/>
      <c r="D6" s="518"/>
      <c r="E6" s="518"/>
      <c r="F6" s="518"/>
      <c r="G6" s="518"/>
      <c r="H6" s="518"/>
      <c r="I6" s="518"/>
      <c r="J6" s="367"/>
    </row>
    <row r="7" spans="1:10" s="397" customFormat="1" ht="17.25" customHeight="1">
      <c r="A7" s="519" t="s">
        <v>1229</v>
      </c>
      <c r="B7" s="520"/>
      <c r="C7" s="521" t="s">
        <v>1459</v>
      </c>
      <c r="D7" s="522"/>
      <c r="E7" s="522"/>
      <c r="F7" s="522"/>
      <c r="G7" s="522"/>
      <c r="H7" s="522"/>
      <c r="I7" s="523"/>
      <c r="J7" s="330"/>
    </row>
    <row r="8" spans="1:10" s="399" customFormat="1">
      <c r="A8" s="524"/>
      <c r="B8" s="524"/>
      <c r="C8" s="524"/>
      <c r="D8" s="524"/>
      <c r="E8" s="524"/>
      <c r="F8" s="524"/>
      <c r="G8" s="524"/>
      <c r="H8" s="524"/>
      <c r="I8" s="524"/>
      <c r="J8" s="363"/>
    </row>
    <row r="9" spans="1:10" ht="27.75" customHeight="1">
      <c r="A9" s="410" t="s">
        <v>1231</v>
      </c>
      <c r="B9" s="411"/>
      <c r="C9" s="412" t="s">
        <v>1232</v>
      </c>
      <c r="D9" s="525"/>
      <c r="E9" s="525"/>
      <c r="F9" s="525"/>
      <c r="G9" s="525"/>
      <c r="H9" s="525"/>
      <c r="I9" s="525"/>
      <c r="J9" s="413"/>
    </row>
    <row r="10" spans="1:10">
      <c r="A10" s="321"/>
      <c r="B10" s="323"/>
      <c r="C10" s="327"/>
      <c r="D10" s="325"/>
      <c r="E10" s="322"/>
      <c r="F10" s="322"/>
      <c r="G10" s="322"/>
      <c r="H10" s="322"/>
      <c r="I10" s="322"/>
      <c r="J10" s="370"/>
    </row>
    <row r="11" spans="1:10" s="216" customFormat="1" ht="29.25" customHeight="1">
      <c r="A11" s="385" t="s">
        <v>0</v>
      </c>
      <c r="B11" s="379" t="s">
        <v>226</v>
      </c>
      <c r="C11" s="386" t="s">
        <v>540</v>
      </c>
      <c r="D11" s="386" t="s">
        <v>595</v>
      </c>
      <c r="E11" s="387" t="s">
        <v>214</v>
      </c>
      <c r="F11" s="387" t="s">
        <v>584</v>
      </c>
      <c r="G11" s="388" t="s">
        <v>2</v>
      </c>
      <c r="H11" s="389" t="s">
        <v>579</v>
      </c>
      <c r="I11" s="331" t="s">
        <v>583</v>
      </c>
      <c r="J11" s="331" t="s">
        <v>1</v>
      </c>
    </row>
    <row r="12" spans="1:10" s="276" customFormat="1" collapsed="1">
      <c r="A12" s="333" t="s">
        <v>23</v>
      </c>
      <c r="B12" s="333" t="s">
        <v>803</v>
      </c>
      <c r="C12" s="332" t="s">
        <v>797</v>
      </c>
      <c r="D12" s="334" t="s">
        <v>604</v>
      </c>
      <c r="E12" s="286" t="s">
        <v>596</v>
      </c>
      <c r="F12" s="334" t="str">
        <f>IF(H12&gt;0,"F",IF(I12&gt;0,"A",IF(G12&gt;0,"P","NT")))</f>
        <v>P</v>
      </c>
      <c r="G12" s="334">
        <f>COUNTA(G13:G20)</f>
        <v>1</v>
      </c>
      <c r="H12" s="334">
        <f>COUNTA(H13:H20)</f>
        <v>0</v>
      </c>
      <c r="I12" s="334">
        <f>COUNTA(I13:I20)</f>
        <v>0</v>
      </c>
      <c r="J12" s="365">
        <f>COUNTA(J13:J20)</f>
        <v>0</v>
      </c>
    </row>
    <row r="13" spans="1:10" s="371" customFormat="1" hidden="1" outlineLevel="1">
      <c r="A13" s="390"/>
      <c r="B13" s="351" t="s">
        <v>598</v>
      </c>
      <c r="C13" s="348" t="s">
        <v>798</v>
      </c>
      <c r="D13" s="391"/>
      <c r="E13" s="380"/>
      <c r="F13" s="380"/>
      <c r="G13" s="310"/>
      <c r="H13" s="311"/>
      <c r="I13" s="310"/>
      <c r="J13" s="366"/>
    </row>
    <row r="14" spans="1:10" s="371" customFormat="1" ht="30" hidden="1" customHeight="1" outlineLevel="1">
      <c r="A14" s="390"/>
      <c r="B14" s="351" t="s">
        <v>599</v>
      </c>
      <c r="C14" s="348" t="s">
        <v>863</v>
      </c>
      <c r="D14" s="391"/>
      <c r="E14" s="380"/>
      <c r="F14" s="380"/>
      <c r="G14" s="310"/>
      <c r="H14" s="311"/>
      <c r="I14" s="310"/>
      <c r="J14" s="366"/>
    </row>
    <row r="15" spans="1:10" s="371" customFormat="1" hidden="1" outlineLevel="1">
      <c r="A15" s="390"/>
      <c r="B15" s="352">
        <v>1</v>
      </c>
      <c r="C15" s="353" t="s">
        <v>621</v>
      </c>
      <c r="D15" s="391"/>
      <c r="E15" s="380"/>
      <c r="F15" s="380"/>
      <c r="G15" s="310"/>
      <c r="H15" s="311"/>
      <c r="I15" s="310"/>
      <c r="J15" s="366"/>
    </row>
    <row r="16" spans="1:10" s="371" customFormat="1" hidden="1" outlineLevel="1">
      <c r="A16" s="390"/>
      <c r="B16" s="352">
        <v>2</v>
      </c>
      <c r="C16" s="353" t="s">
        <v>799</v>
      </c>
      <c r="D16" s="391"/>
      <c r="E16" s="380"/>
      <c r="F16" s="380"/>
      <c r="G16" s="310"/>
      <c r="H16" s="311"/>
      <c r="I16" s="310"/>
      <c r="J16" s="366"/>
    </row>
    <row r="17" spans="1:10" s="371" customFormat="1" hidden="1" outlineLevel="1">
      <c r="A17" s="390"/>
      <c r="B17" s="352">
        <v>3</v>
      </c>
      <c r="C17" s="353" t="s">
        <v>623</v>
      </c>
      <c r="D17" s="391"/>
      <c r="E17" s="380"/>
      <c r="F17" s="380"/>
      <c r="G17" s="310" t="s">
        <v>603</v>
      </c>
      <c r="H17" s="311"/>
      <c r="I17" s="310"/>
      <c r="J17" s="366"/>
    </row>
    <row r="18" spans="1:10" s="371" customFormat="1" hidden="1" outlineLevel="1">
      <c r="A18" s="390"/>
      <c r="B18" s="352">
        <v>5</v>
      </c>
      <c r="C18" s="353" t="s">
        <v>800</v>
      </c>
      <c r="D18" s="391"/>
      <c r="E18" s="380"/>
      <c r="F18" s="380"/>
      <c r="G18" s="310"/>
      <c r="H18" s="311"/>
      <c r="I18" s="310"/>
      <c r="J18" s="366"/>
    </row>
    <row r="19" spans="1:10" s="455" customFormat="1" hidden="1" outlineLevel="1">
      <c r="A19" s="460"/>
      <c r="B19" s="462">
        <v>6</v>
      </c>
      <c r="C19" s="459" t="s">
        <v>1465</v>
      </c>
      <c r="D19" s="452"/>
      <c r="E19" s="380"/>
      <c r="F19" s="380"/>
      <c r="G19" s="310"/>
      <c r="H19" s="311"/>
      <c r="I19" s="310"/>
      <c r="J19" s="366"/>
    </row>
    <row r="20" spans="1:10" s="455" customFormat="1" ht="79.5" hidden="1" customHeight="1" outlineLevel="1">
      <c r="A20" s="460"/>
      <c r="B20" s="462" t="s">
        <v>801</v>
      </c>
      <c r="C20" s="459" t="s">
        <v>1466</v>
      </c>
      <c r="D20" s="452"/>
      <c r="E20" s="380"/>
      <c r="F20" s="380"/>
      <c r="G20" s="310"/>
      <c r="H20" s="311"/>
      <c r="I20" s="310"/>
      <c r="J20" s="366"/>
    </row>
    <row r="21" spans="1:10" s="433" customFormat="1">
      <c r="A21" s="428"/>
      <c r="B21" s="429"/>
      <c r="C21" s="430"/>
      <c r="D21" s="431"/>
      <c r="E21" s="428"/>
      <c r="F21" s="428"/>
      <c r="G21" s="428"/>
      <c r="H21" s="428"/>
      <c r="I21" s="428"/>
      <c r="J21" s="432"/>
    </row>
    <row r="22" spans="1:10" s="276" customFormat="1" collapsed="1">
      <c r="A22" s="333" t="s">
        <v>23</v>
      </c>
      <c r="B22" s="333" t="s">
        <v>804</v>
      </c>
      <c r="C22" s="332" t="s">
        <v>828</v>
      </c>
      <c r="D22" s="334" t="s">
        <v>604</v>
      </c>
      <c r="E22" s="286" t="s">
        <v>596</v>
      </c>
      <c r="F22" s="334" t="str">
        <f>IF(H22&gt;0,"F",IF(I22&gt;0,"A",IF(G22&gt;0,"P","NT")))</f>
        <v>P</v>
      </c>
      <c r="G22" s="334">
        <f>COUNTA(G23:G43)</f>
        <v>1</v>
      </c>
      <c r="H22" s="334">
        <f>COUNTA(H23:H43)</f>
        <v>0</v>
      </c>
      <c r="I22" s="334">
        <f>COUNTA(I23:I43)</f>
        <v>0</v>
      </c>
      <c r="J22" s="365">
        <f>COUNTA(J23:J43)</f>
        <v>0</v>
      </c>
    </row>
    <row r="23" spans="1:10" s="371" customFormat="1" hidden="1" outlineLevel="1">
      <c r="A23" s="390"/>
      <c r="B23" s="382" t="s">
        <v>598</v>
      </c>
      <c r="C23" s="348" t="s">
        <v>805</v>
      </c>
      <c r="D23" s="391"/>
      <c r="E23" s="380"/>
      <c r="F23" s="380"/>
      <c r="G23" s="310"/>
      <c r="H23" s="311"/>
      <c r="I23" s="310"/>
      <c r="J23" s="366"/>
    </row>
    <row r="24" spans="1:10" s="371" customFormat="1" ht="30" hidden="1" customHeight="1" outlineLevel="1">
      <c r="A24" s="390"/>
      <c r="B24" s="351" t="s">
        <v>599</v>
      </c>
      <c r="C24" s="348" t="s">
        <v>806</v>
      </c>
      <c r="D24" s="391"/>
      <c r="E24" s="380"/>
      <c r="F24" s="380"/>
      <c r="G24" s="310"/>
      <c r="H24" s="311"/>
      <c r="I24" s="310"/>
      <c r="J24" s="366"/>
    </row>
    <row r="25" spans="1:10" s="371" customFormat="1" hidden="1" outlineLevel="1">
      <c r="A25" s="390"/>
      <c r="B25" s="352">
        <v>1</v>
      </c>
      <c r="C25" s="353" t="s">
        <v>621</v>
      </c>
      <c r="D25" s="391"/>
      <c r="E25" s="380"/>
      <c r="F25" s="380"/>
      <c r="G25" s="310"/>
      <c r="H25" s="311"/>
      <c r="I25" s="310"/>
      <c r="J25" s="366"/>
    </row>
    <row r="26" spans="1:10" s="371" customFormat="1" hidden="1" outlineLevel="1">
      <c r="A26" s="390"/>
      <c r="B26" s="352">
        <v>2</v>
      </c>
      <c r="C26" s="353" t="s">
        <v>807</v>
      </c>
      <c r="D26" s="391"/>
      <c r="E26" s="380"/>
      <c r="F26" s="380"/>
      <c r="G26" s="310"/>
      <c r="H26" s="311"/>
      <c r="I26" s="310"/>
      <c r="J26" s="366"/>
    </row>
    <row r="27" spans="1:10" s="371" customFormat="1" hidden="1" outlineLevel="1">
      <c r="A27" s="390"/>
      <c r="B27" s="352">
        <v>3</v>
      </c>
      <c r="C27" s="353" t="s">
        <v>809</v>
      </c>
      <c r="D27" s="391"/>
      <c r="E27" s="380"/>
      <c r="F27" s="380"/>
      <c r="G27" s="310"/>
      <c r="H27" s="311"/>
      <c r="I27" s="310"/>
      <c r="J27" s="366"/>
    </row>
    <row r="28" spans="1:10" s="371" customFormat="1" ht="34.5" hidden="1" customHeight="1" outlineLevel="1">
      <c r="A28" s="390"/>
      <c r="B28" s="352" t="s">
        <v>801</v>
      </c>
      <c r="C28" s="353" t="s">
        <v>808</v>
      </c>
      <c r="D28" s="391"/>
      <c r="E28" s="380"/>
      <c r="F28" s="380"/>
      <c r="G28" s="310"/>
      <c r="H28" s="311"/>
      <c r="I28" s="310"/>
      <c r="J28" s="366"/>
    </row>
    <row r="29" spans="1:10" s="455" customFormat="1" ht="34.5" hidden="1" customHeight="1" outlineLevel="1">
      <c r="A29" s="460"/>
      <c r="B29" s="462" t="s">
        <v>824</v>
      </c>
      <c r="C29" s="459" t="s">
        <v>1460</v>
      </c>
      <c r="D29" s="452"/>
      <c r="E29" s="380"/>
      <c r="F29" s="380"/>
      <c r="G29" s="310"/>
      <c r="H29" s="311"/>
      <c r="I29" s="310"/>
      <c r="J29" s="366"/>
    </row>
    <row r="30" spans="1:10" s="371" customFormat="1" hidden="1" outlineLevel="1">
      <c r="A30" s="390"/>
      <c r="B30" s="352">
        <v>4</v>
      </c>
      <c r="C30" s="353" t="s">
        <v>811</v>
      </c>
      <c r="D30" s="391"/>
      <c r="E30" s="380"/>
      <c r="F30" s="380"/>
      <c r="G30" s="310" t="s">
        <v>603</v>
      </c>
      <c r="H30" s="311"/>
      <c r="I30" s="310"/>
      <c r="J30" s="366"/>
    </row>
    <row r="31" spans="1:10" s="371" customFormat="1" hidden="1" outlineLevel="1">
      <c r="A31" s="390"/>
      <c r="B31" s="352">
        <v>5</v>
      </c>
      <c r="C31" s="353" t="s">
        <v>814</v>
      </c>
      <c r="D31" s="391"/>
      <c r="E31" s="380"/>
      <c r="F31" s="380"/>
      <c r="G31" s="310"/>
      <c r="H31" s="311"/>
      <c r="I31" s="310"/>
      <c r="J31" s="366"/>
    </row>
    <row r="32" spans="1:10" s="371" customFormat="1" hidden="1" outlineLevel="1">
      <c r="A32" s="390"/>
      <c r="B32" s="352">
        <v>6</v>
      </c>
      <c r="C32" s="353" t="s">
        <v>810</v>
      </c>
      <c r="D32" s="391"/>
      <c r="E32" s="380"/>
      <c r="F32" s="380"/>
      <c r="G32" s="310"/>
      <c r="H32" s="311"/>
      <c r="I32" s="310"/>
      <c r="J32" s="366"/>
    </row>
    <row r="33" spans="1:10" s="371" customFormat="1" ht="34.5" hidden="1" customHeight="1" outlineLevel="1">
      <c r="A33" s="390"/>
      <c r="B33" s="352" t="s">
        <v>825</v>
      </c>
      <c r="C33" s="353" t="s">
        <v>1212</v>
      </c>
      <c r="D33" s="391"/>
      <c r="E33" s="380"/>
      <c r="F33" s="380"/>
      <c r="G33" s="310"/>
      <c r="H33" s="311"/>
      <c r="I33" s="310"/>
      <c r="J33" s="366"/>
    </row>
    <row r="34" spans="1:10" s="371" customFormat="1" ht="34.5" hidden="1" customHeight="1" outlineLevel="1">
      <c r="A34" s="390"/>
      <c r="B34" s="352" t="s">
        <v>826</v>
      </c>
      <c r="C34" s="353" t="s">
        <v>812</v>
      </c>
      <c r="D34" s="391"/>
      <c r="E34" s="380"/>
      <c r="F34" s="380"/>
      <c r="G34" s="310"/>
      <c r="H34" s="311"/>
      <c r="I34" s="310"/>
      <c r="J34" s="366"/>
    </row>
    <row r="35" spans="1:10" s="371" customFormat="1" hidden="1" outlineLevel="1">
      <c r="A35" s="390"/>
      <c r="B35" s="352">
        <v>7</v>
      </c>
      <c r="C35" s="353" t="s">
        <v>813</v>
      </c>
      <c r="D35" s="391"/>
      <c r="E35" s="380"/>
      <c r="F35" s="380"/>
      <c r="G35" s="310"/>
      <c r="H35" s="311"/>
      <c r="I35" s="310"/>
      <c r="J35" s="366"/>
    </row>
    <row r="36" spans="1:10" s="371" customFormat="1" ht="34.5" hidden="1" customHeight="1" outlineLevel="1">
      <c r="A36" s="390"/>
      <c r="B36" s="352" t="s">
        <v>827</v>
      </c>
      <c r="C36" s="353" t="s">
        <v>816</v>
      </c>
      <c r="D36" s="391"/>
      <c r="E36" s="380"/>
      <c r="F36" s="380"/>
      <c r="G36" s="310"/>
      <c r="H36" s="311"/>
      <c r="I36" s="310"/>
      <c r="J36" s="366"/>
    </row>
    <row r="37" spans="1:10" s="371" customFormat="1" hidden="1" outlineLevel="1">
      <c r="A37" s="390"/>
      <c r="B37" s="352">
        <v>8</v>
      </c>
      <c r="C37" s="353" t="s">
        <v>815</v>
      </c>
      <c r="D37" s="391"/>
      <c r="E37" s="380"/>
      <c r="F37" s="380"/>
      <c r="G37" s="310"/>
      <c r="H37" s="311"/>
      <c r="I37" s="310"/>
      <c r="J37" s="366"/>
    </row>
    <row r="38" spans="1:10" s="371" customFormat="1" ht="34.5" hidden="1" customHeight="1" outlineLevel="1">
      <c r="A38" s="390"/>
      <c r="B38" s="352" t="s">
        <v>1213</v>
      </c>
      <c r="C38" s="353" t="s">
        <v>817</v>
      </c>
      <c r="D38" s="391"/>
      <c r="E38" s="380"/>
      <c r="F38" s="380"/>
      <c r="G38" s="310"/>
      <c r="H38" s="311"/>
      <c r="I38" s="310"/>
      <c r="J38" s="366"/>
    </row>
    <row r="39" spans="1:10" s="371" customFormat="1" hidden="1" outlineLevel="1">
      <c r="A39" s="390"/>
      <c r="B39" s="352">
        <v>9</v>
      </c>
      <c r="C39" s="353" t="s">
        <v>818</v>
      </c>
      <c r="D39" s="391"/>
      <c r="E39" s="380"/>
      <c r="F39" s="380"/>
      <c r="G39" s="310"/>
      <c r="H39" s="311"/>
      <c r="I39" s="310"/>
      <c r="J39" s="366"/>
    </row>
    <row r="40" spans="1:10" s="371" customFormat="1" hidden="1" outlineLevel="1">
      <c r="A40" s="390"/>
      <c r="B40" s="352">
        <v>10</v>
      </c>
      <c r="C40" s="353" t="s">
        <v>820</v>
      </c>
      <c r="D40" s="391"/>
      <c r="E40" s="380"/>
      <c r="F40" s="380"/>
      <c r="G40" s="310"/>
      <c r="H40" s="311"/>
      <c r="I40" s="310"/>
      <c r="J40" s="366"/>
    </row>
    <row r="41" spans="1:10" s="371" customFormat="1" ht="24.75" hidden="1" customHeight="1" outlineLevel="1">
      <c r="A41" s="390"/>
      <c r="B41" s="352" t="s">
        <v>1461</v>
      </c>
      <c r="C41" s="353" t="s">
        <v>819</v>
      </c>
      <c r="D41" s="391"/>
      <c r="E41" s="380"/>
      <c r="F41" s="380"/>
      <c r="G41" s="310"/>
      <c r="H41" s="311"/>
      <c r="I41" s="310"/>
      <c r="J41" s="366"/>
    </row>
    <row r="42" spans="1:10" s="371" customFormat="1" hidden="1" outlineLevel="1">
      <c r="A42" s="390"/>
      <c r="B42" s="352">
        <v>11</v>
      </c>
      <c r="C42" s="353" t="s">
        <v>829</v>
      </c>
      <c r="D42" s="391"/>
      <c r="E42" s="380"/>
      <c r="F42" s="380"/>
      <c r="G42" s="310"/>
      <c r="H42" s="311"/>
      <c r="I42" s="310"/>
      <c r="J42" s="366"/>
    </row>
    <row r="43" spans="1:10" s="371" customFormat="1" hidden="1" outlineLevel="1">
      <c r="A43" s="390"/>
      <c r="B43" s="352">
        <v>12</v>
      </c>
      <c r="C43" s="353" t="s">
        <v>821</v>
      </c>
      <c r="D43" s="391"/>
      <c r="E43" s="380"/>
      <c r="F43" s="380"/>
      <c r="G43" s="310"/>
      <c r="H43" s="311"/>
      <c r="I43" s="310"/>
      <c r="J43" s="366"/>
    </row>
    <row r="44" spans="1:10" s="371" customFormat="1" hidden="1" outlineLevel="1">
      <c r="A44" s="390"/>
      <c r="B44" s="352">
        <v>13</v>
      </c>
      <c r="C44" s="353" t="s">
        <v>822</v>
      </c>
      <c r="D44" s="391"/>
      <c r="E44" s="380"/>
      <c r="F44" s="380"/>
      <c r="G44" s="310"/>
      <c r="H44" s="311"/>
      <c r="I44" s="310"/>
      <c r="J44" s="366"/>
    </row>
    <row r="45" spans="1:10" s="371" customFormat="1" hidden="1" outlineLevel="1">
      <c r="A45" s="390"/>
      <c r="B45" s="352">
        <v>14</v>
      </c>
      <c r="C45" s="353" t="s">
        <v>823</v>
      </c>
      <c r="D45" s="391"/>
      <c r="E45" s="380"/>
      <c r="F45" s="380"/>
      <c r="G45" s="310"/>
      <c r="H45" s="311"/>
      <c r="I45" s="310"/>
      <c r="J45" s="366"/>
    </row>
  </sheetData>
  <mergeCells count="12">
    <mergeCell ref="A6:I6"/>
    <mergeCell ref="A7:B7"/>
    <mergeCell ref="C7:I7"/>
    <mergeCell ref="A8:I8"/>
    <mergeCell ref="D9:I9"/>
    <mergeCell ref="A5:B5"/>
    <mergeCell ref="C5:I5"/>
    <mergeCell ref="A1:I1"/>
    <mergeCell ref="A2:I2"/>
    <mergeCell ref="A3:B3"/>
    <mergeCell ref="C3:I3"/>
    <mergeCell ref="A4:I4"/>
  </mergeCells>
  <conditionalFormatting sqref="E10:E11 E46:E65539">
    <cfRule type="cellIs" dxfId="92" priority="71" operator="equal">
      <formula>"Ready to Test"</formula>
    </cfRule>
    <cfRule type="cellIs" dxfId="91" priority="72" operator="equal">
      <formula>"Do Not Test"</formula>
    </cfRule>
    <cfRule type="cellIs" dxfId="90" priority="73" operator="equal">
      <formula>"Ready for Retest"</formula>
    </cfRule>
    <cfRule type="cellIs" dxfId="89" priority="74" operator="equal">
      <formula>"Passed"</formula>
    </cfRule>
  </conditionalFormatting>
  <conditionalFormatting sqref="E3 E7 E5">
    <cfRule type="cellIs" dxfId="88" priority="69" stopIfTrue="1" operator="equal">
      <formula>"Ready to Test"</formula>
    </cfRule>
    <cfRule type="cellIs" dxfId="87" priority="70" stopIfTrue="1" operator="equal">
      <formula>"Do Not Test"</formula>
    </cfRule>
  </conditionalFormatting>
  <conditionalFormatting sqref="E12">
    <cfRule type="cellIs" dxfId="86" priority="68" stopIfTrue="1" operator="equal">
      <formula>"Do Not Test"</formula>
    </cfRule>
  </conditionalFormatting>
  <conditionalFormatting sqref="E12">
    <cfRule type="cellIs" dxfId="85" priority="67" stopIfTrue="1" operator="equal">
      <formula>"Ready To Test"</formula>
    </cfRule>
  </conditionalFormatting>
  <conditionalFormatting sqref="I12:J19">
    <cfRule type="cellIs" dxfId="84" priority="66" operator="greaterThan">
      <formula>0</formula>
    </cfRule>
  </conditionalFormatting>
  <conditionalFormatting sqref="H11:H19">
    <cfRule type="cellIs" dxfId="83" priority="65" operator="greaterThan">
      <formula>0</formula>
    </cfRule>
  </conditionalFormatting>
  <conditionalFormatting sqref="G12:G19">
    <cfRule type="cellIs" dxfId="82" priority="64" operator="greaterThan">
      <formula>0</formula>
    </cfRule>
  </conditionalFormatting>
  <conditionalFormatting sqref="F12">
    <cfRule type="cellIs" dxfId="81" priority="63" operator="equal">
      <formula>"A"</formula>
    </cfRule>
  </conditionalFormatting>
  <conditionalFormatting sqref="F12">
    <cfRule type="cellIs" dxfId="80" priority="61" operator="equal">
      <formula>"F"</formula>
    </cfRule>
    <cfRule type="cellIs" dxfId="79" priority="62" operator="equal">
      <formula>"p"</formula>
    </cfRule>
  </conditionalFormatting>
  <conditionalFormatting sqref="I20:J21">
    <cfRule type="cellIs" dxfId="78" priority="60" operator="greaterThan">
      <formula>0</formula>
    </cfRule>
  </conditionalFormatting>
  <conditionalFormatting sqref="H20:H21">
    <cfRule type="cellIs" dxfId="77" priority="59" operator="greaterThan">
      <formula>0</formula>
    </cfRule>
  </conditionalFormatting>
  <conditionalFormatting sqref="G20:G21">
    <cfRule type="cellIs" dxfId="76" priority="58" operator="greaterThan">
      <formula>0</formula>
    </cfRule>
  </conditionalFormatting>
  <conditionalFormatting sqref="E22">
    <cfRule type="cellIs" dxfId="75" priority="57" stopIfTrue="1" operator="equal">
      <formula>"Do Not Test"</formula>
    </cfRule>
  </conditionalFormatting>
  <conditionalFormatting sqref="E22">
    <cfRule type="cellIs" dxfId="74" priority="56" stopIfTrue="1" operator="equal">
      <formula>"Ready To Test"</formula>
    </cfRule>
  </conditionalFormatting>
  <conditionalFormatting sqref="I22:J27 I32:J32">
    <cfRule type="cellIs" dxfId="73" priority="55" operator="greaterThan">
      <formula>0</formula>
    </cfRule>
  </conditionalFormatting>
  <conditionalFormatting sqref="H22:H27 H32">
    <cfRule type="cellIs" dxfId="72" priority="54" operator="greaterThan">
      <formula>0</formula>
    </cfRule>
  </conditionalFormatting>
  <conditionalFormatting sqref="G22:G27 G32">
    <cfRule type="cellIs" dxfId="71" priority="53" operator="greaterThan">
      <formula>0</formula>
    </cfRule>
  </conditionalFormatting>
  <conditionalFormatting sqref="F22">
    <cfRule type="cellIs" dxfId="70" priority="52" operator="equal">
      <formula>"A"</formula>
    </cfRule>
  </conditionalFormatting>
  <conditionalFormatting sqref="F22">
    <cfRule type="cellIs" dxfId="69" priority="50" operator="equal">
      <formula>"F"</formula>
    </cfRule>
    <cfRule type="cellIs" dxfId="68" priority="51" operator="equal">
      <formula>"p"</formula>
    </cfRule>
  </conditionalFormatting>
  <conditionalFormatting sqref="I28:J29">
    <cfRule type="cellIs" dxfId="67" priority="49" operator="greaterThan">
      <formula>0</formula>
    </cfRule>
  </conditionalFormatting>
  <conditionalFormatting sqref="H28:H29">
    <cfRule type="cellIs" dxfId="66" priority="48" operator="greaterThan">
      <formula>0</formula>
    </cfRule>
  </conditionalFormatting>
  <conditionalFormatting sqref="G28:G29">
    <cfRule type="cellIs" dxfId="65" priority="47" operator="greaterThan">
      <formula>0</formula>
    </cfRule>
  </conditionalFormatting>
  <conditionalFormatting sqref="G30">
    <cfRule type="cellIs" dxfId="64" priority="46" operator="greaterThan">
      <formula>0</formula>
    </cfRule>
  </conditionalFormatting>
  <conditionalFormatting sqref="I30:J30">
    <cfRule type="cellIs" dxfId="63" priority="45" operator="greaterThan">
      <formula>0</formula>
    </cfRule>
  </conditionalFormatting>
  <conditionalFormatting sqref="H30">
    <cfRule type="cellIs" dxfId="62" priority="44" operator="greaterThan">
      <formula>0</formula>
    </cfRule>
  </conditionalFormatting>
  <conditionalFormatting sqref="G33:G34">
    <cfRule type="cellIs" dxfId="61" priority="43" operator="greaterThan">
      <formula>0</formula>
    </cfRule>
  </conditionalFormatting>
  <conditionalFormatting sqref="G31">
    <cfRule type="cellIs" dxfId="60" priority="42" operator="greaterThan">
      <formula>0</formula>
    </cfRule>
  </conditionalFormatting>
  <conditionalFormatting sqref="I33:J34">
    <cfRule type="cellIs" dxfId="59" priority="41" operator="greaterThan">
      <formula>0</formula>
    </cfRule>
  </conditionalFormatting>
  <conditionalFormatting sqref="H33:H34">
    <cfRule type="cellIs" dxfId="58" priority="40" operator="greaterThan">
      <formula>0</formula>
    </cfRule>
  </conditionalFormatting>
  <conditionalFormatting sqref="G35">
    <cfRule type="cellIs" dxfId="57" priority="39" operator="greaterThan">
      <formula>0</formula>
    </cfRule>
  </conditionalFormatting>
  <conditionalFormatting sqref="I31:J31">
    <cfRule type="cellIs" dxfId="56" priority="38" operator="greaterThan">
      <formula>0</formula>
    </cfRule>
  </conditionalFormatting>
  <conditionalFormatting sqref="H31">
    <cfRule type="cellIs" dxfId="55" priority="37" operator="greaterThan">
      <formula>0</formula>
    </cfRule>
  </conditionalFormatting>
  <conditionalFormatting sqref="G36">
    <cfRule type="cellIs" dxfId="54" priority="36" operator="greaterThan">
      <formula>0</formula>
    </cfRule>
  </conditionalFormatting>
  <conditionalFormatting sqref="I35:J35">
    <cfRule type="cellIs" dxfId="53" priority="35" operator="greaterThan">
      <formula>0</formula>
    </cfRule>
  </conditionalFormatting>
  <conditionalFormatting sqref="H35">
    <cfRule type="cellIs" dxfId="52" priority="34" operator="greaterThan">
      <formula>0</formula>
    </cfRule>
  </conditionalFormatting>
  <conditionalFormatting sqref="G37">
    <cfRule type="cellIs" dxfId="51" priority="33" operator="greaterThan">
      <formula>0</formula>
    </cfRule>
  </conditionalFormatting>
  <conditionalFormatting sqref="I36:J36">
    <cfRule type="cellIs" dxfId="50" priority="32" operator="greaterThan">
      <formula>0</formula>
    </cfRule>
  </conditionalFormatting>
  <conditionalFormatting sqref="H36">
    <cfRule type="cellIs" dxfId="49" priority="31" operator="greaterThan">
      <formula>0</formula>
    </cfRule>
  </conditionalFormatting>
  <conditionalFormatting sqref="G38">
    <cfRule type="cellIs" dxfId="48" priority="30" operator="greaterThan">
      <formula>0</formula>
    </cfRule>
  </conditionalFormatting>
  <conditionalFormatting sqref="I37:J37">
    <cfRule type="cellIs" dxfId="47" priority="29" operator="greaterThan">
      <formula>0</formula>
    </cfRule>
  </conditionalFormatting>
  <conditionalFormatting sqref="H37">
    <cfRule type="cellIs" dxfId="46" priority="28" operator="greaterThan">
      <formula>0</formula>
    </cfRule>
  </conditionalFormatting>
  <conditionalFormatting sqref="G39">
    <cfRule type="cellIs" dxfId="45" priority="27" operator="greaterThan">
      <formula>0</formula>
    </cfRule>
  </conditionalFormatting>
  <conditionalFormatting sqref="I38:J38">
    <cfRule type="cellIs" dxfId="44" priority="26" operator="greaterThan">
      <formula>0</formula>
    </cfRule>
  </conditionalFormatting>
  <conditionalFormatting sqref="H38">
    <cfRule type="cellIs" dxfId="43" priority="25" operator="greaterThan">
      <formula>0</formula>
    </cfRule>
  </conditionalFormatting>
  <conditionalFormatting sqref="G40">
    <cfRule type="cellIs" dxfId="42" priority="24" operator="greaterThan">
      <formula>0</formula>
    </cfRule>
  </conditionalFormatting>
  <conditionalFormatting sqref="I39:J39">
    <cfRule type="cellIs" dxfId="41" priority="23" operator="greaterThan">
      <formula>0</formula>
    </cfRule>
  </conditionalFormatting>
  <conditionalFormatting sqref="H39">
    <cfRule type="cellIs" dxfId="40" priority="22" operator="greaterThan">
      <formula>0</formula>
    </cfRule>
  </conditionalFormatting>
  <conditionalFormatting sqref="I40:J40">
    <cfRule type="cellIs" dxfId="39" priority="21" operator="greaterThan">
      <formula>0</formula>
    </cfRule>
  </conditionalFormatting>
  <conditionalFormatting sqref="H40">
    <cfRule type="cellIs" dxfId="38" priority="20" operator="greaterThan">
      <formula>0</formula>
    </cfRule>
  </conditionalFormatting>
  <conditionalFormatting sqref="G41">
    <cfRule type="cellIs" dxfId="37" priority="19" operator="greaterThan">
      <formula>0</formula>
    </cfRule>
  </conditionalFormatting>
  <conditionalFormatting sqref="G42">
    <cfRule type="cellIs" dxfId="36" priority="18" operator="greaterThan">
      <formula>0</formula>
    </cfRule>
  </conditionalFormatting>
  <conditionalFormatting sqref="I41:J41">
    <cfRule type="cellIs" dxfId="35" priority="17" operator="greaterThan">
      <formula>0</formula>
    </cfRule>
  </conditionalFormatting>
  <conditionalFormatting sqref="H41">
    <cfRule type="cellIs" dxfId="34" priority="16" operator="greaterThan">
      <formula>0</formula>
    </cfRule>
  </conditionalFormatting>
  <conditionalFormatting sqref="I42:J42">
    <cfRule type="cellIs" dxfId="33" priority="15" operator="greaterThan">
      <formula>0</formula>
    </cfRule>
  </conditionalFormatting>
  <conditionalFormatting sqref="H42">
    <cfRule type="cellIs" dxfId="32" priority="14" operator="greaterThan">
      <formula>0</formula>
    </cfRule>
  </conditionalFormatting>
  <conditionalFormatting sqref="G43">
    <cfRule type="cellIs" dxfId="31" priority="13" operator="greaterThan">
      <formula>0</formula>
    </cfRule>
  </conditionalFormatting>
  <conditionalFormatting sqref="I43:J43">
    <cfRule type="cellIs" dxfId="30" priority="12" operator="greaterThan">
      <formula>0</formula>
    </cfRule>
  </conditionalFormatting>
  <conditionalFormatting sqref="H43">
    <cfRule type="cellIs" dxfId="29" priority="11" operator="greaterThan">
      <formula>0</formula>
    </cfRule>
  </conditionalFormatting>
  <conditionalFormatting sqref="G44">
    <cfRule type="cellIs" dxfId="28" priority="10" operator="greaterThan">
      <formula>0</formula>
    </cfRule>
  </conditionalFormatting>
  <conditionalFormatting sqref="I44:J44">
    <cfRule type="cellIs" dxfId="27" priority="9" operator="greaterThan">
      <formula>0</formula>
    </cfRule>
  </conditionalFormatting>
  <conditionalFormatting sqref="H44">
    <cfRule type="cellIs" dxfId="26" priority="8" operator="greaterThan">
      <formula>0</formula>
    </cfRule>
  </conditionalFormatting>
  <conditionalFormatting sqref="G45">
    <cfRule type="cellIs" dxfId="25" priority="7" operator="greaterThan">
      <formula>0</formula>
    </cfRule>
  </conditionalFormatting>
  <conditionalFormatting sqref="I45:J45">
    <cfRule type="cellIs" dxfId="24" priority="6" operator="greaterThan">
      <formula>0</formula>
    </cfRule>
  </conditionalFormatting>
  <conditionalFormatting sqref="H45">
    <cfRule type="cellIs" dxfId="23" priority="5" operator="greaterThan">
      <formula>0</formula>
    </cfRule>
  </conditionalFormatting>
  <conditionalFormatting sqref="E21">
    <cfRule type="cellIs" dxfId="22" priority="1" operator="equal">
      <formula>"Ready to Test"</formula>
    </cfRule>
    <cfRule type="cellIs" dxfId="21" priority="2" operator="equal">
      <formula>"Do Not Test"</formula>
    </cfRule>
    <cfRule type="cellIs" dxfId="20" priority="3" operator="equal">
      <formula>"Ready for Retest"</formula>
    </cfRule>
    <cfRule type="cellIs" dxfId="19" priority="4" operator="equal">
      <formula>"Passed"</formula>
    </cfRule>
  </conditionalFormatting>
  <hyperlinks>
    <hyperlink ref="C9" r:id="rId1"/>
  </hyperlinks>
  <pageMargins left="0.7" right="0.7" top="0.75" bottom="0.75" header="0.3" footer="0.3"/>
  <pageSetup orientation="portrait" r:id="rId2"/>
</worksheet>
</file>

<file path=xl/worksheets/sheet21.xml><?xml version="1.0" encoding="utf-8"?>
<worksheet xmlns="http://schemas.openxmlformats.org/spreadsheetml/2006/main" xmlns:r="http://schemas.openxmlformats.org/officeDocument/2006/relationships">
  <sheetPr>
    <tabColor theme="9" tint="-0.499984740745262"/>
    <outlinePr summaryBelow="0"/>
  </sheetPr>
  <dimension ref="A1:J33"/>
  <sheetViews>
    <sheetView zoomScale="90" zoomScaleNormal="90" workbookViewId="0">
      <selection sqref="A1:I1"/>
    </sheetView>
  </sheetViews>
  <sheetFormatPr defaultRowHeight="15" outlineLevelRow="1"/>
  <cols>
    <col min="1" max="1" width="13.42578125" style="320" customWidth="1"/>
    <col min="2" max="2" width="10.28515625" style="324" bestFit="1" customWidth="1"/>
    <col min="3" max="3" width="61.140625" style="328" customWidth="1"/>
    <col min="4" max="4" width="10.28515625" style="326" bestFit="1" customWidth="1"/>
    <col min="5" max="5" width="13.28515625" style="320" bestFit="1" customWidth="1"/>
    <col min="6" max="6" width="9.85546875" style="320" bestFit="1" customWidth="1"/>
    <col min="7" max="7" width="8.28515625" style="320" bestFit="1" customWidth="1"/>
    <col min="8" max="8" width="7.5703125" style="320" customWidth="1"/>
    <col min="9" max="9" width="10.5703125" style="320" bestFit="1" customWidth="1"/>
    <col min="10" max="10" width="55.85546875" style="369" customWidth="1"/>
    <col min="11" max="16384" width="9.140625" style="317"/>
  </cols>
  <sheetData>
    <row r="1" spans="1:10" s="252" customFormat="1">
      <c r="A1" s="529" t="s">
        <v>602</v>
      </c>
      <c r="B1" s="529"/>
      <c r="C1" s="529"/>
      <c r="D1" s="529"/>
      <c r="E1" s="529"/>
      <c r="F1" s="529"/>
      <c r="G1" s="529"/>
      <c r="H1" s="529"/>
      <c r="I1" s="529"/>
      <c r="J1" s="330"/>
    </row>
    <row r="2" spans="1:10" s="253" customFormat="1">
      <c r="A2" s="537"/>
      <c r="B2" s="537"/>
      <c r="C2" s="538"/>
      <c r="D2" s="538"/>
      <c r="E2" s="538"/>
      <c r="F2" s="538"/>
      <c r="G2" s="538"/>
      <c r="H2" s="538"/>
      <c r="I2" s="538"/>
      <c r="J2" s="368"/>
    </row>
    <row r="3" spans="1:10" s="253" customFormat="1">
      <c r="A3" s="539"/>
      <c r="B3" s="540"/>
      <c r="C3" s="541"/>
      <c r="D3" s="541"/>
      <c r="E3" s="541"/>
      <c r="F3" s="541"/>
      <c r="G3" s="541"/>
      <c r="H3" s="541"/>
      <c r="I3" s="541"/>
      <c r="J3" s="368"/>
    </row>
    <row r="4" spans="1:10" s="252" customFormat="1">
      <c r="A4" s="542" t="s">
        <v>594</v>
      </c>
      <c r="B4" s="543"/>
      <c r="C4" s="547" t="s">
        <v>1225</v>
      </c>
      <c r="D4" s="548"/>
      <c r="E4" s="548"/>
      <c r="F4" s="548"/>
      <c r="G4" s="548"/>
      <c r="H4" s="548"/>
      <c r="I4" s="548"/>
      <c r="J4" s="330"/>
    </row>
    <row r="5" spans="1:10" s="252" customFormat="1" ht="34.5" customHeight="1">
      <c r="A5" s="549" t="s">
        <v>1226</v>
      </c>
      <c r="B5" s="549"/>
      <c r="C5" s="549"/>
      <c r="D5" s="549"/>
      <c r="E5" s="549"/>
      <c r="F5" s="549"/>
      <c r="G5" s="549"/>
      <c r="H5" s="549"/>
      <c r="I5" s="549"/>
      <c r="J5" s="367"/>
    </row>
    <row r="6" spans="1:10" s="318" customFormat="1">
      <c r="A6" s="321"/>
      <c r="B6" s="323"/>
      <c r="C6" s="327"/>
      <c r="D6" s="325"/>
      <c r="E6" s="322"/>
      <c r="F6" s="322"/>
      <c r="G6" s="322"/>
      <c r="H6" s="322"/>
      <c r="I6" s="322"/>
      <c r="J6" s="370"/>
    </row>
    <row r="7" spans="1:10" s="318" customFormat="1" ht="30">
      <c r="A7" s="254" t="s">
        <v>0</v>
      </c>
      <c r="B7" s="263" t="s">
        <v>226</v>
      </c>
      <c r="C7" s="255" t="s">
        <v>540</v>
      </c>
      <c r="D7" s="255" t="s">
        <v>595</v>
      </c>
      <c r="E7" s="256" t="s">
        <v>214</v>
      </c>
      <c r="F7" s="256" t="s">
        <v>584</v>
      </c>
      <c r="G7" s="257" t="s">
        <v>2</v>
      </c>
      <c r="H7" s="258" t="s">
        <v>579</v>
      </c>
      <c r="I7" s="259" t="s">
        <v>583</v>
      </c>
      <c r="J7" s="331" t="s">
        <v>1</v>
      </c>
    </row>
    <row r="8" spans="1:10" s="319" customFormat="1">
      <c r="A8" s="544" t="s">
        <v>601</v>
      </c>
      <c r="B8" s="545"/>
      <c r="C8" s="545"/>
      <c r="D8" s="545"/>
      <c r="E8" s="545"/>
      <c r="F8" s="545"/>
      <c r="G8" s="545"/>
      <c r="H8" s="545"/>
      <c r="I8" s="545"/>
      <c r="J8" s="546"/>
    </row>
    <row r="9" spans="1:10" s="276" customFormat="1" collapsed="1">
      <c r="A9" s="295" t="s">
        <v>26</v>
      </c>
      <c r="B9" s="307" t="s">
        <v>147</v>
      </c>
      <c r="C9" s="296" t="s">
        <v>609</v>
      </c>
      <c r="D9" s="273" t="s">
        <v>604</v>
      </c>
      <c r="E9" s="260" t="s">
        <v>596</v>
      </c>
      <c r="F9" s="260" t="str">
        <f>IF(H9&gt;0,"F",IF(I9&gt;0,"A",IF(G9&gt;0,"P","NT")))</f>
        <v>NT</v>
      </c>
      <c r="G9" s="260">
        <f>COUNTA(G10:G21)</f>
        <v>0</v>
      </c>
      <c r="H9" s="260">
        <f>COUNTA(H10:H21)</f>
        <v>0</v>
      </c>
      <c r="I9" s="260">
        <f>COUNTA(I10:I21)</f>
        <v>0</v>
      </c>
      <c r="J9" s="302">
        <f>COUNTA(J10:J21)</f>
        <v>0</v>
      </c>
    </row>
    <row r="10" spans="1:10" s="319" customFormat="1" ht="30" hidden="1" outlineLevel="1">
      <c r="A10" s="262"/>
      <c r="B10" s="329" t="s">
        <v>599</v>
      </c>
      <c r="C10" s="299" t="s">
        <v>610</v>
      </c>
      <c r="D10" s="274"/>
      <c r="E10" s="261"/>
      <c r="F10" s="272"/>
      <c r="G10" s="272"/>
      <c r="H10" s="272"/>
      <c r="I10" s="272"/>
      <c r="J10" s="309"/>
    </row>
    <row r="11" spans="1:10" s="319" customFormat="1" hidden="1" outlineLevel="1">
      <c r="A11" s="262"/>
      <c r="B11" s="329">
        <v>1</v>
      </c>
      <c r="C11" s="305" t="s">
        <v>611</v>
      </c>
      <c r="D11" s="274"/>
      <c r="E11" s="261"/>
      <c r="F11" s="272"/>
      <c r="G11" s="272"/>
      <c r="H11" s="272"/>
      <c r="I11" s="272"/>
      <c r="J11" s="309"/>
    </row>
    <row r="12" spans="1:10" s="319" customFormat="1" hidden="1" outlineLevel="1">
      <c r="A12" s="262"/>
      <c r="B12" s="329">
        <v>2</v>
      </c>
      <c r="C12" s="305" t="s">
        <v>612</v>
      </c>
      <c r="D12" s="274"/>
      <c r="E12" s="261"/>
      <c r="F12" s="272"/>
      <c r="G12" s="272"/>
      <c r="H12" s="272"/>
      <c r="I12" s="272"/>
      <c r="J12" s="309"/>
    </row>
    <row r="13" spans="1:10" s="319" customFormat="1" hidden="1" outlineLevel="1">
      <c r="A13" s="262"/>
      <c r="B13" s="329">
        <v>3</v>
      </c>
      <c r="C13" s="305" t="s">
        <v>613</v>
      </c>
      <c r="D13" s="275"/>
      <c r="E13" s="261"/>
      <c r="F13" s="272"/>
      <c r="G13" s="272"/>
      <c r="H13" s="272"/>
      <c r="I13" s="272"/>
      <c r="J13" s="309"/>
    </row>
    <row r="14" spans="1:10" s="319" customFormat="1" hidden="1" outlineLevel="1">
      <c r="A14" s="262"/>
      <c r="B14" s="329">
        <v>4</v>
      </c>
      <c r="C14" s="305" t="s">
        <v>614</v>
      </c>
      <c r="D14" s="275"/>
      <c r="E14" s="261"/>
      <c r="F14" s="272"/>
      <c r="G14" s="272"/>
      <c r="H14" s="272"/>
      <c r="I14" s="272"/>
      <c r="J14" s="309"/>
    </row>
    <row r="15" spans="1:10" s="371" customFormat="1" hidden="1" outlineLevel="1">
      <c r="A15" s="262"/>
      <c r="B15" s="337">
        <v>5</v>
      </c>
      <c r="C15" s="305" t="s">
        <v>615</v>
      </c>
      <c r="D15" s="275"/>
      <c r="E15" s="261"/>
      <c r="F15" s="272"/>
      <c r="G15" s="272"/>
      <c r="H15" s="272"/>
      <c r="I15" s="272"/>
      <c r="J15" s="309"/>
    </row>
    <row r="16" spans="1:10" s="371" customFormat="1" hidden="1" outlineLevel="1">
      <c r="A16" s="262"/>
      <c r="B16" s="337">
        <v>6</v>
      </c>
      <c r="C16" s="305" t="s">
        <v>616</v>
      </c>
      <c r="D16" s="275"/>
      <c r="E16" s="261"/>
      <c r="F16" s="272"/>
      <c r="G16" s="272"/>
      <c r="H16" s="272"/>
      <c r="I16" s="272"/>
      <c r="J16" s="309"/>
    </row>
    <row r="17" spans="1:10" s="371" customFormat="1" ht="30" hidden="1" outlineLevel="1">
      <c r="A17" s="262"/>
      <c r="B17" s="337" t="s">
        <v>600</v>
      </c>
      <c r="C17" s="305" t="s">
        <v>845</v>
      </c>
      <c r="D17" s="275"/>
      <c r="E17" s="261"/>
      <c r="F17" s="272"/>
      <c r="G17" s="272"/>
      <c r="H17" s="272"/>
      <c r="I17" s="272"/>
      <c r="J17" s="309"/>
    </row>
    <row r="18" spans="1:10" s="371" customFormat="1" hidden="1" outlineLevel="1">
      <c r="A18" s="262"/>
      <c r="B18" s="337">
        <v>7</v>
      </c>
      <c r="C18" s="305" t="s">
        <v>617</v>
      </c>
      <c r="D18" s="275"/>
      <c r="E18" s="261"/>
      <c r="F18" s="272"/>
      <c r="G18" s="272"/>
      <c r="H18" s="272"/>
      <c r="I18" s="272"/>
      <c r="J18" s="309"/>
    </row>
    <row r="19" spans="1:10" s="371" customFormat="1" hidden="1" outlineLevel="1">
      <c r="A19" s="262"/>
      <c r="B19" s="337">
        <v>8</v>
      </c>
      <c r="C19" s="305" t="s">
        <v>618</v>
      </c>
      <c r="D19" s="275"/>
      <c r="E19" s="261"/>
      <c r="F19" s="272"/>
      <c r="G19" s="272"/>
      <c r="H19" s="272"/>
      <c r="I19" s="272"/>
      <c r="J19" s="309"/>
    </row>
    <row r="20" spans="1:10" s="371" customFormat="1" hidden="1" outlineLevel="1">
      <c r="A20" s="262"/>
      <c r="B20" s="337">
        <v>9</v>
      </c>
      <c r="C20" s="305" t="s">
        <v>619</v>
      </c>
      <c r="D20" s="275"/>
      <c r="E20" s="261"/>
      <c r="F20" s="272"/>
      <c r="G20" s="272"/>
      <c r="H20" s="272"/>
      <c r="I20" s="272"/>
      <c r="J20" s="309"/>
    </row>
    <row r="21" spans="1:10" s="336" customFormat="1" hidden="1" outlineLevel="1">
      <c r="A21" s="262"/>
      <c r="B21" s="337">
        <v>10</v>
      </c>
      <c r="C21" s="305" t="s">
        <v>617</v>
      </c>
      <c r="D21" s="275"/>
      <c r="E21" s="261"/>
      <c r="F21" s="272"/>
      <c r="G21" s="272"/>
      <c r="H21" s="272"/>
      <c r="I21" s="272"/>
      <c r="J21" s="309"/>
    </row>
    <row r="22" spans="1:10" s="276" customFormat="1" collapsed="1">
      <c r="A22" s="295" t="s">
        <v>26</v>
      </c>
      <c r="B22" s="307" t="s">
        <v>149</v>
      </c>
      <c r="C22" s="296" t="s">
        <v>627</v>
      </c>
      <c r="D22" s="273" t="s">
        <v>604</v>
      </c>
      <c r="E22" s="260" t="s">
        <v>596</v>
      </c>
      <c r="F22" s="260" t="str">
        <f>IF(H22&gt;0,"F",IF(I22&gt;0,"A",IF(G22&gt;0,"P","NT")))</f>
        <v>NT</v>
      </c>
      <c r="G22" s="260">
        <f>COUNTA(G23:G26)</f>
        <v>0</v>
      </c>
      <c r="H22" s="260">
        <f>COUNTA(H23:H26)</f>
        <v>0</v>
      </c>
      <c r="I22" s="260">
        <f>COUNTA(I23:I26)</f>
        <v>0</v>
      </c>
      <c r="J22" s="302">
        <f>COUNTA(J23:J26)</f>
        <v>0</v>
      </c>
    </row>
    <row r="23" spans="1:10" s="371" customFormat="1" ht="45" hidden="1" outlineLevel="1">
      <c r="A23" s="262"/>
      <c r="B23" s="329" t="s">
        <v>599</v>
      </c>
      <c r="C23" s="299" t="s">
        <v>628</v>
      </c>
      <c r="D23" s="274"/>
      <c r="E23" s="261"/>
      <c r="F23" s="272"/>
      <c r="G23" s="272"/>
      <c r="H23" s="272"/>
      <c r="I23" s="272"/>
      <c r="J23" s="309"/>
    </row>
    <row r="24" spans="1:10" s="371" customFormat="1" hidden="1" outlineLevel="1">
      <c r="A24" s="262"/>
      <c r="B24" s="329">
        <v>1</v>
      </c>
      <c r="C24" s="305" t="s">
        <v>625</v>
      </c>
      <c r="D24" s="274"/>
      <c r="E24" s="261"/>
      <c r="F24" s="272"/>
      <c r="G24" s="272"/>
      <c r="H24" s="272"/>
      <c r="I24" s="272"/>
      <c r="J24" s="309"/>
    </row>
    <row r="25" spans="1:10" s="371" customFormat="1" hidden="1" outlineLevel="1">
      <c r="A25" s="262"/>
      <c r="B25" s="329">
        <v>2</v>
      </c>
      <c r="C25" s="305" t="s">
        <v>629</v>
      </c>
      <c r="D25" s="274"/>
      <c r="E25" s="261"/>
      <c r="F25" s="272"/>
      <c r="G25" s="272"/>
      <c r="H25" s="272"/>
      <c r="I25" s="272"/>
      <c r="J25" s="309"/>
    </row>
    <row r="26" spans="1:10" s="371" customFormat="1" ht="30" hidden="1" outlineLevel="1">
      <c r="A26" s="262"/>
      <c r="B26" s="329">
        <v>3</v>
      </c>
      <c r="C26" s="305" t="s">
        <v>626</v>
      </c>
      <c r="D26" s="275"/>
      <c r="E26" s="261"/>
      <c r="F26" s="272"/>
      <c r="G26" s="272"/>
      <c r="H26" s="272"/>
      <c r="I26" s="272"/>
      <c r="J26" s="309"/>
    </row>
    <row r="27" spans="1:10" s="276" customFormat="1" collapsed="1">
      <c r="A27" s="295" t="s">
        <v>26</v>
      </c>
      <c r="B27" s="307" t="s">
        <v>152</v>
      </c>
      <c r="C27" s="296" t="s">
        <v>633</v>
      </c>
      <c r="D27" s="273" t="s">
        <v>604</v>
      </c>
      <c r="E27" s="260" t="s">
        <v>596</v>
      </c>
      <c r="F27" s="260" t="str">
        <f>IF(H27&gt;0,"F",IF(I27&gt;0,"A",IF(G27&gt;0,"P","NT")))</f>
        <v>NT</v>
      </c>
      <c r="G27" s="260">
        <f>COUNTA(G28:G30)</f>
        <v>0</v>
      </c>
      <c r="H27" s="260">
        <f>COUNTA(H28:H30)</f>
        <v>0</v>
      </c>
      <c r="I27" s="260">
        <f>COUNTA(I28:I30)</f>
        <v>0</v>
      </c>
      <c r="J27" s="302">
        <f>COUNTA(J28:J30)</f>
        <v>0</v>
      </c>
    </row>
    <row r="28" spans="1:10" s="371" customFormat="1" hidden="1" outlineLevel="1">
      <c r="A28" s="262"/>
      <c r="B28" s="329">
        <v>1</v>
      </c>
      <c r="C28" s="305" t="s">
        <v>837</v>
      </c>
      <c r="D28" s="274"/>
      <c r="E28" s="261"/>
      <c r="F28" s="272"/>
      <c r="G28" s="272"/>
      <c r="H28" s="272"/>
      <c r="I28" s="272"/>
      <c r="J28" s="309"/>
    </row>
    <row r="29" spans="1:10" s="371" customFormat="1" hidden="1" outlineLevel="1">
      <c r="A29" s="262"/>
      <c r="B29" s="329">
        <v>2</v>
      </c>
      <c r="C29" s="305" t="s">
        <v>838</v>
      </c>
      <c r="D29" s="274"/>
      <c r="E29" s="261"/>
      <c r="F29" s="272"/>
      <c r="G29" s="272"/>
      <c r="H29" s="272"/>
      <c r="I29" s="272"/>
      <c r="J29" s="309"/>
    </row>
    <row r="30" spans="1:10" s="371" customFormat="1" hidden="1" outlineLevel="1">
      <c r="A30" s="262"/>
      <c r="B30" s="329">
        <v>3</v>
      </c>
      <c r="C30" s="305" t="s">
        <v>839</v>
      </c>
      <c r="D30" s="275"/>
      <c r="E30" s="261"/>
      <c r="F30" s="272"/>
      <c r="G30" s="272"/>
      <c r="H30" s="272"/>
      <c r="I30" s="272"/>
      <c r="J30" s="309"/>
    </row>
    <row r="31" spans="1:10" s="371" customFormat="1" hidden="1" outlineLevel="1">
      <c r="A31" s="262"/>
      <c r="B31" s="329">
        <v>4</v>
      </c>
      <c r="C31" s="305" t="s">
        <v>840</v>
      </c>
      <c r="D31" s="275"/>
      <c r="E31" s="261"/>
      <c r="F31" s="272"/>
      <c r="G31" s="272"/>
      <c r="H31" s="272"/>
      <c r="I31" s="272"/>
      <c r="J31" s="309"/>
    </row>
    <row r="32" spans="1:10" s="371" customFormat="1" ht="30" hidden="1" outlineLevel="1">
      <c r="A32" s="262"/>
      <c r="B32" s="383" t="s">
        <v>841</v>
      </c>
      <c r="C32" s="305" t="s">
        <v>842</v>
      </c>
      <c r="D32" s="275"/>
      <c r="E32" s="261"/>
      <c r="F32" s="272"/>
      <c r="G32" s="272"/>
      <c r="H32" s="272"/>
      <c r="I32" s="272"/>
      <c r="J32" s="309"/>
    </row>
    <row r="33" spans="1:10" s="371" customFormat="1" ht="30" hidden="1" outlineLevel="1">
      <c r="A33" s="262"/>
      <c r="B33" s="383" t="s">
        <v>843</v>
      </c>
      <c r="C33" s="305" t="s">
        <v>844</v>
      </c>
      <c r="D33" s="275"/>
      <c r="E33" s="261"/>
      <c r="F33" s="272"/>
      <c r="G33" s="272"/>
      <c r="H33" s="272"/>
      <c r="I33" s="272"/>
      <c r="J33" s="309"/>
    </row>
  </sheetData>
  <mergeCells count="7">
    <mergeCell ref="A1:I1"/>
    <mergeCell ref="A2:I2"/>
    <mergeCell ref="A3:I3"/>
    <mergeCell ref="A4:B4"/>
    <mergeCell ref="A8:J8"/>
    <mergeCell ref="C4:I4"/>
    <mergeCell ref="A5:I5"/>
  </mergeCells>
  <conditionalFormatting sqref="E34:E65521 E6:E7">
    <cfRule type="cellIs" dxfId="18" priority="411" operator="equal">
      <formula>"Ready to Test"</formula>
    </cfRule>
    <cfRule type="cellIs" dxfId="17" priority="412" operator="equal">
      <formula>"Do Not Test"</formula>
    </cfRule>
    <cfRule type="cellIs" dxfId="16" priority="413" operator="equal">
      <formula>"Ready for Retest"</formula>
    </cfRule>
    <cfRule type="cellIs" dxfId="15" priority="414" operator="equal">
      <formula>"Passed"</formula>
    </cfRule>
  </conditionalFormatting>
  <conditionalFormatting sqref="G9:G33">
    <cfRule type="cellIs" dxfId="14" priority="384" operator="greaterThan">
      <formula>0</formula>
    </cfRule>
  </conditionalFormatting>
  <conditionalFormatting sqref="I9:J33">
    <cfRule type="cellIs" dxfId="13" priority="383" operator="greaterThan">
      <formula>0</formula>
    </cfRule>
  </conditionalFormatting>
  <conditionalFormatting sqref="H9:H33">
    <cfRule type="cellIs" dxfId="12" priority="382" operator="greaterThan">
      <formula>0</formula>
    </cfRule>
  </conditionalFormatting>
  <conditionalFormatting sqref="E9:E33">
    <cfRule type="cellIs" dxfId="11" priority="379" stopIfTrue="1" operator="equal">
      <formula>"Do Not Test"</formula>
    </cfRule>
    <cfRule type="cellIs" dxfId="10" priority="380" stopIfTrue="1" operator="equal">
      <formula>"Ready to Test"</formula>
    </cfRule>
    <cfRule type="cellIs" dxfId="9" priority="381" stopIfTrue="1" operator="equal">
      <formula>"Passed"</formula>
    </cfRule>
  </conditionalFormatting>
  <conditionalFormatting sqref="E9 E22 E27">
    <cfRule type="cellIs" dxfId="8" priority="375" stopIfTrue="1" operator="equal">
      <formula>"Ready for Retest"</formula>
    </cfRule>
    <cfRule type="cellIs" dxfId="7" priority="376" stopIfTrue="1" operator="equal">
      <formula>"Do Not Test"</formula>
    </cfRule>
    <cfRule type="cellIs" dxfId="6" priority="377" stopIfTrue="1" operator="equal">
      <formula>"Ready to Test"</formula>
    </cfRule>
    <cfRule type="cellIs" dxfId="5" priority="378" stopIfTrue="1" operator="equal">
      <formula>"Passed"</formula>
    </cfRule>
  </conditionalFormatting>
  <conditionalFormatting sqref="F9 F22 F27">
    <cfRule type="cellIs" dxfId="4" priority="351" operator="equal">
      <formula>"P"</formula>
    </cfRule>
    <cfRule type="cellIs" dxfId="3" priority="352" operator="equal">
      <formula>"A"</formula>
    </cfRule>
    <cfRule type="cellIs" dxfId="2" priority="353" operator="equal">
      <formula>"F"</formula>
    </cfRule>
  </conditionalFormatting>
  <conditionalFormatting sqref="E4">
    <cfRule type="cellIs" dxfId="1" priority="349" stopIfTrue="1" operator="equal">
      <formula>"Ready to Test"</formula>
    </cfRule>
    <cfRule type="cellIs" dxfId="0" priority="350" stopIfTrue="1" operator="equal">
      <formula>"Do Not Test"</formula>
    </cfRule>
  </conditionalFormatting>
  <hyperlinks>
    <hyperlink ref="A5:I5" r:id="rId1" display="mailto:jenet.taylor.ctr@us.af.mil?subject=ALOD%20RTM%20Help"/>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Description0 xmlns="9ce14ee3-759b-4d0b-8f97-e3d1d9fce396"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6F0F0325696F34C8F6357A2A66700EC" ma:contentTypeVersion="1" ma:contentTypeDescription="Create a new document." ma:contentTypeScope="" ma:versionID="b90a09b0ea548824500550b61e0b50ba">
  <xsd:schema xmlns:xsd="http://www.w3.org/2001/XMLSchema" xmlns:p="http://schemas.microsoft.com/office/2006/metadata/properties" xmlns:ns2="9ce14ee3-759b-4d0b-8f97-e3d1d9fce396" targetNamespace="http://schemas.microsoft.com/office/2006/metadata/properties" ma:root="true" ma:fieldsID="e5650e62f43e26096e6bcb5e296f76d2" ns2:_="">
    <xsd:import namespace="9ce14ee3-759b-4d0b-8f97-e3d1d9fce396"/>
    <xsd:element name="properties">
      <xsd:complexType>
        <xsd:sequence>
          <xsd:element name="documentManagement">
            <xsd:complexType>
              <xsd:all>
                <xsd:element ref="ns2:Description0" minOccurs="0"/>
              </xsd:all>
            </xsd:complexType>
          </xsd:element>
        </xsd:sequence>
      </xsd:complexType>
    </xsd:element>
  </xsd:schema>
  <xsd:schema xmlns:xsd="http://www.w3.org/2001/XMLSchema" xmlns:dms="http://schemas.microsoft.com/office/2006/documentManagement/types" targetNamespace="9ce14ee3-759b-4d0b-8f97-e3d1d9fce396" elementFormDefault="qualified">
    <xsd:import namespace="http://schemas.microsoft.com/office/2006/documentManagement/types"/>
    <xsd:element name="Description0" ma:index="8" nillable="true" ma:displayName="Description" ma:description="Description" ma:internalName="Description0">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E588F186-3BCB-43BF-A29D-0F597DA3011C}">
  <ds:schemaRefs>
    <ds:schemaRef ds:uri="http://schemas.microsoft.com/sharepoint/v3/contenttype/forms"/>
  </ds:schemaRefs>
</ds:datastoreItem>
</file>

<file path=customXml/itemProps2.xml><?xml version="1.0" encoding="utf-8"?>
<ds:datastoreItem xmlns:ds="http://schemas.openxmlformats.org/officeDocument/2006/customXml" ds:itemID="{5CEDE9F3-DCDE-473E-8630-C7EDF8AAE52E}">
  <ds:schemaRefs>
    <ds:schemaRef ds:uri="http://schemas.microsoft.com/office/2006/metadata/longProperties"/>
  </ds:schemaRefs>
</ds:datastoreItem>
</file>

<file path=customXml/itemProps3.xml><?xml version="1.0" encoding="utf-8"?>
<ds:datastoreItem xmlns:ds="http://schemas.openxmlformats.org/officeDocument/2006/customXml" ds:itemID="{B463F620-4C93-4403-9046-64CB5C7CBF05}">
  <ds:schemaRefs>
    <ds:schemaRef ds:uri="http://purl.org/dc/dcmitype/"/>
    <ds:schemaRef ds:uri="http://purl.org/dc/elements/1.1/"/>
    <ds:schemaRef ds:uri="http://schemas.openxmlformats.org/package/2006/metadata/core-properties"/>
    <ds:schemaRef ds:uri="http://schemas.microsoft.com/office/2006/metadata/properties"/>
    <ds:schemaRef ds:uri="http://www.w3.org/XML/1998/namespace"/>
    <ds:schemaRef ds:uri="http://schemas.microsoft.com/office/2006/documentManagement/types"/>
    <ds:schemaRef ds:uri="9ce14ee3-759b-4d0b-8f97-e3d1d9fce396"/>
    <ds:schemaRef ds:uri="http://purl.org/dc/terms/"/>
    <ds:schemaRef ds:uri="http://schemas.microsoft.com/office/infopath/2007/PartnerControls"/>
  </ds:schemaRefs>
</ds:datastoreItem>
</file>

<file path=customXml/itemProps4.xml><?xml version="1.0" encoding="utf-8"?>
<ds:datastoreItem xmlns:ds="http://schemas.openxmlformats.org/officeDocument/2006/customXml" ds:itemID="{8D11FC6F-F310-4F0D-9E70-DB3DD55AC8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14ee3-759b-4d0b-8f97-e3d1d9fce396"/>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6</vt:i4>
      </vt:variant>
    </vt:vector>
  </HeadingPairs>
  <TitlesOfParts>
    <vt:vector size="27" baseType="lpstr">
      <vt:lpstr>DELETE Comments </vt:lpstr>
      <vt:lpstr>Index</vt:lpstr>
      <vt:lpstr>CVT Master List</vt:lpstr>
      <vt:lpstr>TEMP</vt:lpstr>
      <vt:lpstr>Priority</vt:lpstr>
      <vt:lpstr>I3 -CVT Master</vt:lpstr>
      <vt:lpstr>(BT44) WWD MEMOS</vt:lpstr>
      <vt:lpstr>(BT44) IRILO MEMOS</vt:lpstr>
      <vt:lpstr>(BT44) MEB MEMOS</vt:lpstr>
      <vt:lpstr>(BT44) BMT WF</vt:lpstr>
      <vt:lpstr>Informal LOD</vt:lpstr>
      <vt:lpstr>(BT44) Participation Waiver WF</vt:lpstr>
      <vt:lpstr>(BT44) MEDICAL HOLDS WF</vt:lpstr>
      <vt:lpstr>(BT44) Deployment Waiver WF</vt:lpstr>
      <vt:lpstr>(BT44) Non Emergent Surgery</vt:lpstr>
      <vt:lpstr>(BT44) Modification WF</vt:lpstr>
      <vt:lpstr>(BT44) BCMR WF</vt:lpstr>
      <vt:lpstr>(BT44) Congressionals WF</vt:lpstr>
      <vt:lpstr>(BT44) PEPP WF</vt:lpstr>
      <vt:lpstr>Full Search</vt:lpstr>
      <vt:lpstr>Common Tools</vt:lpstr>
      <vt:lpstr>TEMP!CVTTable</vt:lpstr>
      <vt:lpstr>CVTTable</vt:lpstr>
      <vt:lpstr>'CVT Master List'!Print_Area</vt:lpstr>
      <vt:lpstr>TEMP!Print_Area</vt:lpstr>
      <vt:lpstr>TEMP!PriorityRange</vt:lpstr>
      <vt:lpstr>PriorityRange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FRM_RTM_CVTUpdates_v2.0_ao01242011</dc:title>
  <dc:creator>IMAGE</dc:creator>
  <cp:lastModifiedBy>USAF_Admin</cp:lastModifiedBy>
  <cp:lastPrinted>2013-09-09T16:15:45Z</cp:lastPrinted>
  <dcterms:created xsi:type="dcterms:W3CDTF">2009-07-13T12:56:42Z</dcterms:created>
  <dcterms:modified xsi:type="dcterms:W3CDTF">2014-08-14T16:16:02Z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0x010100F6F0F0325696F34C8F6357A2A66700EC</vt:lpwstr>
  </property>
  <property fmtid="{D5CDD505-2E9C-101B-9397-08002B2CF9AE}" pid="4" name="_MarkAsFinal">
    <vt:bool>true</vt:bool>
  </property>
</Properties>
</file>